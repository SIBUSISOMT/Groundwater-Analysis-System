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busi\OneDrive\Desktop\Groundwater-Analysis-System\DataTemplateSource\"/>
    </mc:Choice>
  </mc:AlternateContent>
  <xr:revisionPtr revIDLastSave="0" documentId="13_ncr:1_{CA25EDC2-FFB7-42ED-8B99-A5C9EAFBB3C9}" xr6:coauthVersionLast="47" xr6:coauthVersionMax="47" xr10:uidLastSave="{00000000-0000-0000-0000-000000000000}"/>
  <bookViews>
    <workbookView xWindow="-108" yWindow="-108" windowWidth="23256" windowHeight="12456" activeTab="1" xr2:uid="{90F097EB-96DA-4E0B-8542-98E5AF2D4EEF}"/>
  </bookViews>
  <sheets>
    <sheet name="Crocodile (Main)" sheetId="3" r:id="rId1"/>
    <sheet name="Sabie (Main)" sheetId="7" r:id="rId2"/>
    <sheet name="Sand workbook (Main)" sheetId="8" r:id="rId3"/>
    <sheet name="Assegai (Main)" sheetId="22" r:id="rId4"/>
    <sheet name="Ngwempisi (Main)" sheetId="24" r:id="rId5"/>
    <sheet name="Lower Komati (Main)" sheetId="26" r:id="rId6"/>
    <sheet name="Upper Komati (Main)" sheetId="28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4" i="26" l="1"/>
  <c r="H44" i="28"/>
  <c r="H40" i="28"/>
  <c r="H36" i="28"/>
  <c r="L34" i="28"/>
  <c r="N2" i="28" s="1"/>
  <c r="H34" i="28"/>
  <c r="H33" i="28"/>
  <c r="M31" i="28"/>
  <c r="H30" i="28"/>
  <c r="H29" i="28"/>
  <c r="M27" i="28"/>
  <c r="H26" i="28"/>
  <c r="H25" i="28"/>
  <c r="M23" i="28"/>
  <c r="H22" i="28"/>
  <c r="H21" i="28"/>
  <c r="G20" i="28"/>
  <c r="H20" i="28" s="1"/>
  <c r="H19" i="28"/>
  <c r="G18" i="28"/>
  <c r="H18" i="28" s="1"/>
  <c r="H17" i="28"/>
  <c r="H16" i="28"/>
  <c r="M14" i="28"/>
  <c r="H13" i="28"/>
  <c r="H12" i="28"/>
  <c r="C12" i="28"/>
  <c r="D12" i="28" s="1"/>
  <c r="M10" i="28"/>
  <c r="N10" i="28" s="1"/>
  <c r="H9" i="28"/>
  <c r="H8" i="28"/>
  <c r="C8" i="28"/>
  <c r="D8" i="28" s="1"/>
  <c r="G7" i="28"/>
  <c r="H7" i="28" s="1"/>
  <c r="H6" i="28"/>
  <c r="L2" i="28"/>
  <c r="M47" i="28" s="1"/>
  <c r="N47" i="28" s="1"/>
  <c r="G2" i="28"/>
  <c r="H43" i="28" s="1"/>
  <c r="D2" i="28"/>
  <c r="B2" i="28"/>
  <c r="C46" i="28" s="1"/>
  <c r="D46" i="28" s="1"/>
  <c r="G34" i="26"/>
  <c r="H34" i="26" s="1"/>
  <c r="H31" i="26"/>
  <c r="H27" i="26"/>
  <c r="H23" i="26"/>
  <c r="I23" i="26" s="1"/>
  <c r="H19" i="26"/>
  <c r="I19" i="26" s="1"/>
  <c r="B19" i="26"/>
  <c r="D2" i="26" s="1"/>
  <c r="L18" i="26"/>
  <c r="M18" i="26" s="1"/>
  <c r="N18" i="26" s="1"/>
  <c r="H18" i="26"/>
  <c r="I18" i="26" s="1"/>
  <c r="H14" i="26"/>
  <c r="H10" i="26"/>
  <c r="L8" i="26"/>
  <c r="L2" i="26" s="1"/>
  <c r="V7" i="26"/>
  <c r="U7" i="26"/>
  <c r="T7" i="26"/>
  <c r="R7" i="26"/>
  <c r="Q7" i="26"/>
  <c r="P7" i="26"/>
  <c r="V6" i="26"/>
  <c r="T6" i="26"/>
  <c r="R6" i="26"/>
  <c r="Q6" i="26"/>
  <c r="P6" i="26"/>
  <c r="L6" i="26"/>
  <c r="V5" i="26"/>
  <c r="U5" i="26"/>
  <c r="T5" i="26"/>
  <c r="R5" i="26"/>
  <c r="Q5" i="26"/>
  <c r="P5" i="26"/>
  <c r="H4" i="26"/>
  <c r="I4" i="26" s="1"/>
  <c r="N2" i="26"/>
  <c r="I2" i="26"/>
  <c r="G2" i="26"/>
  <c r="H33" i="26" s="1"/>
  <c r="B2" i="26"/>
  <c r="C32" i="26" s="1"/>
  <c r="L34" i="24"/>
  <c r="C32" i="24"/>
  <c r="E31" i="24"/>
  <c r="G8" i="24"/>
  <c r="C7" i="24"/>
  <c r="G6" i="24"/>
  <c r="D2" i="24"/>
  <c r="B2" i="24"/>
  <c r="C45" i="24" s="1"/>
  <c r="N31" i="28" l="1"/>
  <c r="N14" i="28"/>
  <c r="N23" i="28"/>
  <c r="N27" i="28"/>
  <c r="H4" i="28"/>
  <c r="M5" i="28"/>
  <c r="N5" i="28" s="1"/>
  <c r="C7" i="28"/>
  <c r="D7" i="28" s="1"/>
  <c r="M18" i="28"/>
  <c r="N18" i="28" s="1"/>
  <c r="C20" i="28"/>
  <c r="D20" i="28" s="1"/>
  <c r="M35" i="28"/>
  <c r="N35" i="28" s="1"/>
  <c r="C37" i="28"/>
  <c r="D37" i="28" s="1"/>
  <c r="H38" i="28"/>
  <c r="M39" i="28"/>
  <c r="N39" i="28" s="1"/>
  <c r="C41" i="28"/>
  <c r="D41" i="28" s="1"/>
  <c r="H42" i="28"/>
  <c r="M43" i="28"/>
  <c r="N43" i="28" s="1"/>
  <c r="C45" i="28"/>
  <c r="D45" i="28" s="1"/>
  <c r="H46" i="28"/>
  <c r="C33" i="28"/>
  <c r="D33" i="28" s="1"/>
  <c r="M9" i="28"/>
  <c r="N9" i="28" s="1"/>
  <c r="C15" i="28"/>
  <c r="D15" i="28" s="1"/>
  <c r="M17" i="28"/>
  <c r="N17" i="28" s="1"/>
  <c r="M22" i="28"/>
  <c r="N22" i="28" s="1"/>
  <c r="C28" i="28"/>
  <c r="D28" i="28" s="1"/>
  <c r="M30" i="28"/>
  <c r="N30" i="28" s="1"/>
  <c r="C32" i="28"/>
  <c r="D32" i="28" s="1"/>
  <c r="M4" i="28"/>
  <c r="N4" i="28" s="1"/>
  <c r="C6" i="28"/>
  <c r="D6" i="28" s="1"/>
  <c r="C19" i="28"/>
  <c r="D19" i="28" s="1"/>
  <c r="M34" i="28"/>
  <c r="N34" i="28" s="1"/>
  <c r="C36" i="28"/>
  <c r="D36" i="28" s="1"/>
  <c r="H37" i="28"/>
  <c r="M38" i="28"/>
  <c r="N38" i="28" s="1"/>
  <c r="C40" i="28"/>
  <c r="D40" i="28" s="1"/>
  <c r="H41" i="28"/>
  <c r="M42" i="28"/>
  <c r="N42" i="28" s="1"/>
  <c r="C44" i="28"/>
  <c r="D44" i="28" s="1"/>
  <c r="H45" i="28"/>
  <c r="M46" i="28"/>
  <c r="N46" i="28" s="1"/>
  <c r="C11" i="28"/>
  <c r="D11" i="28" s="1"/>
  <c r="M13" i="28"/>
  <c r="N13" i="28" s="1"/>
  <c r="C24" i="28"/>
  <c r="D24" i="28" s="1"/>
  <c r="M26" i="28"/>
  <c r="N26" i="28" s="1"/>
  <c r="I2" i="28"/>
  <c r="I30" i="28" s="1"/>
  <c r="M8" i="28"/>
  <c r="N8" i="28" s="1"/>
  <c r="C10" i="28"/>
  <c r="D10" i="28" s="1"/>
  <c r="H11" i="28"/>
  <c r="M12" i="28"/>
  <c r="N12" i="28" s="1"/>
  <c r="C14" i="28"/>
  <c r="D14" i="28" s="1"/>
  <c r="H15" i="28"/>
  <c r="M16" i="28"/>
  <c r="N16" i="28" s="1"/>
  <c r="C18" i="28"/>
  <c r="D18" i="28" s="1"/>
  <c r="M21" i="28"/>
  <c r="N21" i="28" s="1"/>
  <c r="C23" i="28"/>
  <c r="D23" i="28" s="1"/>
  <c r="H24" i="28"/>
  <c r="M25" i="28"/>
  <c r="N25" i="28" s="1"/>
  <c r="C27" i="28"/>
  <c r="D27" i="28" s="1"/>
  <c r="H28" i="28"/>
  <c r="M29" i="28"/>
  <c r="N29" i="28" s="1"/>
  <c r="C31" i="28"/>
  <c r="D31" i="28" s="1"/>
  <c r="H32" i="28"/>
  <c r="M33" i="28"/>
  <c r="N33" i="28" s="1"/>
  <c r="C21" i="28"/>
  <c r="D21" i="28" s="1"/>
  <c r="C29" i="28"/>
  <c r="D29" i="28" s="1"/>
  <c r="M37" i="28"/>
  <c r="N37" i="28" s="1"/>
  <c r="C39" i="28"/>
  <c r="D39" i="28" s="1"/>
  <c r="M41" i="28"/>
  <c r="N41" i="28" s="1"/>
  <c r="C43" i="28"/>
  <c r="D43" i="28" s="1"/>
  <c r="C47" i="28"/>
  <c r="D47" i="28" s="1"/>
  <c r="M7" i="28"/>
  <c r="N7" i="28" s="1"/>
  <c r="C9" i="28"/>
  <c r="D9" i="28" s="1"/>
  <c r="H10" i="28"/>
  <c r="M11" i="28"/>
  <c r="N11" i="28" s="1"/>
  <c r="C13" i="28"/>
  <c r="D13" i="28" s="1"/>
  <c r="H14" i="28"/>
  <c r="M15" i="28"/>
  <c r="N15" i="28" s="1"/>
  <c r="C17" i="28"/>
  <c r="D17" i="28" s="1"/>
  <c r="M20" i="28"/>
  <c r="N20" i="28" s="1"/>
  <c r="C22" i="28"/>
  <c r="D22" i="28" s="1"/>
  <c r="H23" i="28"/>
  <c r="M24" i="28"/>
  <c r="N24" i="28" s="1"/>
  <c r="C26" i="28"/>
  <c r="D26" i="28" s="1"/>
  <c r="H27" i="28"/>
  <c r="M28" i="28"/>
  <c r="N28" i="28" s="1"/>
  <c r="C30" i="28"/>
  <c r="D30" i="28" s="1"/>
  <c r="H31" i="28"/>
  <c r="M32" i="28"/>
  <c r="N32" i="28" s="1"/>
  <c r="C34" i="28"/>
  <c r="D34" i="28" s="1"/>
  <c r="C16" i="28"/>
  <c r="D16" i="28" s="1"/>
  <c r="C25" i="28"/>
  <c r="D25" i="28" s="1"/>
  <c r="C5" i="28"/>
  <c r="D5" i="28" s="1"/>
  <c r="C35" i="28"/>
  <c r="D35" i="28" s="1"/>
  <c r="M45" i="28"/>
  <c r="N45" i="28" s="1"/>
  <c r="C4" i="28"/>
  <c r="D4" i="28" s="1"/>
  <c r="H5" i="28"/>
  <c r="M6" i="28"/>
  <c r="N6" i="28" s="1"/>
  <c r="M19" i="28"/>
  <c r="N19" i="28" s="1"/>
  <c r="H35" i="28"/>
  <c r="M36" i="28"/>
  <c r="N36" i="28" s="1"/>
  <c r="C38" i="28"/>
  <c r="D38" i="28" s="1"/>
  <c r="H39" i="28"/>
  <c r="M40" i="28"/>
  <c r="N40" i="28" s="1"/>
  <c r="C42" i="28"/>
  <c r="D42" i="28" s="1"/>
  <c r="M44" i="28"/>
  <c r="N44" i="28" s="1"/>
  <c r="M30" i="26"/>
  <c r="N30" i="26" s="1"/>
  <c r="M26" i="26"/>
  <c r="N26" i="26" s="1"/>
  <c r="M22" i="26"/>
  <c r="N22" i="26" s="1"/>
  <c r="M17" i="26"/>
  <c r="N17" i="26" s="1"/>
  <c r="M13" i="26"/>
  <c r="N13" i="26" s="1"/>
  <c r="M9" i="26"/>
  <c r="N9" i="26" s="1"/>
  <c r="M20" i="26"/>
  <c r="N20" i="26" s="1"/>
  <c r="M15" i="26"/>
  <c r="N15" i="26" s="1"/>
  <c r="M47" i="26"/>
  <c r="N47" i="26" s="1"/>
  <c r="M43" i="26"/>
  <c r="N43" i="26" s="1"/>
  <c r="M39" i="26"/>
  <c r="N39" i="26" s="1"/>
  <c r="M35" i="26"/>
  <c r="N35" i="26" s="1"/>
  <c r="M5" i="26"/>
  <c r="N5" i="26" s="1"/>
  <c r="M31" i="26"/>
  <c r="N31" i="26" s="1"/>
  <c r="M27" i="26"/>
  <c r="N27" i="26" s="1"/>
  <c r="M23" i="26"/>
  <c r="N23" i="26" s="1"/>
  <c r="M19" i="26"/>
  <c r="N19" i="26" s="1"/>
  <c r="M14" i="26"/>
  <c r="N14" i="26" s="1"/>
  <c r="M10" i="26"/>
  <c r="N10" i="26" s="1"/>
  <c r="M4" i="26"/>
  <c r="N4" i="26" s="1"/>
  <c r="M24" i="26"/>
  <c r="M11" i="26"/>
  <c r="N11" i="26" s="1"/>
  <c r="M44" i="26"/>
  <c r="N44" i="26" s="1"/>
  <c r="M40" i="26"/>
  <c r="N40" i="26" s="1"/>
  <c r="M36" i="26"/>
  <c r="N36" i="26" s="1"/>
  <c r="M7" i="26"/>
  <c r="N7" i="26" s="1"/>
  <c r="M32" i="26"/>
  <c r="N32" i="26" s="1"/>
  <c r="M28" i="26"/>
  <c r="N28" i="26" s="1"/>
  <c r="M45" i="26"/>
  <c r="N45" i="26" s="1"/>
  <c r="M41" i="26"/>
  <c r="N41" i="26" s="1"/>
  <c r="M37" i="26"/>
  <c r="N37" i="26" s="1"/>
  <c r="M42" i="26"/>
  <c r="N42" i="26" s="1"/>
  <c r="M34" i="26"/>
  <c r="N34" i="26" s="1"/>
  <c r="M33" i="26"/>
  <c r="N33" i="26" s="1"/>
  <c r="M29" i="26"/>
  <c r="N29" i="26" s="1"/>
  <c r="M25" i="26"/>
  <c r="N25" i="26" s="1"/>
  <c r="M21" i="26"/>
  <c r="N21" i="26" s="1"/>
  <c r="M16" i="26"/>
  <c r="N16" i="26" s="1"/>
  <c r="M12" i="26"/>
  <c r="N12" i="26" s="1"/>
  <c r="M46" i="26"/>
  <c r="N46" i="26" s="1"/>
  <c r="M38" i="26"/>
  <c r="N38" i="26" s="1"/>
  <c r="M6" i="26"/>
  <c r="N6" i="26" s="1"/>
  <c r="I27" i="26"/>
  <c r="D32" i="26"/>
  <c r="I10" i="26"/>
  <c r="I31" i="26"/>
  <c r="I33" i="26"/>
  <c r="I14" i="26"/>
  <c r="I34" i="26"/>
  <c r="C36" i="26"/>
  <c r="D36" i="26" s="1"/>
  <c r="H41" i="26"/>
  <c r="I41" i="26" s="1"/>
  <c r="C44" i="26"/>
  <c r="D44" i="26" s="1"/>
  <c r="C4" i="26"/>
  <c r="D4" i="26" s="1"/>
  <c r="H5" i="26"/>
  <c r="I5" i="26" s="1"/>
  <c r="M8" i="26"/>
  <c r="N8" i="26" s="1"/>
  <c r="C10" i="26"/>
  <c r="D10" i="26" s="1"/>
  <c r="H11" i="26"/>
  <c r="I11" i="26" s="1"/>
  <c r="C14" i="26"/>
  <c r="D14" i="26" s="1"/>
  <c r="H15" i="26"/>
  <c r="I15" i="26" s="1"/>
  <c r="C18" i="26"/>
  <c r="D18" i="26" s="1"/>
  <c r="C19" i="26"/>
  <c r="D19" i="26" s="1"/>
  <c r="H20" i="26"/>
  <c r="I20" i="26" s="1"/>
  <c r="C23" i="26"/>
  <c r="D23" i="26" s="1"/>
  <c r="H24" i="26"/>
  <c r="I24" i="26" s="1"/>
  <c r="C27" i="26"/>
  <c r="D27" i="26" s="1"/>
  <c r="H28" i="26"/>
  <c r="I28" i="26" s="1"/>
  <c r="C31" i="26"/>
  <c r="D31" i="26" s="1"/>
  <c r="H32" i="26"/>
  <c r="I32" i="26" s="1"/>
  <c r="C7" i="26"/>
  <c r="D7" i="26" s="1"/>
  <c r="H37" i="26"/>
  <c r="I37" i="26" s="1"/>
  <c r="C40" i="26"/>
  <c r="D40" i="26" s="1"/>
  <c r="H45" i="26"/>
  <c r="I45" i="26" s="1"/>
  <c r="H7" i="26"/>
  <c r="I7" i="26" s="1"/>
  <c r="C35" i="26"/>
  <c r="D35" i="26" s="1"/>
  <c r="H36" i="26"/>
  <c r="I36" i="26" s="1"/>
  <c r="C39" i="26"/>
  <c r="D39" i="26" s="1"/>
  <c r="H40" i="26"/>
  <c r="I40" i="26" s="1"/>
  <c r="C43" i="26"/>
  <c r="D43" i="26" s="1"/>
  <c r="H44" i="26"/>
  <c r="I44" i="26" s="1"/>
  <c r="C47" i="26"/>
  <c r="D47" i="26" s="1"/>
  <c r="C9" i="26"/>
  <c r="D9" i="26" s="1"/>
  <c r="C13" i="26"/>
  <c r="D13" i="26" s="1"/>
  <c r="C17" i="26"/>
  <c r="D17" i="26" s="1"/>
  <c r="C26" i="26"/>
  <c r="D26" i="26" s="1"/>
  <c r="C34" i="26"/>
  <c r="D34" i="26" s="1"/>
  <c r="C8" i="26"/>
  <c r="D8" i="26" s="1"/>
  <c r="H35" i="26"/>
  <c r="I35" i="26" s="1"/>
  <c r="C38" i="26"/>
  <c r="D38" i="26" s="1"/>
  <c r="H39" i="26"/>
  <c r="I39" i="26" s="1"/>
  <c r="C42" i="26"/>
  <c r="D42" i="26" s="1"/>
  <c r="H43" i="26"/>
  <c r="I43" i="26" s="1"/>
  <c r="C46" i="26"/>
  <c r="D46" i="26" s="1"/>
  <c r="H47" i="26"/>
  <c r="I47" i="26" s="1"/>
  <c r="C6" i="26"/>
  <c r="D6" i="26" s="1"/>
  <c r="C22" i="26"/>
  <c r="D22" i="26" s="1"/>
  <c r="C30" i="26"/>
  <c r="D30" i="26" s="1"/>
  <c r="H6" i="26"/>
  <c r="I6" i="26" s="1"/>
  <c r="H9" i="26"/>
  <c r="I9" i="26" s="1"/>
  <c r="H13" i="26"/>
  <c r="I13" i="26" s="1"/>
  <c r="C16" i="26"/>
  <c r="D16" i="26" s="1"/>
  <c r="H17" i="26"/>
  <c r="I17" i="26" s="1"/>
  <c r="C21" i="26"/>
  <c r="D21" i="26" s="1"/>
  <c r="H22" i="26"/>
  <c r="I22" i="26" s="1"/>
  <c r="C25" i="26"/>
  <c r="D25" i="26" s="1"/>
  <c r="H26" i="26"/>
  <c r="I26" i="26" s="1"/>
  <c r="C29" i="26"/>
  <c r="D29" i="26" s="1"/>
  <c r="H30" i="26"/>
  <c r="I30" i="26" s="1"/>
  <c r="C33" i="26"/>
  <c r="D33" i="26" s="1"/>
  <c r="U6" i="26"/>
  <c r="H8" i="26"/>
  <c r="I8" i="26" s="1"/>
  <c r="C37" i="26"/>
  <c r="D37" i="26" s="1"/>
  <c r="H38" i="26"/>
  <c r="I38" i="26" s="1"/>
  <c r="C41" i="26"/>
  <c r="D41" i="26" s="1"/>
  <c r="H42" i="26"/>
  <c r="I42" i="26" s="1"/>
  <c r="C45" i="26"/>
  <c r="D45" i="26" s="1"/>
  <c r="H46" i="26"/>
  <c r="I46" i="26" s="1"/>
  <c r="C12" i="26"/>
  <c r="D12" i="26" s="1"/>
  <c r="C5" i="26"/>
  <c r="D5" i="26" s="1"/>
  <c r="C11" i="26"/>
  <c r="D11" i="26" s="1"/>
  <c r="H12" i="26"/>
  <c r="I12" i="26" s="1"/>
  <c r="C15" i="26"/>
  <c r="D15" i="26" s="1"/>
  <c r="H16" i="26"/>
  <c r="I16" i="26" s="1"/>
  <c r="C20" i="26"/>
  <c r="D20" i="26" s="1"/>
  <c r="H21" i="26"/>
  <c r="I21" i="26" s="1"/>
  <c r="C24" i="26"/>
  <c r="D24" i="26" s="1"/>
  <c r="H25" i="26"/>
  <c r="I25" i="26" s="1"/>
  <c r="C28" i="26"/>
  <c r="D28" i="26" s="1"/>
  <c r="H29" i="26"/>
  <c r="I29" i="26" s="1"/>
  <c r="D7" i="24"/>
  <c r="D45" i="24"/>
  <c r="D32" i="24"/>
  <c r="G2" i="24"/>
  <c r="H8" i="24" s="1"/>
  <c r="I8" i="24" s="1"/>
  <c r="I2" i="24"/>
  <c r="L2" i="24"/>
  <c r="N2" i="24"/>
  <c r="C44" i="24"/>
  <c r="D44" i="24" s="1"/>
  <c r="C10" i="24"/>
  <c r="D10" i="24" s="1"/>
  <c r="C14" i="24"/>
  <c r="D14" i="24" s="1"/>
  <c r="C18" i="24"/>
  <c r="D18" i="24" s="1"/>
  <c r="C22" i="24"/>
  <c r="D22" i="24" s="1"/>
  <c r="C26" i="24"/>
  <c r="D26" i="24" s="1"/>
  <c r="C30" i="24"/>
  <c r="D30" i="24" s="1"/>
  <c r="C35" i="24"/>
  <c r="D35" i="24" s="1"/>
  <c r="C39" i="24"/>
  <c r="D39" i="24" s="1"/>
  <c r="C43" i="24"/>
  <c r="D43" i="24" s="1"/>
  <c r="C47" i="24"/>
  <c r="D47" i="24" s="1"/>
  <c r="C11" i="24"/>
  <c r="D11" i="24" s="1"/>
  <c r="C15" i="24"/>
  <c r="D15" i="24" s="1"/>
  <c r="C19" i="24"/>
  <c r="D19" i="24" s="1"/>
  <c r="C23" i="24"/>
  <c r="D23" i="24" s="1"/>
  <c r="C27" i="24"/>
  <c r="D27" i="24" s="1"/>
  <c r="C31" i="24"/>
  <c r="D31" i="24" s="1"/>
  <c r="C40" i="24"/>
  <c r="D40" i="24" s="1"/>
  <c r="C4" i="24"/>
  <c r="D4" i="24" s="1"/>
  <c r="C9" i="24"/>
  <c r="D9" i="24" s="1"/>
  <c r="C13" i="24"/>
  <c r="D13" i="24" s="1"/>
  <c r="C17" i="24"/>
  <c r="D17" i="24" s="1"/>
  <c r="C21" i="24"/>
  <c r="D21" i="24" s="1"/>
  <c r="C25" i="24"/>
  <c r="D25" i="24" s="1"/>
  <c r="C29" i="24"/>
  <c r="D29" i="24" s="1"/>
  <c r="C38" i="24"/>
  <c r="D38" i="24" s="1"/>
  <c r="C42" i="24"/>
  <c r="D42" i="24" s="1"/>
  <c r="C46" i="24"/>
  <c r="D46" i="24" s="1"/>
  <c r="C6" i="24"/>
  <c r="D6" i="24" s="1"/>
  <c r="C36" i="24"/>
  <c r="D36" i="24" s="1"/>
  <c r="C5" i="24"/>
  <c r="D5" i="24" s="1"/>
  <c r="C34" i="24"/>
  <c r="D34" i="24" s="1"/>
  <c r="C8" i="24"/>
  <c r="D8" i="24" s="1"/>
  <c r="C33" i="24"/>
  <c r="D33" i="24" s="1"/>
  <c r="C12" i="24"/>
  <c r="D12" i="24" s="1"/>
  <c r="C16" i="24"/>
  <c r="D16" i="24" s="1"/>
  <c r="C20" i="24"/>
  <c r="D20" i="24" s="1"/>
  <c r="C24" i="24"/>
  <c r="D24" i="24" s="1"/>
  <c r="C28" i="24"/>
  <c r="D28" i="24" s="1"/>
  <c r="C37" i="24"/>
  <c r="D37" i="24" s="1"/>
  <c r="C41" i="24"/>
  <c r="D41" i="24" s="1"/>
  <c r="M45" i="22"/>
  <c r="N45" i="22" s="1"/>
  <c r="C45" i="22"/>
  <c r="D45" i="22" s="1"/>
  <c r="C43" i="22"/>
  <c r="D43" i="22" s="1"/>
  <c r="M41" i="22"/>
  <c r="N41" i="22" s="1"/>
  <c r="C41" i="22"/>
  <c r="D41" i="22" s="1"/>
  <c r="C39" i="22"/>
  <c r="D39" i="22" s="1"/>
  <c r="M37" i="22"/>
  <c r="N37" i="22" s="1"/>
  <c r="C37" i="22"/>
  <c r="D37" i="22" s="1"/>
  <c r="C35" i="22"/>
  <c r="D35" i="22" s="1"/>
  <c r="L34" i="22"/>
  <c r="M34" i="22" s="1"/>
  <c r="N34" i="22" s="1"/>
  <c r="M33" i="22"/>
  <c r="N33" i="22" s="1"/>
  <c r="C33" i="22"/>
  <c r="D33" i="22" s="1"/>
  <c r="M31" i="22"/>
  <c r="N31" i="22" s="1"/>
  <c r="C31" i="22"/>
  <c r="D31" i="22" s="1"/>
  <c r="M29" i="22"/>
  <c r="N29" i="22" s="1"/>
  <c r="C29" i="22"/>
  <c r="D29" i="22" s="1"/>
  <c r="M27" i="22"/>
  <c r="N27" i="22" s="1"/>
  <c r="C27" i="22"/>
  <c r="D27" i="22" s="1"/>
  <c r="M25" i="22"/>
  <c r="N25" i="22" s="1"/>
  <c r="C25" i="22"/>
  <c r="D25" i="22" s="1"/>
  <c r="M23" i="22"/>
  <c r="N23" i="22" s="1"/>
  <c r="C23" i="22"/>
  <c r="D23" i="22" s="1"/>
  <c r="M21" i="22"/>
  <c r="N21" i="22" s="1"/>
  <c r="C21" i="22"/>
  <c r="D21" i="22" s="1"/>
  <c r="M19" i="22"/>
  <c r="N19" i="22" s="1"/>
  <c r="C19" i="22"/>
  <c r="D19" i="22" s="1"/>
  <c r="M17" i="22"/>
  <c r="N17" i="22" s="1"/>
  <c r="C17" i="22"/>
  <c r="D17" i="22" s="1"/>
  <c r="M15" i="22"/>
  <c r="N15" i="22" s="1"/>
  <c r="C15" i="22"/>
  <c r="D15" i="22" s="1"/>
  <c r="M13" i="22"/>
  <c r="N13" i="22" s="1"/>
  <c r="C13" i="22"/>
  <c r="D13" i="22" s="1"/>
  <c r="H12" i="22"/>
  <c r="I12" i="22" s="1"/>
  <c r="M11" i="22"/>
  <c r="N11" i="22" s="1"/>
  <c r="C11" i="22"/>
  <c r="D11" i="22" s="1"/>
  <c r="C10" i="22"/>
  <c r="D10" i="22" s="1"/>
  <c r="M9" i="22"/>
  <c r="N9" i="22" s="1"/>
  <c r="C9" i="22"/>
  <c r="D9" i="22" s="1"/>
  <c r="G8" i="22"/>
  <c r="C8" i="22"/>
  <c r="D8" i="22" s="1"/>
  <c r="M6" i="22"/>
  <c r="N6" i="22" s="1"/>
  <c r="G6" i="22"/>
  <c r="C6" i="22"/>
  <c r="D6" i="22" s="1"/>
  <c r="C5" i="22"/>
  <c r="D5" i="22" s="1"/>
  <c r="N4" i="22"/>
  <c r="M4" i="22"/>
  <c r="C4" i="22"/>
  <c r="D4" i="22" s="1"/>
  <c r="N2" i="22"/>
  <c r="L2" i="22"/>
  <c r="M47" i="22" s="1"/>
  <c r="N47" i="22" s="1"/>
  <c r="I2" i="22"/>
  <c r="G2" i="22"/>
  <c r="D2" i="22"/>
  <c r="B2" i="22"/>
  <c r="C44" i="22" s="1"/>
  <c r="D44" i="22" s="1"/>
  <c r="I28" i="28" l="1"/>
  <c r="I15" i="28"/>
  <c r="I18" i="28"/>
  <c r="I16" i="28"/>
  <c r="I33" i="28"/>
  <c r="I43" i="28"/>
  <c r="I9" i="28"/>
  <c r="I29" i="28"/>
  <c r="I22" i="28"/>
  <c r="I23" i="28"/>
  <c r="I37" i="28"/>
  <c r="I13" i="28"/>
  <c r="I5" i="28"/>
  <c r="I24" i="28"/>
  <c r="I11" i="28"/>
  <c r="I42" i="28"/>
  <c r="I26" i="28"/>
  <c r="I6" i="28"/>
  <c r="I36" i="28"/>
  <c r="I31" i="28"/>
  <c r="I45" i="28"/>
  <c r="I17" i="28"/>
  <c r="I35" i="28"/>
  <c r="I10" i="28"/>
  <c r="I34" i="28"/>
  <c r="I39" i="28"/>
  <c r="I32" i="28"/>
  <c r="I4" i="28"/>
  <c r="I8" i="28"/>
  <c r="I7" i="28"/>
  <c r="I21" i="28"/>
  <c r="I40" i="28"/>
  <c r="I38" i="28"/>
  <c r="I44" i="28"/>
  <c r="I20" i="28"/>
  <c r="I12" i="28"/>
  <c r="I27" i="28"/>
  <c r="I14" i="28"/>
  <c r="I41" i="28"/>
  <c r="I25" i="28"/>
  <c r="I19" i="28"/>
  <c r="I46" i="28"/>
  <c r="M47" i="24"/>
  <c r="N47" i="24" s="1"/>
  <c r="M43" i="24"/>
  <c r="N43" i="24" s="1"/>
  <c r="M39" i="24"/>
  <c r="N39" i="24" s="1"/>
  <c r="M35" i="24"/>
  <c r="N35" i="24" s="1"/>
  <c r="M30" i="24"/>
  <c r="N30" i="24" s="1"/>
  <c r="M26" i="24"/>
  <c r="N26" i="24" s="1"/>
  <c r="M22" i="24"/>
  <c r="N22" i="24" s="1"/>
  <c r="M18" i="24"/>
  <c r="N18" i="24" s="1"/>
  <c r="M14" i="24"/>
  <c r="N14" i="24" s="1"/>
  <c r="M10" i="24"/>
  <c r="N10" i="24" s="1"/>
  <c r="M5" i="24"/>
  <c r="N5" i="24" s="1"/>
  <c r="M31" i="24"/>
  <c r="N31" i="24" s="1"/>
  <c r="M6" i="24"/>
  <c r="N6" i="24" s="1"/>
  <c r="M7" i="24"/>
  <c r="N7" i="24" s="1"/>
  <c r="M46" i="24"/>
  <c r="N46" i="24" s="1"/>
  <c r="M42" i="24"/>
  <c r="N42" i="24" s="1"/>
  <c r="M38" i="24"/>
  <c r="N38" i="24" s="1"/>
  <c r="M29" i="24"/>
  <c r="N29" i="24" s="1"/>
  <c r="M25" i="24"/>
  <c r="N25" i="24" s="1"/>
  <c r="M21" i="24"/>
  <c r="N21" i="24" s="1"/>
  <c r="M17" i="24"/>
  <c r="N17" i="24" s="1"/>
  <c r="M13" i="24"/>
  <c r="N13" i="24" s="1"/>
  <c r="M44" i="24"/>
  <c r="N44" i="24" s="1"/>
  <c r="M40" i="24"/>
  <c r="N40" i="24" s="1"/>
  <c r="M36" i="24"/>
  <c r="N36" i="24" s="1"/>
  <c r="M27" i="24"/>
  <c r="N27" i="24" s="1"/>
  <c r="M23" i="24"/>
  <c r="N23" i="24" s="1"/>
  <c r="M19" i="24"/>
  <c r="N19" i="24" s="1"/>
  <c r="M15" i="24"/>
  <c r="N15" i="24" s="1"/>
  <c r="M11" i="24"/>
  <c r="N11" i="24" s="1"/>
  <c r="M32" i="24"/>
  <c r="N32" i="24" s="1"/>
  <c r="M45" i="24"/>
  <c r="N45" i="24" s="1"/>
  <c r="M41" i="24"/>
  <c r="N41" i="24" s="1"/>
  <c r="M37" i="24"/>
  <c r="N37" i="24" s="1"/>
  <c r="M28" i="24"/>
  <c r="N28" i="24" s="1"/>
  <c r="M24" i="24"/>
  <c r="N24" i="24" s="1"/>
  <c r="M20" i="24"/>
  <c r="N20" i="24" s="1"/>
  <c r="M16" i="24"/>
  <c r="N16" i="24" s="1"/>
  <c r="M12" i="24"/>
  <c r="N12" i="24" s="1"/>
  <c r="M8" i="24"/>
  <c r="N8" i="24" s="1"/>
  <c r="M33" i="24"/>
  <c r="N33" i="24" s="1"/>
  <c r="M9" i="24"/>
  <c r="N9" i="24" s="1"/>
  <c r="M4" i="24"/>
  <c r="N4" i="24" s="1"/>
  <c r="H46" i="24"/>
  <c r="I46" i="24" s="1"/>
  <c r="H42" i="24"/>
  <c r="I42" i="24" s="1"/>
  <c r="H38" i="24"/>
  <c r="I38" i="24" s="1"/>
  <c r="H29" i="24"/>
  <c r="I29" i="24" s="1"/>
  <c r="H25" i="24"/>
  <c r="I25" i="24" s="1"/>
  <c r="H21" i="24"/>
  <c r="I21" i="24" s="1"/>
  <c r="H17" i="24"/>
  <c r="I17" i="24" s="1"/>
  <c r="H13" i="24"/>
  <c r="I13" i="24" s="1"/>
  <c r="H9" i="24"/>
  <c r="I9" i="24" s="1"/>
  <c r="H4" i="24"/>
  <c r="I4" i="24" s="1"/>
  <c r="H34" i="24"/>
  <c r="I34" i="24" s="1"/>
  <c r="H31" i="24"/>
  <c r="I31" i="24" s="1"/>
  <c r="H41" i="24"/>
  <c r="I41" i="24" s="1"/>
  <c r="H47" i="24"/>
  <c r="I47" i="24" s="1"/>
  <c r="H43" i="24"/>
  <c r="I43" i="24" s="1"/>
  <c r="H39" i="24"/>
  <c r="I39" i="24" s="1"/>
  <c r="H35" i="24"/>
  <c r="I35" i="24" s="1"/>
  <c r="H30" i="24"/>
  <c r="I30" i="24" s="1"/>
  <c r="H26" i="24"/>
  <c r="I26" i="24" s="1"/>
  <c r="H22" i="24"/>
  <c r="I22" i="24" s="1"/>
  <c r="H18" i="24"/>
  <c r="I18" i="24" s="1"/>
  <c r="H14" i="24"/>
  <c r="I14" i="24" s="1"/>
  <c r="H10" i="24"/>
  <c r="I10" i="24" s="1"/>
  <c r="H5" i="24"/>
  <c r="I5" i="24" s="1"/>
  <c r="H45" i="24"/>
  <c r="I45" i="24" s="1"/>
  <c r="H44" i="24"/>
  <c r="I44" i="24" s="1"/>
  <c r="H40" i="24"/>
  <c r="I40" i="24" s="1"/>
  <c r="H36" i="24"/>
  <c r="I36" i="24" s="1"/>
  <c r="H27" i="24"/>
  <c r="I27" i="24" s="1"/>
  <c r="H23" i="24"/>
  <c r="I23" i="24" s="1"/>
  <c r="H19" i="24"/>
  <c r="I19" i="24" s="1"/>
  <c r="H15" i="24"/>
  <c r="I15" i="24" s="1"/>
  <c r="H11" i="24"/>
  <c r="I11" i="24" s="1"/>
  <c r="H32" i="24"/>
  <c r="I32" i="24" s="1"/>
  <c r="H7" i="24"/>
  <c r="I7" i="24" s="1"/>
  <c r="H37" i="24"/>
  <c r="I37" i="24" s="1"/>
  <c r="H28" i="24"/>
  <c r="I28" i="24" s="1"/>
  <c r="H24" i="24"/>
  <c r="I24" i="24" s="1"/>
  <c r="H20" i="24"/>
  <c r="I20" i="24" s="1"/>
  <c r="H16" i="24"/>
  <c r="I16" i="24" s="1"/>
  <c r="H12" i="24"/>
  <c r="I12" i="24" s="1"/>
  <c r="H33" i="24"/>
  <c r="I33" i="24" s="1"/>
  <c r="H6" i="24"/>
  <c r="I6" i="24" s="1"/>
  <c r="M34" i="24"/>
  <c r="N34" i="24" s="1"/>
  <c r="H45" i="22"/>
  <c r="I45" i="22" s="1"/>
  <c r="H41" i="22"/>
  <c r="I41" i="22" s="1"/>
  <c r="H37" i="22"/>
  <c r="I37" i="22" s="1"/>
  <c r="H34" i="22"/>
  <c r="I34" i="22" s="1"/>
  <c r="H30" i="22"/>
  <c r="I30" i="22" s="1"/>
  <c r="H10" i="22"/>
  <c r="I10" i="22" s="1"/>
  <c r="H33" i="22"/>
  <c r="I33" i="22" s="1"/>
  <c r="H29" i="22"/>
  <c r="I29" i="22" s="1"/>
  <c r="H25" i="22"/>
  <c r="I25" i="22" s="1"/>
  <c r="H21" i="22"/>
  <c r="I21" i="22" s="1"/>
  <c r="H17" i="22"/>
  <c r="I17" i="22" s="1"/>
  <c r="H13" i="22"/>
  <c r="I13" i="22" s="1"/>
  <c r="H9" i="22"/>
  <c r="I9" i="22" s="1"/>
  <c r="H4" i="22"/>
  <c r="I4" i="22" s="1"/>
  <c r="H42" i="22"/>
  <c r="I42" i="22" s="1"/>
  <c r="H38" i="22"/>
  <c r="I38" i="22" s="1"/>
  <c r="H26" i="22"/>
  <c r="I26" i="22" s="1"/>
  <c r="H22" i="22"/>
  <c r="I22" i="22" s="1"/>
  <c r="H18" i="22"/>
  <c r="I18" i="22" s="1"/>
  <c r="H14" i="22"/>
  <c r="I14" i="22" s="1"/>
  <c r="H43" i="22"/>
  <c r="I43" i="22" s="1"/>
  <c r="H39" i="22"/>
  <c r="I39" i="22" s="1"/>
  <c r="H35" i="22"/>
  <c r="I35" i="22" s="1"/>
  <c r="H31" i="22"/>
  <c r="I31" i="22" s="1"/>
  <c r="H27" i="22"/>
  <c r="I27" i="22" s="1"/>
  <c r="H23" i="22"/>
  <c r="I23" i="22" s="1"/>
  <c r="H19" i="22"/>
  <c r="I19" i="22" s="1"/>
  <c r="H15" i="22"/>
  <c r="I15" i="22" s="1"/>
  <c r="H11" i="22"/>
  <c r="I11" i="22" s="1"/>
  <c r="H44" i="22"/>
  <c r="I44" i="22" s="1"/>
  <c r="H40" i="22"/>
  <c r="I40" i="22" s="1"/>
  <c r="H36" i="22"/>
  <c r="I36" i="22" s="1"/>
  <c r="H7" i="22"/>
  <c r="I7" i="22" s="1"/>
  <c r="H5" i="22"/>
  <c r="I5" i="22" s="1"/>
  <c r="H8" i="22"/>
  <c r="I8" i="22" s="1"/>
  <c r="H20" i="22"/>
  <c r="I20" i="22" s="1"/>
  <c r="H28" i="22"/>
  <c r="I28" i="22" s="1"/>
  <c r="H6" i="22"/>
  <c r="I6" i="22" s="1"/>
  <c r="H16" i="22"/>
  <c r="I16" i="22" s="1"/>
  <c r="H32" i="22"/>
  <c r="I32" i="22" s="1"/>
  <c r="H24" i="22"/>
  <c r="I24" i="22" s="1"/>
  <c r="M8" i="22"/>
  <c r="N8" i="22" s="1"/>
  <c r="M12" i="22"/>
  <c r="N12" i="22" s="1"/>
  <c r="C14" i="22"/>
  <c r="D14" i="22" s="1"/>
  <c r="M16" i="22"/>
  <c r="N16" i="22" s="1"/>
  <c r="C18" i="22"/>
  <c r="D18" i="22" s="1"/>
  <c r="M20" i="22"/>
  <c r="N20" i="22" s="1"/>
  <c r="C22" i="22"/>
  <c r="D22" i="22" s="1"/>
  <c r="M24" i="22"/>
  <c r="N24" i="22" s="1"/>
  <c r="C26" i="22"/>
  <c r="D26" i="22" s="1"/>
  <c r="M28" i="22"/>
  <c r="N28" i="22" s="1"/>
  <c r="C30" i="22"/>
  <c r="D30" i="22" s="1"/>
  <c r="M32" i="22"/>
  <c r="N32" i="22" s="1"/>
  <c r="C34" i="22"/>
  <c r="D34" i="22" s="1"/>
  <c r="M7" i="22"/>
  <c r="N7" i="22" s="1"/>
  <c r="M36" i="22"/>
  <c r="N36" i="22" s="1"/>
  <c r="C38" i="22"/>
  <c r="D38" i="22" s="1"/>
  <c r="M40" i="22"/>
  <c r="N40" i="22" s="1"/>
  <c r="C42" i="22"/>
  <c r="D42" i="22" s="1"/>
  <c r="M44" i="22"/>
  <c r="N44" i="22" s="1"/>
  <c r="C46" i="22"/>
  <c r="D46" i="22" s="1"/>
  <c r="M35" i="22"/>
  <c r="N35" i="22" s="1"/>
  <c r="M39" i="22"/>
  <c r="N39" i="22" s="1"/>
  <c r="M43" i="22"/>
  <c r="N43" i="22" s="1"/>
  <c r="M46" i="22"/>
  <c r="N46" i="22" s="1"/>
  <c r="M5" i="22"/>
  <c r="N5" i="22" s="1"/>
  <c r="M10" i="22"/>
  <c r="N10" i="22" s="1"/>
  <c r="C12" i="22"/>
  <c r="D12" i="22" s="1"/>
  <c r="M14" i="22"/>
  <c r="N14" i="22" s="1"/>
  <c r="C16" i="22"/>
  <c r="D16" i="22" s="1"/>
  <c r="M18" i="22"/>
  <c r="N18" i="22" s="1"/>
  <c r="C20" i="22"/>
  <c r="D20" i="22" s="1"/>
  <c r="M22" i="22"/>
  <c r="N22" i="22" s="1"/>
  <c r="C24" i="22"/>
  <c r="D24" i="22" s="1"/>
  <c r="M26" i="22"/>
  <c r="N26" i="22" s="1"/>
  <c r="C28" i="22"/>
  <c r="D28" i="22" s="1"/>
  <c r="M30" i="22"/>
  <c r="N30" i="22" s="1"/>
  <c r="C32" i="22"/>
  <c r="D32" i="22" s="1"/>
  <c r="C7" i="22"/>
  <c r="D7" i="22" s="1"/>
  <c r="C36" i="22"/>
  <c r="D36" i="22" s="1"/>
  <c r="M38" i="22"/>
  <c r="N38" i="22" s="1"/>
  <c r="C40" i="22"/>
  <c r="D40" i="22" s="1"/>
  <c r="M42" i="22"/>
  <c r="N42" i="22" s="1"/>
  <c r="S4" i="7" l="1"/>
  <c r="K4" i="7"/>
  <c r="L4" i="7"/>
  <c r="E4" i="7"/>
  <c r="D4" i="7"/>
  <c r="D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" i="8"/>
  <c r="C47" i="8"/>
  <c r="C47" i="7"/>
  <c r="D47" i="7"/>
  <c r="E47" i="7"/>
  <c r="L47" i="8"/>
  <c r="K47" i="8"/>
  <c r="M47" i="8" s="1"/>
  <c r="N47" i="8" s="1"/>
  <c r="L47" i="7"/>
  <c r="K47" i="7"/>
  <c r="M47" i="7" s="1"/>
  <c r="N47" i="7" s="1"/>
  <c r="K46" i="7"/>
  <c r="S59" i="8"/>
  <c r="R59" i="8"/>
  <c r="T59" i="8" s="1"/>
  <c r="U59" i="8" s="1"/>
  <c r="S47" i="7"/>
  <c r="R47" i="7"/>
  <c r="T47" i="7" s="1"/>
  <c r="U47" i="7" s="1"/>
  <c r="S59" i="3"/>
  <c r="R59" i="3"/>
  <c r="T59" i="3" s="1"/>
  <c r="U59" i="3" s="1"/>
  <c r="F47" i="7" l="1"/>
  <c r="G47" i="7" s="1"/>
  <c r="D46" i="8"/>
  <c r="C46" i="8"/>
  <c r="D47" i="8" l="1"/>
  <c r="F47" i="8" s="1"/>
  <c r="F46" i="8"/>
  <c r="G46" i="8" s="1"/>
  <c r="D46" i="7"/>
  <c r="F46" i="7" s="1"/>
  <c r="E46" i="7"/>
  <c r="C46" i="7"/>
  <c r="S46" i="7"/>
  <c r="R46" i="7"/>
  <c r="T46" i="7" s="1"/>
  <c r="S58" i="3"/>
  <c r="R58" i="3"/>
  <c r="T58" i="3" s="1"/>
  <c r="U58" i="3" s="1"/>
  <c r="G46" i="7" l="1"/>
  <c r="G47" i="8"/>
  <c r="U46" i="7"/>
  <c r="L46" i="3"/>
  <c r="K46" i="3"/>
  <c r="M46" i="3" s="1"/>
  <c r="L46" i="7"/>
  <c r="M46" i="7"/>
  <c r="N46" i="7" s="1"/>
  <c r="L46" i="8"/>
  <c r="K46" i="8"/>
  <c r="M46" i="8" s="1"/>
  <c r="N46" i="8" s="1"/>
  <c r="S58" i="8"/>
  <c r="R58" i="8"/>
  <c r="T58" i="8" s="1"/>
  <c r="R4" i="3"/>
  <c r="C45" i="8"/>
  <c r="D45" i="8"/>
  <c r="F45" i="8" s="1"/>
  <c r="C45" i="7"/>
  <c r="D45" i="7"/>
  <c r="E45" i="7"/>
  <c r="C66" i="3"/>
  <c r="D66" i="3"/>
  <c r="F66" i="3" s="1"/>
  <c r="E66" i="3"/>
  <c r="S57" i="3"/>
  <c r="R57" i="3"/>
  <c r="T57" i="3" s="1"/>
  <c r="G45" i="8" l="1"/>
  <c r="N46" i="3"/>
  <c r="U58" i="8"/>
  <c r="F45" i="7"/>
  <c r="G45" i="7" s="1"/>
  <c r="G66" i="3"/>
  <c r="U57" i="3"/>
  <c r="L44" i="7" l="1"/>
  <c r="K44" i="7"/>
  <c r="M44" i="7" s="1"/>
  <c r="N44" i="7" s="1"/>
  <c r="L45" i="7"/>
  <c r="K45" i="7"/>
  <c r="M45" i="7" s="1"/>
  <c r="N45" i="7" s="1"/>
  <c r="S45" i="7"/>
  <c r="R45" i="7"/>
  <c r="T45" i="7" s="1"/>
  <c r="S57" i="8"/>
  <c r="R57" i="8"/>
  <c r="T57" i="8" s="1"/>
  <c r="U45" i="7" l="1"/>
  <c r="U57" i="8"/>
  <c r="L45" i="8"/>
  <c r="K45" i="8"/>
  <c r="M45" i="8" s="1"/>
  <c r="L45" i="3"/>
  <c r="K45" i="3"/>
  <c r="M45" i="3" s="1"/>
  <c r="R44" i="7"/>
  <c r="T44" i="7" s="1"/>
  <c r="S44" i="7"/>
  <c r="C44" i="7"/>
  <c r="D44" i="7" s="1"/>
  <c r="C65" i="3"/>
  <c r="C44" i="8"/>
  <c r="K44" i="8"/>
  <c r="M44" i="8" s="1"/>
  <c r="L44" i="8"/>
  <c r="K44" i="3"/>
  <c r="M44" i="3" s="1"/>
  <c r="L44" i="3"/>
  <c r="C43" i="8"/>
  <c r="C43" i="7"/>
  <c r="C64" i="3"/>
  <c r="K43" i="8"/>
  <c r="M43" i="8" s="1"/>
  <c r="L43" i="8"/>
  <c r="K43" i="7"/>
  <c r="M43" i="7" s="1"/>
  <c r="L43" i="7"/>
  <c r="K43" i="3"/>
  <c r="M43" i="3" s="1"/>
  <c r="L43" i="3"/>
  <c r="R43" i="7"/>
  <c r="T43" i="7" s="1"/>
  <c r="S43" i="7"/>
  <c r="R42" i="7"/>
  <c r="T42" i="7" s="1"/>
  <c r="S42" i="7"/>
  <c r="C42" i="8"/>
  <c r="C42" i="7"/>
  <c r="C63" i="3"/>
  <c r="K42" i="8"/>
  <c r="M42" i="8" s="1"/>
  <c r="L42" i="8"/>
  <c r="K42" i="7"/>
  <c r="M42" i="7" s="1"/>
  <c r="L42" i="7"/>
  <c r="K42" i="3"/>
  <c r="M42" i="3" s="1"/>
  <c r="L42" i="3"/>
  <c r="R41" i="7"/>
  <c r="T41" i="7" s="1"/>
  <c r="S41" i="7"/>
  <c r="K41" i="8"/>
  <c r="M41" i="8" s="1"/>
  <c r="L41" i="8"/>
  <c r="K41" i="7"/>
  <c r="M41" i="7" s="1"/>
  <c r="L41" i="7"/>
  <c r="K41" i="3"/>
  <c r="M41" i="3" s="1"/>
  <c r="L41" i="3"/>
  <c r="C41" i="8"/>
  <c r="C41" i="7"/>
  <c r="C62" i="3"/>
  <c r="C40" i="8"/>
  <c r="C40" i="7"/>
  <c r="C61" i="3"/>
  <c r="K40" i="3"/>
  <c r="M40" i="3" s="1"/>
  <c r="L40" i="3"/>
  <c r="K40" i="8"/>
  <c r="M40" i="8" s="1"/>
  <c r="L40" i="8"/>
  <c r="K40" i="7"/>
  <c r="M40" i="7" s="1"/>
  <c r="L40" i="7"/>
  <c r="R40" i="7"/>
  <c r="T40" i="7" s="1"/>
  <c r="S40" i="7"/>
  <c r="C38" i="7"/>
  <c r="C39" i="7"/>
  <c r="C39" i="8"/>
  <c r="C60" i="3"/>
  <c r="K39" i="8"/>
  <c r="M39" i="8" s="1"/>
  <c r="L39" i="8"/>
  <c r="K39" i="7"/>
  <c r="M39" i="7" s="1"/>
  <c r="L39" i="7"/>
  <c r="K39" i="3"/>
  <c r="M39" i="3" s="1"/>
  <c r="L39" i="3"/>
  <c r="R39" i="7"/>
  <c r="T39" i="7" s="1"/>
  <c r="S39" i="7"/>
  <c r="N44" i="3" l="1"/>
  <c r="N41" i="3"/>
  <c r="N45" i="3"/>
  <c r="N42" i="3"/>
  <c r="N45" i="8"/>
  <c r="U41" i="7"/>
  <c r="U44" i="7"/>
  <c r="U40" i="7"/>
  <c r="N39" i="8"/>
  <c r="N41" i="8"/>
  <c r="N44" i="8"/>
  <c r="N43" i="8"/>
  <c r="N42" i="8"/>
  <c r="N40" i="8"/>
  <c r="N43" i="3"/>
  <c r="N39" i="3"/>
  <c r="N40" i="3"/>
  <c r="N39" i="7"/>
  <c r="N43" i="7"/>
  <c r="E43" i="7"/>
  <c r="D41" i="7"/>
  <c r="F41" i="7" s="1"/>
  <c r="E42" i="7"/>
  <c r="D42" i="7"/>
  <c r="F42" i="7" s="1"/>
  <c r="N41" i="7"/>
  <c r="N40" i="7"/>
  <c r="N42" i="7"/>
  <c r="U39" i="7"/>
  <c r="U42" i="7"/>
  <c r="U43" i="7"/>
  <c r="D43" i="7"/>
  <c r="F43" i="7" s="1"/>
  <c r="E44" i="7"/>
  <c r="F44" i="7"/>
  <c r="E41" i="7"/>
  <c r="D40" i="7"/>
  <c r="F40" i="7" s="1"/>
  <c r="E39" i="7"/>
  <c r="D39" i="7"/>
  <c r="F39" i="7" s="1"/>
  <c r="E40" i="7"/>
  <c r="K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M37" i="8" s="1"/>
  <c r="K38" i="8"/>
  <c r="M38" i="8" s="1"/>
  <c r="C38" i="8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M37" i="7" s="1"/>
  <c r="K38" i="7"/>
  <c r="M38" i="7" s="1"/>
  <c r="L4" i="3"/>
  <c r="K4" i="3"/>
  <c r="C59" i="3"/>
  <c r="K38" i="3"/>
  <c r="M38" i="3" s="1"/>
  <c r="L38" i="3"/>
  <c r="C37" i="8"/>
  <c r="C37" i="7"/>
  <c r="C58" i="3"/>
  <c r="K37" i="3"/>
  <c r="M37" i="3" s="1"/>
  <c r="L37" i="3"/>
  <c r="N38" i="8" l="1"/>
  <c r="G43" i="7"/>
  <c r="N37" i="7"/>
  <c r="N37" i="3"/>
  <c r="N38" i="3"/>
  <c r="G42" i="7"/>
  <c r="G44" i="7"/>
  <c r="G41" i="7"/>
  <c r="G40" i="7"/>
  <c r="G39" i="7"/>
  <c r="N37" i="8"/>
  <c r="N38" i="7"/>
  <c r="C36" i="8" l="1"/>
  <c r="C36" i="7"/>
  <c r="C57" i="3"/>
  <c r="K36" i="3" l="1"/>
  <c r="M36" i="3" s="1"/>
  <c r="L36" i="3"/>
  <c r="M36" i="7"/>
  <c r="N36" i="7" s="1"/>
  <c r="M36" i="8"/>
  <c r="N36" i="8" s="1"/>
  <c r="AC8" i="8"/>
  <c r="AC9" i="8"/>
  <c r="AC7" i="8"/>
  <c r="AA7" i="8"/>
  <c r="AB9" i="8"/>
  <c r="AB7" i="8"/>
  <c r="AA8" i="8"/>
  <c r="AA9" i="8"/>
  <c r="N36" i="3" l="1"/>
  <c r="AD6" i="3"/>
  <c r="AD7" i="3"/>
  <c r="AD5" i="3"/>
  <c r="AC7" i="3"/>
  <c r="AC5" i="3"/>
  <c r="AB6" i="3"/>
  <c r="AB7" i="3"/>
  <c r="AB5" i="3"/>
  <c r="K35" i="3" l="1"/>
  <c r="M35" i="3" s="1"/>
  <c r="L35" i="3"/>
  <c r="M35" i="7"/>
  <c r="C4" i="8"/>
  <c r="M35" i="8"/>
  <c r="C35" i="8"/>
  <c r="C35" i="7"/>
  <c r="X9" i="8" l="1"/>
  <c r="N35" i="3"/>
  <c r="N35" i="7"/>
  <c r="N35" i="8"/>
  <c r="C56" i="3"/>
  <c r="Y7" i="3" s="1"/>
  <c r="Q46" i="8"/>
  <c r="S46" i="8" s="1"/>
  <c r="M34" i="8"/>
  <c r="Q34" i="7"/>
  <c r="M34" i="7"/>
  <c r="Q46" i="3"/>
  <c r="AC6" i="3" s="1"/>
  <c r="S47" i="8" l="1"/>
  <c r="R56" i="8"/>
  <c r="T56" i="8" s="1"/>
  <c r="S55" i="8"/>
  <c r="S56" i="8"/>
  <c r="R51" i="8"/>
  <c r="T51" i="8" s="1"/>
  <c r="R55" i="8"/>
  <c r="T55" i="8" s="1"/>
  <c r="S52" i="8"/>
  <c r="R52" i="8"/>
  <c r="T52" i="8" s="1"/>
  <c r="S51" i="8"/>
  <c r="R54" i="8"/>
  <c r="T54" i="8" s="1"/>
  <c r="R53" i="8"/>
  <c r="T53" i="8" s="1"/>
  <c r="S54" i="8"/>
  <c r="S53" i="8"/>
  <c r="R50" i="8"/>
  <c r="T50" i="8" s="1"/>
  <c r="R4" i="8"/>
  <c r="R49" i="8"/>
  <c r="T49" i="8" s="1"/>
  <c r="S50" i="8"/>
  <c r="S49" i="8"/>
  <c r="S4" i="8"/>
  <c r="R48" i="8"/>
  <c r="T48" i="8" s="1"/>
  <c r="S48" i="8"/>
  <c r="AB8" i="8"/>
  <c r="R11" i="8"/>
  <c r="R19" i="8"/>
  <c r="R27" i="8"/>
  <c r="R35" i="8"/>
  <c r="R43" i="8"/>
  <c r="R36" i="8"/>
  <c r="R37" i="8"/>
  <c r="R30" i="8"/>
  <c r="R24" i="8"/>
  <c r="R17" i="8"/>
  <c r="R10" i="8"/>
  <c r="R12" i="8"/>
  <c r="R20" i="8"/>
  <c r="R28" i="8"/>
  <c r="R44" i="8"/>
  <c r="R14" i="8"/>
  <c r="R46" i="8"/>
  <c r="T46" i="8" s="1"/>
  <c r="U46" i="8" s="1"/>
  <c r="R40" i="8"/>
  <c r="R33" i="8"/>
  <c r="R34" i="8"/>
  <c r="R5" i="8"/>
  <c r="R13" i="8"/>
  <c r="R21" i="8"/>
  <c r="R29" i="8"/>
  <c r="R45" i="8"/>
  <c r="R38" i="8"/>
  <c r="R16" i="8"/>
  <c r="R9" i="8"/>
  <c r="R42" i="8"/>
  <c r="R6" i="8"/>
  <c r="R22" i="8"/>
  <c r="R8" i="8"/>
  <c r="R41" i="8"/>
  <c r="R26" i="8"/>
  <c r="R7" i="8"/>
  <c r="R15" i="8"/>
  <c r="R23" i="8"/>
  <c r="R31" i="8"/>
  <c r="R39" i="8"/>
  <c r="R47" i="8"/>
  <c r="T47" i="8" s="1"/>
  <c r="R32" i="8"/>
  <c r="R25" i="8"/>
  <c r="R18" i="8"/>
  <c r="S5" i="7"/>
  <c r="S13" i="7"/>
  <c r="S21" i="7"/>
  <c r="S29" i="7"/>
  <c r="S37" i="7"/>
  <c r="R10" i="7"/>
  <c r="R18" i="7"/>
  <c r="R26" i="7"/>
  <c r="R34" i="7"/>
  <c r="S15" i="7"/>
  <c r="S23" i="7"/>
  <c r="R20" i="7"/>
  <c r="R36" i="7"/>
  <c r="T36" i="7" s="1"/>
  <c r="S16" i="7"/>
  <c r="S32" i="7"/>
  <c r="R13" i="7"/>
  <c r="R29" i="7"/>
  <c r="S6" i="7"/>
  <c r="S14" i="7"/>
  <c r="S22" i="7"/>
  <c r="S30" i="7"/>
  <c r="S38" i="7"/>
  <c r="R11" i="7"/>
  <c r="R19" i="7"/>
  <c r="R27" i="7"/>
  <c r="R35" i="7"/>
  <c r="T35" i="7" s="1"/>
  <c r="S7" i="7"/>
  <c r="S31" i="7"/>
  <c r="R12" i="7"/>
  <c r="R28" i="7"/>
  <c r="S8" i="7"/>
  <c r="S24" i="7"/>
  <c r="R5" i="7"/>
  <c r="R21" i="7"/>
  <c r="R37" i="7"/>
  <c r="T37" i="7" s="1"/>
  <c r="R33" i="7"/>
  <c r="S9" i="7"/>
  <c r="S17" i="7"/>
  <c r="S25" i="7"/>
  <c r="S33" i="7"/>
  <c r="R6" i="7"/>
  <c r="R14" i="7"/>
  <c r="R22" i="7"/>
  <c r="R30" i="7"/>
  <c r="R38" i="7"/>
  <c r="T38" i="7" s="1"/>
  <c r="S20" i="7"/>
  <c r="S36" i="7"/>
  <c r="R25" i="7"/>
  <c r="S10" i="7"/>
  <c r="S18" i="7"/>
  <c r="S26" i="7"/>
  <c r="S34" i="7"/>
  <c r="R7" i="7"/>
  <c r="R15" i="7"/>
  <c r="R23" i="7"/>
  <c r="R31" i="7"/>
  <c r="R4" i="7"/>
  <c r="S11" i="7"/>
  <c r="S19" i="7"/>
  <c r="S27" i="7"/>
  <c r="S35" i="7"/>
  <c r="R8" i="7"/>
  <c r="R16" i="7"/>
  <c r="R24" i="7"/>
  <c r="R32" i="7"/>
  <c r="S12" i="7"/>
  <c r="S28" i="7"/>
  <c r="R9" i="7"/>
  <c r="R17" i="7"/>
  <c r="N34" i="7"/>
  <c r="N34" i="8"/>
  <c r="T34" i="7"/>
  <c r="K34" i="3"/>
  <c r="M34" i="3" s="1"/>
  <c r="L34" i="3"/>
  <c r="C34" i="8"/>
  <c r="C34" i="7"/>
  <c r="C55" i="3"/>
  <c r="Y6" i="3" s="1"/>
  <c r="U52" i="8" l="1"/>
  <c r="U49" i="8"/>
  <c r="U47" i="8"/>
  <c r="U55" i="8"/>
  <c r="U51" i="8"/>
  <c r="X8" i="8"/>
  <c r="U50" i="8"/>
  <c r="U48" i="8"/>
  <c r="U53" i="8"/>
  <c r="U54" i="8"/>
  <c r="U56" i="8"/>
  <c r="U34" i="7"/>
  <c r="U38" i="7"/>
  <c r="U37" i="7"/>
  <c r="U36" i="7"/>
  <c r="U35" i="7"/>
  <c r="N34" i="3"/>
  <c r="T45" i="8" l="1"/>
  <c r="S45" i="8"/>
  <c r="M33" i="8"/>
  <c r="N33" i="8" s="1"/>
  <c r="T33" i="7"/>
  <c r="U33" i="7" s="1"/>
  <c r="M33" i="7"/>
  <c r="L33" i="3"/>
  <c r="K33" i="3"/>
  <c r="M33" i="3" s="1"/>
  <c r="N33" i="3" l="1"/>
  <c r="U45" i="8"/>
  <c r="N33" i="7"/>
  <c r="C33" i="8"/>
  <c r="X7" i="8" s="1"/>
  <c r="C54" i="3"/>
  <c r="Y5" i="3" s="1"/>
  <c r="C33" i="7"/>
  <c r="T44" i="8" l="1"/>
  <c r="S44" i="8"/>
  <c r="M32" i="8"/>
  <c r="M32" i="7"/>
  <c r="T32" i="7"/>
  <c r="N32" i="7" l="1"/>
  <c r="N32" i="8"/>
  <c r="U44" i="8"/>
  <c r="U32" i="7"/>
  <c r="C53" i="3"/>
  <c r="Z7" i="3" s="1"/>
  <c r="K32" i="3"/>
  <c r="M32" i="3" s="1"/>
  <c r="L32" i="3"/>
  <c r="C32" i="8"/>
  <c r="C32" i="7"/>
  <c r="T43" i="8"/>
  <c r="S43" i="8"/>
  <c r="M31" i="8"/>
  <c r="C31" i="8"/>
  <c r="T31" i="7"/>
  <c r="M31" i="7"/>
  <c r="C31" i="7"/>
  <c r="K31" i="3"/>
  <c r="M31" i="3" s="1"/>
  <c r="L31" i="3"/>
  <c r="C52" i="3"/>
  <c r="Z6" i="3" s="1"/>
  <c r="Y9" i="8" l="1"/>
  <c r="Y8" i="8"/>
  <c r="N31" i="7"/>
  <c r="U31" i="7"/>
  <c r="U43" i="8"/>
  <c r="N31" i="8"/>
  <c r="N32" i="3"/>
  <c r="N31" i="3"/>
  <c r="C30" i="8"/>
  <c r="C30" i="7"/>
  <c r="C51" i="3"/>
  <c r="Z5" i="3" s="1"/>
  <c r="C4" i="3"/>
  <c r="Y7" i="8" l="1"/>
  <c r="M30" i="7" l="1"/>
  <c r="M30" i="8"/>
  <c r="K30" i="3"/>
  <c r="M30" i="3" s="1"/>
  <c r="L30" i="3"/>
  <c r="T42" i="8"/>
  <c r="S42" i="8"/>
  <c r="T30" i="7"/>
  <c r="U30" i="7" s="1"/>
  <c r="C29" i="8"/>
  <c r="C29" i="7"/>
  <c r="C50" i="3"/>
  <c r="N30" i="3" l="1"/>
  <c r="U42" i="8"/>
  <c r="N30" i="7"/>
  <c r="N30" i="8"/>
  <c r="M29" i="7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M29" i="3" s="1"/>
  <c r="M4" i="3"/>
  <c r="T41" i="8"/>
  <c r="S41" i="8"/>
  <c r="T29" i="7"/>
  <c r="U29" i="7" s="1"/>
  <c r="T40" i="8"/>
  <c r="S40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M29" i="8"/>
  <c r="C49" i="3"/>
  <c r="U41" i="8" l="1"/>
  <c r="N29" i="3"/>
  <c r="N29" i="8"/>
  <c r="N29" i="7"/>
  <c r="C28" i="7"/>
  <c r="C27" i="8"/>
  <c r="C28" i="8"/>
  <c r="U40" i="8"/>
  <c r="T28" i="7"/>
  <c r="U28" i="7" s="1"/>
  <c r="M28" i="8"/>
  <c r="M28" i="7"/>
  <c r="M28" i="3"/>
  <c r="N28" i="3" s="1"/>
  <c r="C26" i="7"/>
  <c r="C27" i="7"/>
  <c r="M27" i="8"/>
  <c r="M27" i="7"/>
  <c r="M27" i="3"/>
  <c r="N27" i="3" s="1"/>
  <c r="C26" i="8"/>
  <c r="C48" i="3"/>
  <c r="C47" i="3"/>
  <c r="T39" i="8"/>
  <c r="T27" i="7"/>
  <c r="U27" i="7" s="1"/>
  <c r="M26" i="8"/>
  <c r="M26" i="7"/>
  <c r="M4" i="7"/>
  <c r="M25" i="3"/>
  <c r="M26" i="3"/>
  <c r="N26" i="3" s="1"/>
  <c r="T38" i="8"/>
  <c r="U38" i="8" s="1"/>
  <c r="N26" i="8" l="1"/>
  <c r="N28" i="7"/>
  <c r="N27" i="7"/>
  <c r="N27" i="8"/>
  <c r="N28" i="8"/>
  <c r="N26" i="7"/>
  <c r="U39" i="8"/>
  <c r="T26" i="7"/>
  <c r="U26" i="7" s="1"/>
  <c r="C25" i="7"/>
  <c r="C25" i="8"/>
  <c r="C46" i="3"/>
  <c r="M25" i="8"/>
  <c r="N25" i="8" s="1"/>
  <c r="M25" i="7"/>
  <c r="N25" i="7" s="1"/>
  <c r="N25" i="3"/>
  <c r="T37" i="8"/>
  <c r="U37" i="8" s="1"/>
  <c r="T4" i="8"/>
  <c r="T25" i="7"/>
  <c r="T24" i="7"/>
  <c r="B8" i="8"/>
  <c r="C8" i="8" s="1"/>
  <c r="B18" i="8"/>
  <c r="C18" i="8" s="1"/>
  <c r="C24" i="7"/>
  <c r="C4" i="7"/>
  <c r="C19" i="7"/>
  <c r="M24" i="7"/>
  <c r="N24" i="7" s="1"/>
  <c r="U24" i="7" l="1"/>
  <c r="U25" i="7"/>
  <c r="T36" i="8"/>
  <c r="U36" i="8" s="1"/>
  <c r="M24" i="8" l="1"/>
  <c r="N24" i="8" s="1"/>
  <c r="C24" i="8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N24" i="3" s="1"/>
  <c r="C45" i="3"/>
  <c r="C37" i="3"/>
  <c r="C11" i="7"/>
  <c r="C23" i="7"/>
  <c r="B6" i="7"/>
  <c r="B8" i="7"/>
  <c r="M14" i="7"/>
  <c r="N4" i="7"/>
  <c r="M5" i="7"/>
  <c r="N5" i="7" s="1"/>
  <c r="M6" i="7"/>
  <c r="N6" i="7" s="1"/>
  <c r="M7" i="7"/>
  <c r="N7" i="7" s="1"/>
  <c r="M8" i="7"/>
  <c r="N8" i="7" s="1"/>
  <c r="M9" i="7"/>
  <c r="N9" i="7" s="1"/>
  <c r="M10" i="7"/>
  <c r="N10" i="7" s="1"/>
  <c r="M11" i="7"/>
  <c r="N11" i="7" s="1"/>
  <c r="M12" i="7"/>
  <c r="M13" i="7"/>
  <c r="N13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M21" i="7"/>
  <c r="N21" i="7" s="1"/>
  <c r="M22" i="7"/>
  <c r="N22" i="7" s="1"/>
  <c r="M23" i="7"/>
  <c r="N23" i="7" s="1"/>
  <c r="M5" i="8"/>
  <c r="N5" i="8" s="1"/>
  <c r="M6" i="8"/>
  <c r="N6" i="8" s="1"/>
  <c r="M7" i="8"/>
  <c r="N7" i="8" s="1"/>
  <c r="M8" i="8"/>
  <c r="N8" i="8" s="1"/>
  <c r="M9" i="8"/>
  <c r="N9" i="8" s="1"/>
  <c r="M10" i="8"/>
  <c r="N10" i="8" s="1"/>
  <c r="M11" i="8"/>
  <c r="N11" i="8" s="1"/>
  <c r="M12" i="8"/>
  <c r="M13" i="8"/>
  <c r="N13" i="8" s="1"/>
  <c r="M14" i="8"/>
  <c r="N14" i="8" s="1"/>
  <c r="M15" i="8"/>
  <c r="N15" i="8" s="1"/>
  <c r="M16" i="8"/>
  <c r="N16" i="8" s="1"/>
  <c r="M17" i="8"/>
  <c r="N17" i="8" s="1"/>
  <c r="M18" i="8"/>
  <c r="N18" i="8" s="1"/>
  <c r="M19" i="8"/>
  <c r="N19" i="8" s="1"/>
  <c r="M20" i="8"/>
  <c r="N20" i="8" s="1"/>
  <c r="M21" i="8"/>
  <c r="N21" i="8" s="1"/>
  <c r="M22" i="8"/>
  <c r="N22" i="8" s="1"/>
  <c r="M23" i="8"/>
  <c r="N23" i="8" s="1"/>
  <c r="Q19" i="3"/>
  <c r="N16" i="3" l="1"/>
  <c r="N20" i="3"/>
  <c r="N23" i="3"/>
  <c r="N14" i="3"/>
  <c r="N19" i="3"/>
  <c r="N15" i="3"/>
  <c r="N11" i="3"/>
  <c r="N7" i="3"/>
  <c r="N21" i="3"/>
  <c r="N8" i="3"/>
  <c r="N13" i="3"/>
  <c r="N9" i="3"/>
  <c r="N17" i="3"/>
  <c r="N10" i="3"/>
  <c r="N12" i="3"/>
  <c r="N5" i="3"/>
  <c r="N6" i="3"/>
  <c r="N22" i="3"/>
  <c r="N18" i="3"/>
  <c r="N14" i="7"/>
  <c r="N20" i="7"/>
  <c r="N12" i="7"/>
  <c r="N12" i="8"/>
  <c r="Q6" i="3"/>
  <c r="R52" i="3" l="1"/>
  <c r="T52" i="3" s="1"/>
  <c r="R53" i="3"/>
  <c r="T53" i="3" s="1"/>
  <c r="S52" i="3"/>
  <c r="S56" i="3"/>
  <c r="R54" i="3"/>
  <c r="T54" i="3" s="1"/>
  <c r="R55" i="3"/>
  <c r="T55" i="3" s="1"/>
  <c r="S54" i="3"/>
  <c r="T4" i="3"/>
  <c r="R51" i="3"/>
  <c r="T51" i="3" s="1"/>
  <c r="S51" i="3"/>
  <c r="R56" i="3"/>
  <c r="T56" i="3" s="1"/>
  <c r="S53" i="3"/>
  <c r="S4" i="3"/>
  <c r="S55" i="3"/>
  <c r="R49" i="3"/>
  <c r="T49" i="3" s="1"/>
  <c r="S49" i="3"/>
  <c r="R50" i="3"/>
  <c r="T50" i="3" s="1"/>
  <c r="S50" i="3"/>
  <c r="S48" i="3"/>
  <c r="R48" i="3"/>
  <c r="T48" i="3" s="1"/>
  <c r="R47" i="3"/>
  <c r="T47" i="3" s="1"/>
  <c r="R46" i="3"/>
  <c r="T46" i="3" s="1"/>
  <c r="S47" i="3"/>
  <c r="S46" i="3"/>
  <c r="R45" i="3"/>
  <c r="T45" i="3" s="1"/>
  <c r="S45" i="3"/>
  <c r="R43" i="3"/>
  <c r="T43" i="3" s="1"/>
  <c r="R44" i="3"/>
  <c r="T44" i="3" s="1"/>
  <c r="S43" i="3"/>
  <c r="S44" i="3"/>
  <c r="S9" i="3"/>
  <c r="S17" i="3"/>
  <c r="S25" i="3"/>
  <c r="S33" i="3"/>
  <c r="S41" i="3"/>
  <c r="R11" i="3"/>
  <c r="T11" i="3" s="1"/>
  <c r="R19" i="3"/>
  <c r="T19" i="3" s="1"/>
  <c r="R27" i="3"/>
  <c r="T27" i="3" s="1"/>
  <c r="R35" i="3"/>
  <c r="T35" i="3" s="1"/>
  <c r="S19" i="3"/>
  <c r="S27" i="3"/>
  <c r="R5" i="3"/>
  <c r="T5" i="3" s="1"/>
  <c r="R21" i="3"/>
  <c r="T21" i="3" s="1"/>
  <c r="S12" i="3"/>
  <c r="S20" i="3"/>
  <c r="S36" i="3"/>
  <c r="R14" i="3"/>
  <c r="T14" i="3" s="1"/>
  <c r="R30" i="3"/>
  <c r="T30" i="3" s="1"/>
  <c r="S13" i="3"/>
  <c r="S29" i="3"/>
  <c r="R7" i="3"/>
  <c r="T7" i="3" s="1"/>
  <c r="R15" i="3"/>
  <c r="T15" i="3" s="1"/>
  <c r="R42" i="3"/>
  <c r="T42" i="3" s="1"/>
  <c r="S10" i="3"/>
  <c r="S18" i="3"/>
  <c r="S26" i="3"/>
  <c r="S34" i="3"/>
  <c r="S42" i="3"/>
  <c r="R12" i="3"/>
  <c r="T12" i="3" s="1"/>
  <c r="R20" i="3"/>
  <c r="T20" i="3" s="1"/>
  <c r="R28" i="3"/>
  <c r="T28" i="3" s="1"/>
  <c r="R36" i="3"/>
  <c r="T36" i="3" s="1"/>
  <c r="S11" i="3"/>
  <c r="S35" i="3"/>
  <c r="R13" i="3"/>
  <c r="T13" i="3" s="1"/>
  <c r="R29" i="3"/>
  <c r="T29" i="3" s="1"/>
  <c r="U29" i="3" s="1"/>
  <c r="R37" i="3"/>
  <c r="T37" i="3" s="1"/>
  <c r="S28" i="3"/>
  <c r="R6" i="3"/>
  <c r="T6" i="3" s="1"/>
  <c r="R22" i="3"/>
  <c r="T22" i="3" s="1"/>
  <c r="R38" i="3"/>
  <c r="T38" i="3" s="1"/>
  <c r="S5" i="3"/>
  <c r="S21" i="3"/>
  <c r="S37" i="3"/>
  <c r="R23" i="3"/>
  <c r="T23" i="3" s="1"/>
  <c r="R34" i="3"/>
  <c r="T34" i="3" s="1"/>
  <c r="R39" i="3"/>
  <c r="T39" i="3" s="1"/>
  <c r="R31" i="3"/>
  <c r="T31" i="3" s="1"/>
  <c r="S6" i="3"/>
  <c r="S14" i="3"/>
  <c r="S22" i="3"/>
  <c r="S30" i="3"/>
  <c r="S38" i="3"/>
  <c r="R8" i="3"/>
  <c r="T8" i="3" s="1"/>
  <c r="R16" i="3"/>
  <c r="T16" i="3" s="1"/>
  <c r="R24" i="3"/>
  <c r="T24" i="3" s="1"/>
  <c r="R32" i="3"/>
  <c r="T32" i="3" s="1"/>
  <c r="R40" i="3"/>
  <c r="T40" i="3" s="1"/>
  <c r="S7" i="3"/>
  <c r="S15" i="3"/>
  <c r="S23" i="3"/>
  <c r="S31" i="3"/>
  <c r="S39" i="3"/>
  <c r="R9" i="3"/>
  <c r="T9" i="3" s="1"/>
  <c r="R17" i="3"/>
  <c r="T17" i="3" s="1"/>
  <c r="R33" i="3"/>
  <c r="T33" i="3" s="1"/>
  <c r="R41" i="3"/>
  <c r="T41" i="3" s="1"/>
  <c r="S8" i="3"/>
  <c r="S32" i="3"/>
  <c r="R10" i="3"/>
  <c r="T10" i="3" s="1"/>
  <c r="R26" i="3"/>
  <c r="T26" i="3" s="1"/>
  <c r="R25" i="3"/>
  <c r="T25" i="3" s="1"/>
  <c r="S16" i="3"/>
  <c r="S24" i="3"/>
  <c r="S40" i="3"/>
  <c r="R18" i="3"/>
  <c r="T18" i="3" s="1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23" i="7"/>
  <c r="T22" i="7"/>
  <c r="U22" i="7" s="1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U48" i="3" l="1"/>
  <c r="U52" i="3"/>
  <c r="U56" i="3"/>
  <c r="U54" i="3"/>
  <c r="U53" i="3"/>
  <c r="U55" i="3"/>
  <c r="U51" i="3"/>
  <c r="U50" i="3"/>
  <c r="U41" i="3"/>
  <c r="U49" i="3"/>
  <c r="U33" i="3"/>
  <c r="U13" i="3"/>
  <c r="U32" i="3"/>
  <c r="U38" i="3"/>
  <c r="U30" i="3"/>
  <c r="U45" i="3"/>
  <c r="U40" i="3"/>
  <c r="U25" i="3"/>
  <c r="U31" i="3"/>
  <c r="U22" i="3"/>
  <c r="U27" i="3"/>
  <c r="U34" i="3"/>
  <c r="U20" i="3"/>
  <c r="U35" i="3"/>
  <c r="U24" i="3"/>
  <c r="U26" i="3"/>
  <c r="U16" i="3"/>
  <c r="U39" i="3"/>
  <c r="U6" i="3"/>
  <c r="U28" i="3"/>
  <c r="U42" i="3"/>
  <c r="U19" i="3"/>
  <c r="U8" i="3"/>
  <c r="U15" i="3"/>
  <c r="U11" i="3"/>
  <c r="U44" i="3"/>
  <c r="U46" i="3"/>
  <c r="U14" i="3"/>
  <c r="U10" i="3"/>
  <c r="U23" i="3"/>
  <c r="U37" i="3"/>
  <c r="U12" i="3"/>
  <c r="U7" i="3"/>
  <c r="U21" i="3"/>
  <c r="U43" i="3"/>
  <c r="U17" i="3"/>
  <c r="U18" i="3"/>
  <c r="U5" i="3"/>
  <c r="U4" i="3"/>
  <c r="U9" i="3"/>
  <c r="U36" i="3"/>
  <c r="U47" i="3"/>
  <c r="U21" i="7"/>
  <c r="U29" i="8"/>
  <c r="U33" i="8"/>
  <c r="U28" i="8"/>
  <c r="U9" i="8"/>
  <c r="U13" i="8"/>
  <c r="U17" i="8"/>
  <c r="U11" i="8"/>
  <c r="U15" i="8"/>
  <c r="U19" i="8"/>
  <c r="U4" i="8"/>
  <c r="U16" i="8"/>
  <c r="U20" i="8"/>
  <c r="U31" i="8"/>
  <c r="U35" i="8"/>
  <c r="U5" i="8"/>
  <c r="U32" i="8"/>
  <c r="U14" i="8"/>
  <c r="U25" i="8"/>
  <c r="U12" i="8"/>
  <c r="U30" i="8"/>
  <c r="U34" i="8"/>
  <c r="U27" i="8"/>
  <c r="U8" i="8"/>
  <c r="U24" i="8"/>
  <c r="U18" i="8"/>
  <c r="U21" i="8"/>
  <c r="U7" i="8"/>
  <c r="U23" i="8"/>
  <c r="U6" i="8"/>
  <c r="U22" i="8"/>
  <c r="U10" i="8"/>
  <c r="U26" i="8"/>
  <c r="U5" i="7"/>
  <c r="U9" i="7"/>
  <c r="U13" i="7"/>
  <c r="U14" i="7"/>
  <c r="U7" i="7"/>
  <c r="U17" i="7"/>
  <c r="U18" i="7"/>
  <c r="U11" i="7"/>
  <c r="U15" i="7"/>
  <c r="U19" i="7"/>
  <c r="U8" i="7"/>
  <c r="U12" i="7"/>
  <c r="U6" i="7"/>
  <c r="U16" i="7"/>
  <c r="U10" i="7"/>
  <c r="U23" i="7"/>
  <c r="U20" i="7"/>
  <c r="C17" i="7" l="1"/>
  <c r="C16" i="7"/>
  <c r="C15" i="7"/>
  <c r="C14" i="7"/>
  <c r="C13" i="7"/>
  <c r="C12" i="7"/>
  <c r="C10" i="7"/>
  <c r="C9" i="7"/>
  <c r="C8" i="7"/>
  <c r="C7" i="7"/>
  <c r="C6" i="7"/>
  <c r="C5" i="7"/>
  <c r="C44" i="3"/>
  <c r="X7" i="3" s="1"/>
  <c r="C43" i="3"/>
  <c r="X6" i="3" s="1"/>
  <c r="C42" i="3"/>
  <c r="X5" i="3" s="1"/>
  <c r="C41" i="3"/>
  <c r="C40" i="3"/>
  <c r="C39" i="3"/>
  <c r="C38" i="3"/>
  <c r="C36" i="3"/>
  <c r="C35" i="3"/>
  <c r="C34" i="3"/>
  <c r="C33" i="3"/>
  <c r="C32" i="3"/>
  <c r="C31" i="3"/>
  <c r="C30" i="3"/>
  <c r="C29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E58" i="3" l="1"/>
  <c r="E35" i="3"/>
  <c r="E25" i="3"/>
  <c r="E37" i="3"/>
  <c r="E39" i="3"/>
  <c r="E52" i="3"/>
  <c r="E21" i="3"/>
  <c r="E47" i="3"/>
  <c r="E32" i="3"/>
  <c r="E19" i="3"/>
  <c r="D60" i="3"/>
  <c r="F60" i="3" s="1"/>
  <c r="E5" i="3"/>
  <c r="E65" i="3"/>
  <c r="E40" i="3"/>
  <c r="E48" i="3"/>
  <c r="D65" i="3"/>
  <c r="F65" i="3" s="1"/>
  <c r="G65" i="3" s="1"/>
  <c r="E30" i="3"/>
  <c r="E8" i="3"/>
  <c r="E44" i="3"/>
  <c r="E60" i="3"/>
  <c r="E7" i="3"/>
  <c r="E17" i="3"/>
  <c r="E38" i="3"/>
  <c r="E20" i="3"/>
  <c r="E23" i="3"/>
  <c r="E15" i="3"/>
  <c r="E45" i="3"/>
  <c r="E59" i="3"/>
  <c r="E13" i="3"/>
  <c r="E11" i="3"/>
  <c r="E61" i="3"/>
  <c r="E57" i="3"/>
  <c r="E27" i="3"/>
  <c r="D59" i="3"/>
  <c r="F59" i="3" s="1"/>
  <c r="D58" i="3"/>
  <c r="F58" i="3" s="1"/>
  <c r="D13" i="3"/>
  <c r="F13" i="3" s="1"/>
  <c r="D50" i="3"/>
  <c r="F50" i="3" s="1"/>
  <c r="D41" i="3"/>
  <c r="F41" i="3" s="1"/>
  <c r="D46" i="3"/>
  <c r="F46" i="3" s="1"/>
  <c r="D42" i="3"/>
  <c r="F42" i="3" s="1"/>
  <c r="C28" i="3"/>
  <c r="D19" i="3" s="1"/>
  <c r="F19" i="3" s="1"/>
  <c r="C5" i="8"/>
  <c r="C6" i="8"/>
  <c r="C7" i="8"/>
  <c r="C9" i="8"/>
  <c r="C10" i="8"/>
  <c r="C11" i="8"/>
  <c r="C12" i="8"/>
  <c r="C13" i="8"/>
  <c r="C14" i="8"/>
  <c r="C15" i="8"/>
  <c r="C16" i="8"/>
  <c r="C17" i="8"/>
  <c r="C19" i="8"/>
  <c r="C20" i="8"/>
  <c r="C21" i="8"/>
  <c r="C22" i="8"/>
  <c r="C23" i="8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W7" i="8" l="1"/>
  <c r="W8" i="8"/>
  <c r="W9" i="8"/>
  <c r="D44" i="8"/>
  <c r="F44" i="8" s="1"/>
  <c r="G44" i="8" s="1"/>
  <c r="D20" i="8"/>
  <c r="F20" i="8" s="1"/>
  <c r="G20" i="8" s="1"/>
  <c r="D27" i="8"/>
  <c r="F27" i="8" s="1"/>
  <c r="G27" i="8" s="1"/>
  <c r="D16" i="8"/>
  <c r="F16" i="8" s="1"/>
  <c r="G16" i="8" s="1"/>
  <c r="D28" i="8"/>
  <c r="F28" i="8" s="1"/>
  <c r="G28" i="8" s="1"/>
  <c r="D19" i="8"/>
  <c r="F19" i="8" s="1"/>
  <c r="G19" i="8" s="1"/>
  <c r="D6" i="8"/>
  <c r="F6" i="8" s="1"/>
  <c r="G6" i="8" s="1"/>
  <c r="D7" i="8"/>
  <c r="F7" i="8" s="1"/>
  <c r="G7" i="8" s="1"/>
  <c r="D41" i="8"/>
  <c r="F41" i="8" s="1"/>
  <c r="G41" i="8" s="1"/>
  <c r="D24" i="8"/>
  <c r="F24" i="8" s="1"/>
  <c r="G24" i="8" s="1"/>
  <c r="D34" i="8"/>
  <c r="F34" i="8" s="1"/>
  <c r="G34" i="8" s="1"/>
  <c r="D29" i="8"/>
  <c r="F29" i="8" s="1"/>
  <c r="G29" i="8" s="1"/>
  <c r="D26" i="8"/>
  <c r="F26" i="8" s="1"/>
  <c r="G26" i="8" s="1"/>
  <c r="D37" i="8"/>
  <c r="F37" i="8" s="1"/>
  <c r="D36" i="8"/>
  <c r="F36" i="8" s="1"/>
  <c r="G36" i="8" s="1"/>
  <c r="D10" i="8"/>
  <c r="F10" i="8" s="1"/>
  <c r="G10" i="8" s="1"/>
  <c r="D5" i="8"/>
  <c r="F5" i="8" s="1"/>
  <c r="G5" i="8" s="1"/>
  <c r="D42" i="8"/>
  <c r="F42" i="8" s="1"/>
  <c r="G42" i="8" s="1"/>
  <c r="D14" i="8"/>
  <c r="F14" i="8" s="1"/>
  <c r="G14" i="8" s="1"/>
  <c r="D23" i="8"/>
  <c r="F23" i="8" s="1"/>
  <c r="G23" i="8" s="1"/>
  <c r="D40" i="8"/>
  <c r="F40" i="8" s="1"/>
  <c r="G40" i="8" s="1"/>
  <c r="D32" i="8"/>
  <c r="F32" i="8" s="1"/>
  <c r="G32" i="8" s="1"/>
  <c r="D35" i="8"/>
  <c r="F35" i="8" s="1"/>
  <c r="G35" i="8" s="1"/>
  <c r="D30" i="8"/>
  <c r="F30" i="8" s="1"/>
  <c r="G30" i="8" s="1"/>
  <c r="D43" i="8"/>
  <c r="F43" i="8" s="1"/>
  <c r="G43" i="8" s="1"/>
  <c r="F4" i="8"/>
  <c r="D12" i="8"/>
  <c r="F12" i="8" s="1"/>
  <c r="G12" i="8" s="1"/>
  <c r="D8" i="8"/>
  <c r="F8" i="8" s="1"/>
  <c r="G8" i="8" s="1"/>
  <c r="D13" i="8"/>
  <c r="F13" i="8" s="1"/>
  <c r="G13" i="8" s="1"/>
  <c r="D25" i="8"/>
  <c r="F25" i="8" s="1"/>
  <c r="G25" i="8" s="1"/>
  <c r="D22" i="8"/>
  <c r="F22" i="8" s="1"/>
  <c r="G22" i="8" s="1"/>
  <c r="D33" i="8"/>
  <c r="F33" i="8" s="1"/>
  <c r="G33" i="8" s="1"/>
  <c r="D15" i="8"/>
  <c r="F15" i="8" s="1"/>
  <c r="G15" i="8" s="1"/>
  <c r="D18" i="8"/>
  <c r="F18" i="8" s="1"/>
  <c r="G18" i="8" s="1"/>
  <c r="D38" i="8"/>
  <c r="F38" i="8" s="1"/>
  <c r="G38" i="8" s="1"/>
  <c r="D39" i="8"/>
  <c r="F39" i="8" s="1"/>
  <c r="G39" i="8" s="1"/>
  <c r="D31" i="8"/>
  <c r="F31" i="8" s="1"/>
  <c r="G31" i="8" s="1"/>
  <c r="D17" i="8"/>
  <c r="F17" i="8" s="1"/>
  <c r="G17" i="8" s="1"/>
  <c r="D11" i="8"/>
  <c r="F11" i="8" s="1"/>
  <c r="G11" i="8" s="1"/>
  <c r="D21" i="8"/>
  <c r="F21" i="8" s="1"/>
  <c r="G21" i="8" s="1"/>
  <c r="D9" i="8"/>
  <c r="F9" i="8" s="1"/>
  <c r="G9" i="8" s="1"/>
  <c r="E43" i="3"/>
  <c r="E22" i="3"/>
  <c r="E64" i="3"/>
  <c r="D47" i="3"/>
  <c r="F47" i="3" s="1"/>
  <c r="G47" i="3" s="1"/>
  <c r="D61" i="3"/>
  <c r="F61" i="3" s="1"/>
  <c r="G61" i="3" s="1"/>
  <c r="E18" i="3"/>
  <c r="E9" i="3"/>
  <c r="E53" i="3"/>
  <c r="E26" i="3"/>
  <c r="E14" i="3"/>
  <c r="E63" i="3"/>
  <c r="E28" i="3"/>
  <c r="D8" i="3"/>
  <c r="F8" i="3" s="1"/>
  <c r="G8" i="3" s="1"/>
  <c r="E4" i="3"/>
  <c r="E16" i="3"/>
  <c r="E55" i="3"/>
  <c r="D54" i="3"/>
  <c r="F54" i="3" s="1"/>
  <c r="E29" i="3"/>
  <c r="D30" i="3"/>
  <c r="F30" i="3" s="1"/>
  <c r="G30" i="3" s="1"/>
  <c r="D39" i="3"/>
  <c r="F39" i="3" s="1"/>
  <c r="G39" i="3" s="1"/>
  <c r="E42" i="3"/>
  <c r="G42" i="3" s="1"/>
  <c r="E36" i="3"/>
  <c r="D62" i="3"/>
  <c r="F62" i="3" s="1"/>
  <c r="D63" i="3"/>
  <c r="F63" i="3" s="1"/>
  <c r="E50" i="3"/>
  <c r="G50" i="3" s="1"/>
  <c r="E62" i="3"/>
  <c r="E54" i="3"/>
  <c r="E12" i="3"/>
  <c r="E46" i="3"/>
  <c r="G46" i="3" s="1"/>
  <c r="G60" i="3"/>
  <c r="E51" i="3"/>
  <c r="D4" i="3"/>
  <c r="F4" i="3" s="1"/>
  <c r="E41" i="3"/>
  <c r="G41" i="3" s="1"/>
  <c r="D9" i="3"/>
  <c r="F9" i="3" s="1"/>
  <c r="D36" i="3"/>
  <c r="F36" i="3" s="1"/>
  <c r="E34" i="3"/>
  <c r="E49" i="3"/>
  <c r="E31" i="3"/>
  <c r="E24" i="3"/>
  <c r="E33" i="3"/>
  <c r="D64" i="3"/>
  <c r="F64" i="3" s="1"/>
  <c r="E56" i="3"/>
  <c r="E10" i="3"/>
  <c r="E6" i="3"/>
  <c r="G58" i="3"/>
  <c r="D45" i="3"/>
  <c r="F45" i="3" s="1"/>
  <c r="G45" i="3" s="1"/>
  <c r="G19" i="3"/>
  <c r="G59" i="3"/>
  <c r="D26" i="3"/>
  <c r="F26" i="3" s="1"/>
  <c r="G26" i="3" s="1"/>
  <c r="D6" i="3"/>
  <c r="F6" i="3" s="1"/>
  <c r="D29" i="3"/>
  <c r="F29" i="3" s="1"/>
  <c r="G29" i="3" s="1"/>
  <c r="G54" i="3"/>
  <c r="D21" i="3"/>
  <c r="F21" i="3" s="1"/>
  <c r="G21" i="3" s="1"/>
  <c r="D53" i="3"/>
  <c r="F53" i="3" s="1"/>
  <c r="D52" i="3"/>
  <c r="F52" i="3" s="1"/>
  <c r="G52" i="3" s="1"/>
  <c r="D25" i="3"/>
  <c r="F25" i="3" s="1"/>
  <c r="G25" i="3" s="1"/>
  <c r="D5" i="3"/>
  <c r="F5" i="3" s="1"/>
  <c r="G5" i="3" s="1"/>
  <c r="D57" i="3"/>
  <c r="F57" i="3" s="1"/>
  <c r="G57" i="3" s="1"/>
  <c r="D48" i="3"/>
  <c r="F48" i="3" s="1"/>
  <c r="D31" i="3"/>
  <c r="F31" i="3" s="1"/>
  <c r="D28" i="3"/>
  <c r="F28" i="3" s="1"/>
  <c r="D44" i="3"/>
  <c r="F44" i="3" s="1"/>
  <c r="G13" i="3"/>
  <c r="D56" i="3"/>
  <c r="F56" i="3" s="1"/>
  <c r="D17" i="3"/>
  <c r="F17" i="3" s="1"/>
  <c r="D40" i="3"/>
  <c r="F40" i="3" s="1"/>
  <c r="D23" i="3"/>
  <c r="F23" i="3" s="1"/>
  <c r="D12" i="3"/>
  <c r="F12" i="3" s="1"/>
  <c r="D20" i="3"/>
  <c r="F20" i="3" s="1"/>
  <c r="G20" i="3" s="1"/>
  <c r="D14" i="3"/>
  <c r="F14" i="3" s="1"/>
  <c r="D32" i="3"/>
  <c r="F32" i="3" s="1"/>
  <c r="G32" i="3" s="1"/>
  <c r="D15" i="3"/>
  <c r="F15" i="3" s="1"/>
  <c r="G15" i="3" s="1"/>
  <c r="D43" i="3"/>
  <c r="F43" i="3" s="1"/>
  <c r="D51" i="3"/>
  <c r="F51" i="3" s="1"/>
  <c r="D10" i="3"/>
  <c r="F10" i="3" s="1"/>
  <c r="D34" i="3"/>
  <c r="F34" i="3" s="1"/>
  <c r="D38" i="3"/>
  <c r="F38" i="3" s="1"/>
  <c r="D55" i="3"/>
  <c r="F55" i="3" s="1"/>
  <c r="D49" i="3"/>
  <c r="F49" i="3" s="1"/>
  <c r="D24" i="3"/>
  <c r="F24" i="3" s="1"/>
  <c r="D7" i="3"/>
  <c r="F7" i="3" s="1"/>
  <c r="D27" i="3"/>
  <c r="F27" i="3" s="1"/>
  <c r="G27" i="3" s="1"/>
  <c r="D35" i="3"/>
  <c r="F35" i="3" s="1"/>
  <c r="D22" i="3"/>
  <c r="F22" i="3" s="1"/>
  <c r="D18" i="3"/>
  <c r="F18" i="3" s="1"/>
  <c r="G18" i="3" s="1"/>
  <c r="D33" i="3"/>
  <c r="F33" i="3" s="1"/>
  <c r="D16" i="3"/>
  <c r="F16" i="3" s="1"/>
  <c r="D37" i="3"/>
  <c r="F37" i="3" s="1"/>
  <c r="D11" i="3"/>
  <c r="F11" i="3" s="1"/>
  <c r="G11" i="3" s="1"/>
  <c r="G37" i="8" l="1"/>
  <c r="G64" i="3"/>
  <c r="G33" i="3"/>
  <c r="G49" i="3"/>
  <c r="G4" i="3"/>
  <c r="G63" i="3"/>
  <c r="G62" i="3"/>
  <c r="G9" i="3"/>
  <c r="G36" i="3"/>
  <c r="G4" i="8"/>
  <c r="G55" i="3"/>
  <c r="G10" i="3"/>
  <c r="G6" i="3"/>
  <c r="G43" i="3"/>
  <c r="G17" i="3"/>
  <c r="G35" i="3"/>
  <c r="G16" i="3"/>
  <c r="G53" i="3"/>
  <c r="G14" i="3"/>
  <c r="G56" i="3"/>
  <c r="G37" i="3"/>
  <c r="G22" i="3"/>
  <c r="G51" i="3"/>
  <c r="G7" i="3"/>
  <c r="G38" i="3"/>
  <c r="G34" i="3"/>
  <c r="G28" i="3"/>
  <c r="G31" i="3"/>
  <c r="G12" i="3"/>
  <c r="G48" i="3"/>
  <c r="G24" i="3"/>
  <c r="G23" i="3"/>
  <c r="G44" i="3"/>
  <c r="G40" i="3"/>
  <c r="B18" i="7" l="1"/>
  <c r="C18" i="7" s="1"/>
  <c r="E9" i="7" l="1"/>
  <c r="D12" i="7"/>
  <c r="F12" i="7" s="1"/>
  <c r="D17" i="7"/>
  <c r="F17" i="7" s="1"/>
  <c r="D36" i="7"/>
  <c r="F36" i="7" s="1"/>
  <c r="E6" i="7"/>
  <c r="E35" i="7"/>
  <c r="D6" i="7"/>
  <c r="F6" i="7" s="1"/>
  <c r="E18" i="7"/>
  <c r="E30" i="7"/>
  <c r="E8" i="7"/>
  <c r="E29" i="7"/>
  <c r="D38" i="7"/>
  <c r="F38" i="7" s="1"/>
  <c r="E14" i="7"/>
  <c r="E34" i="7"/>
  <c r="E10" i="7"/>
  <c r="D35" i="7"/>
  <c r="F35" i="7" s="1"/>
  <c r="E16" i="7"/>
  <c r="D8" i="7"/>
  <c r="F8" i="7" s="1"/>
  <c r="D11" i="7"/>
  <c r="F11" i="7" s="1"/>
  <c r="E23" i="7"/>
  <c r="E38" i="7"/>
  <c r="E33" i="7"/>
  <c r="E36" i="7"/>
  <c r="E32" i="7"/>
  <c r="D32" i="7"/>
  <c r="F32" i="7" s="1"/>
  <c r="E25" i="7"/>
  <c r="D28" i="7"/>
  <c r="F28" i="7" s="1"/>
  <c r="D15" i="7"/>
  <c r="F15" i="7" s="1"/>
  <c r="D5" i="7"/>
  <c r="F5" i="7" s="1"/>
  <c r="D14" i="7"/>
  <c r="F14" i="7" s="1"/>
  <c r="D29" i="7"/>
  <c r="F29" i="7" s="1"/>
  <c r="E15" i="7"/>
  <c r="E26" i="7"/>
  <c r="E24" i="7"/>
  <c r="E13" i="7"/>
  <c r="E19" i="7"/>
  <c r="E22" i="7"/>
  <c r="D9" i="7"/>
  <c r="F9" i="7" s="1"/>
  <c r="D23" i="7"/>
  <c r="F23" i="7" s="1"/>
  <c r="D24" i="7"/>
  <c r="F24" i="7" s="1"/>
  <c r="D22" i="7"/>
  <c r="F22" i="7" s="1"/>
  <c r="D19" i="7"/>
  <c r="F19" i="7" s="1"/>
  <c r="D10" i="7"/>
  <c r="F10" i="7" s="1"/>
  <c r="D16" i="7"/>
  <c r="F16" i="7" s="1"/>
  <c r="D30" i="7"/>
  <c r="F30" i="7" s="1"/>
  <c r="D13" i="7"/>
  <c r="F13" i="7" s="1"/>
  <c r="D33" i="7"/>
  <c r="F33" i="7" s="1"/>
  <c r="D18" i="7"/>
  <c r="F18" i="7" s="1"/>
  <c r="E7" i="7"/>
  <c r="D25" i="7"/>
  <c r="F25" i="7" s="1"/>
  <c r="D37" i="7"/>
  <c r="F37" i="7" s="1"/>
  <c r="E31" i="7"/>
  <c r="E21" i="7"/>
  <c r="E5" i="7"/>
  <c r="D26" i="7"/>
  <c r="F26" i="7" s="1"/>
  <c r="D27" i="7"/>
  <c r="F27" i="7" s="1"/>
  <c r="D7" i="7"/>
  <c r="F7" i="7" s="1"/>
  <c r="E20" i="7"/>
  <c r="E12" i="7"/>
  <c r="E37" i="7"/>
  <c r="D31" i="7"/>
  <c r="F31" i="7" s="1"/>
  <c r="D21" i="7"/>
  <c r="F21" i="7" s="1"/>
  <c r="E27" i="7"/>
  <c r="D34" i="7"/>
  <c r="F34" i="7" s="1"/>
  <c r="E17" i="7"/>
  <c r="D20" i="7"/>
  <c r="F20" i="7" s="1"/>
  <c r="E28" i="7"/>
  <c r="E11" i="7"/>
  <c r="F4" i="7"/>
  <c r="G29" i="7" l="1"/>
  <c r="G9" i="7"/>
  <c r="G34" i="7"/>
  <c r="G33" i="7"/>
  <c r="G35" i="7"/>
  <c r="G18" i="7"/>
  <c r="G37" i="7"/>
  <c r="G38" i="7"/>
  <c r="G36" i="7"/>
  <c r="G28" i="7"/>
  <c r="G5" i="7"/>
  <c r="G8" i="7"/>
  <c r="G30" i="7"/>
  <c r="G32" i="7"/>
  <c r="G22" i="7"/>
  <c r="G7" i="7"/>
  <c r="G31" i="7"/>
  <c r="G25" i="7"/>
  <c r="G27" i="7"/>
  <c r="G24" i="7"/>
  <c r="G26" i="7"/>
  <c r="G19" i="7"/>
  <c r="G20" i="7"/>
  <c r="G23" i="7"/>
  <c r="G14" i="7"/>
  <c r="G15" i="7"/>
  <c r="G17" i="7"/>
  <c r="G10" i="7"/>
  <c r="G21" i="7"/>
  <c r="G4" i="7"/>
  <c r="G16" i="7"/>
  <c r="G13" i="7"/>
  <c r="G12" i="7"/>
  <c r="G11" i="7"/>
  <c r="G6" i="7"/>
  <c r="N4" i="3"/>
  <c r="M4" i="8"/>
  <c r="N4" i="8" s="1"/>
  <c r="T4" i="7" l="1"/>
  <c r="U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tc={A6B05CC7-4CB1-4997-AB81-457561C9DB5B}</author>
  </authors>
  <commentList>
    <comment ref="J43" authorId="0" shapeId="0" xr:uid="{A6B05CC7-4CB1-4997-AB81-457561C9DB5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data from 15-17 January 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tc={31213274-F926-47AD-BBEB-7652E16F65E9}</author>
    <author>tc={005863FF-3C4D-4F36-8416-EAE518D9006D}</author>
    <author>tc={09861F38-58D7-4B47-AAC1-ADE1FF0AAD3D}</author>
    <author>tc={9F662C22-B916-41C1-8238-EC4387C675F0}</author>
  </authors>
  <commentList>
    <comment ref="J31" authorId="0" shapeId="0" xr:uid="{31213274-F926-47AD-BBEB-7652E16F65E9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were missing flow data from day 18 to 24 </t>
        </r>
      </text>
    </comment>
    <comment ref="J43" authorId="1" shapeId="0" xr:uid="{005863FF-3C4D-4F36-8416-EAE518D9006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data from 11-31 of January 2026 due to data logger malfunction</t>
        </r>
      </text>
    </comment>
    <comment ref="J44" authorId="2" shapeId="0" xr:uid="{09861F38-58D7-4B47-AAC1-ADE1FF0AAD3D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Missing data from 1-17
February 2026
</t>
        </r>
      </text>
    </comment>
    <comment ref="J45" authorId="3" shapeId="0" xr:uid="{9F662C22-B916-41C1-8238-EC4387C675F0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Missing data from 18-21
March 2026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tc={5CFA94A1-DBC3-42B6-936F-58B38464B5DE}</author>
    <author>tc={ADA82CCB-348B-4DC5-8229-B40E6C542084}</author>
    <author>tc={956BD30A-942D-4443-A9E4-CA1681B34B05}</author>
    <author>tc={ABEB720D-A8F3-437D-82A2-0F3A8259E1BD}</author>
    <author>tc={2FC62088-3D94-4D42-917B-FC5FF728A593}</author>
  </authors>
  <commentList>
    <comment ref="J31" authorId="0" shapeId="0" xr:uid="{5CFA94A1-DBC3-42B6-936F-58B38464B5D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There were missing flow data on the 1st, 6th, 7th, 14th, 15th, 16th, 17th and 18th.</t>
        </r>
      </text>
    </comment>
    <comment ref="J44" authorId="1" shapeId="0" xr:uid="{ADA82CCB-348B-4DC5-8229-B40E6C54208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flow data from 19-26 February 2026</t>
        </r>
      </text>
    </comment>
    <comment ref="J45" authorId="2" shapeId="0" xr:uid="{956BD30A-942D-4443-A9E4-CA1681B34B0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data from 24-31
March 2026</t>
        </r>
      </text>
    </comment>
    <comment ref="J46" authorId="3" shapeId="0" xr:uid="{ABEB720D-A8F3-437D-82A2-0F3A8259E1B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data from 1-3 , 11-18 and 30
 April 2026</t>
        </r>
      </text>
    </comment>
    <comment ref="J47" authorId="4" shapeId="0" xr:uid="{2FC62088-3D94-4D42-917B-FC5FF728A59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data from 22-31 May 2026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tc={10A4C7F0-99DA-42C0-8E4E-8B115B60481D}</author>
    <author>Tlangelani Marikele</author>
    <author>tc={737AF59E-E6D3-41A5-80BF-19359E1ECB51}</author>
    <author>tc={F15B9E3A-5883-4FD7-B881-A489162FB209}</author>
  </authors>
  <commentList>
    <comment ref="B40" authorId="0" shapeId="0" xr:uid="{10A4C7F0-99DA-42C0-8E4E-8B115B60481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data from 29-31 Oct 2025</t>
        </r>
      </text>
    </comment>
    <comment ref="B43" authorId="1" shapeId="0" xr:uid="{BCA23C0B-AE2D-4354-9A3B-656E5D718A24}">
      <text>
        <r>
          <rPr>
            <sz val="11"/>
            <color theme="1"/>
            <rFont val="Aptos Narrow"/>
            <family val="2"/>
            <scheme val="minor"/>
          </rPr>
          <t>Tlangelani Marikele:
missing data from 29-31 January 2026</t>
        </r>
      </text>
    </comment>
    <comment ref="B45" authorId="2" shapeId="0" xr:uid="{737AF59E-E6D3-41A5-80BF-19359E1ECB5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data from 28-31
March 2026</t>
        </r>
      </text>
    </comment>
    <comment ref="B46" authorId="3" shapeId="0" xr:uid="{F15B9E3A-5883-4FD7-B881-A489162FB209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data on the 30 April 2026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Tlangelani Marikele</author>
  </authors>
  <commentList>
    <comment ref="B39" authorId="0" shapeId="0" xr:uid="{6C6486C3-EE71-4C03-A70C-9279E04BF11D}">
      <text>
        <r>
          <rPr>
            <sz val="11"/>
            <color theme="1"/>
            <rFont val="Aptos Narrow"/>
            <family val="2"/>
            <scheme val="minor"/>
          </rPr>
          <t>Tlangelani Marikele:
missing data from 25- 30 september 2025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tc={8D643DE2-7B28-4ABB-8817-94FF48B8542D}</author>
    <author>tc={C62573F6-34B1-4B20-BCD6-8688D8C59FAA}</author>
  </authors>
  <commentList>
    <comment ref="B40" authorId="0" shapeId="0" xr:uid="{8D643DE2-7B28-4ABB-8817-94FF48B8542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data from 01-11 Oct 2025</t>
        </r>
      </text>
    </comment>
    <comment ref="B47" authorId="1" shapeId="0" xr:uid="{C62573F6-34B1-4B20-BCD6-8688D8C59FA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Missing data from 24-31 May 2026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<sst xmlns="http://schemas.openxmlformats.org/spreadsheetml/2006/main" count="233" uniqueCount="58">
  <si>
    <t>Tenbosch</t>
  </si>
  <si>
    <t>Recharge</t>
  </si>
  <si>
    <t>Drought Index_ Baseflow</t>
  </si>
  <si>
    <t>Groundwater levels</t>
  </si>
  <si>
    <t>Recharge (mm/a)</t>
  </si>
  <si>
    <t>Groundwater levels (mamsl)</t>
  </si>
  <si>
    <t>Date (Months)</t>
  </si>
  <si>
    <t>Recharge (inches)</t>
  </si>
  <si>
    <t>Average recharge</t>
  </si>
  <si>
    <t>STDEV</t>
  </si>
  <si>
    <t>SI</t>
  </si>
  <si>
    <t>Date (Daily)</t>
  </si>
  <si>
    <t>Baseflow</t>
  </si>
  <si>
    <t xml:space="preserve">Average </t>
  </si>
  <si>
    <t>Drought Index_baseflow</t>
  </si>
  <si>
    <t>Date (monthly)</t>
  </si>
  <si>
    <t>Groundwater level</t>
  </si>
  <si>
    <t>Average GWL</t>
  </si>
  <si>
    <t xml:space="preserve">Standard deviation </t>
  </si>
  <si>
    <t>Standardized index</t>
  </si>
  <si>
    <t xml:space="preserve"> Q1(2024/25) Vs Q1(2025/26)</t>
  </si>
  <si>
    <t>Q4(2024/2025) Vs Q1(2025/26)</t>
  </si>
  <si>
    <t xml:space="preserve"> 2024/2025</t>
  </si>
  <si>
    <t xml:space="preserve"> 2025/2026</t>
  </si>
  <si>
    <t>Q4</t>
  </si>
  <si>
    <t>Q1</t>
  </si>
  <si>
    <t>P-value</t>
  </si>
  <si>
    <t xml:space="preserve">Not significant </t>
  </si>
  <si>
    <t>Significant</t>
  </si>
  <si>
    <t>2024 - 2025</t>
  </si>
  <si>
    <t>30/02/2026</t>
  </si>
  <si>
    <t>Date</t>
  </si>
  <si>
    <t>Lower Sabie</t>
  </si>
  <si>
    <t>Rainfall</t>
  </si>
  <si>
    <t>Recharge(mm/a)</t>
  </si>
  <si>
    <t>GWL</t>
  </si>
  <si>
    <t>Exeter rainfall(mm)</t>
  </si>
  <si>
    <t>Hebron rainfall(mm)</t>
  </si>
  <si>
    <t>Emmet</t>
  </si>
  <si>
    <t>Da gama</t>
  </si>
  <si>
    <t>Tweefontein</t>
  </si>
  <si>
    <t>Average</t>
  </si>
  <si>
    <t xml:space="preserve"> </t>
  </si>
  <si>
    <t>Average baseflow</t>
  </si>
  <si>
    <t>Drought index - Baseflow</t>
  </si>
  <si>
    <t>Drought index - Recharge</t>
  </si>
  <si>
    <t>Drought index - Groundwater level</t>
  </si>
  <si>
    <t>St Dev</t>
  </si>
  <si>
    <t>Average Recharge</t>
  </si>
  <si>
    <t>Baseflow(m3/s)</t>
  </si>
  <si>
    <t>Xi - Xm</t>
  </si>
  <si>
    <t>SDI</t>
  </si>
  <si>
    <t>Recharge (mm)</t>
  </si>
  <si>
    <t>Groundwater level (mamsl)</t>
  </si>
  <si>
    <t>BASEFLOW</t>
  </si>
  <si>
    <t>RECHARGE</t>
  </si>
  <si>
    <t>Average Groundwater level</t>
  </si>
  <si>
    <t>gw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</si>
</sst>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"/>
    <numFmt numFmtId="165" formatCode="0.000"/>
    <numFmt numFmtId="166" formatCode="0.0000"/>
    <numFmt numFmtId="167" formatCode="[$-1C09]dd\ mmmm\ yyyy;@"/>
  </numFmts>
  <fonts count="1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sz val="12"/>
      <color theme="1"/>
      <name val="Arial Black"/>
      <family val="2"/>
    </font>
    <font>
      <b/>
      <i/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/>
    <xf numFmtId="0" fontId="4" fillId="5" borderId="4" applyNumberForma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" fillId="0" borderId="0"/>
  </cellStyleXfs>
  <cellXfs count="201">
    <xf numFmtId="0" fontId="0" fillId="0" borderId="0" xfId="0"/>
    <xf numFmtId="164" fontId="0" fillId="2" borderId="1" xfId="0" applyNumberFormat="1" applyFill="1" applyBorder="1"/>
    <xf numFmtId="2" fontId="0" fillId="3" borderId="1" xfId="0" applyNumberFormat="1" applyFill="1" applyBorder="1"/>
    <xf numFmtId="164" fontId="0" fillId="3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/>
    <xf numFmtId="164" fontId="1" fillId="3" borderId="1" xfId="0" applyNumberFormat="1" applyFont="1" applyFill="1" applyBorder="1"/>
    <xf numFmtId="165" fontId="1" fillId="3" borderId="1" xfId="0" applyNumberFormat="1" applyFont="1" applyFill="1" applyBorder="1"/>
    <xf numFmtId="0" fontId="0" fillId="3" borderId="2" xfId="0" applyFill="1" applyBorder="1" applyAlignment="1">
      <alignment horizontal="center"/>
    </xf>
    <xf numFmtId="0" fontId="0" fillId="0" borderId="1" xfId="0" applyBorder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3" borderId="2" xfId="0" applyNumberFormat="1" applyFill="1" applyBorder="1" applyAlignment="1">
      <alignment horizontal="center"/>
    </xf>
    <xf numFmtId="2" fontId="0" fillId="0" borderId="0" xfId="0" applyNumberFormat="1"/>
    <xf numFmtId="0" fontId="6" fillId="2" borderId="1" xfId="1" applyFont="1" applyFill="1" applyBorder="1" applyAlignment="1">
      <alignment horizontal="center"/>
    </xf>
    <xf numFmtId="17" fontId="8" fillId="3" borderId="1" xfId="0" applyNumberFormat="1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165" fontId="1" fillId="8" borderId="1" xfId="0" applyNumberFormat="1" applyFont="1" applyFill="1" applyBorder="1"/>
    <xf numFmtId="0" fontId="0" fillId="9" borderId="0" xfId="0" applyFill="1"/>
    <xf numFmtId="0" fontId="0" fillId="2" borderId="2" xfId="0" applyFill="1" applyBorder="1"/>
    <xf numFmtId="2" fontId="0" fillId="6" borderId="1" xfId="0" applyNumberFormat="1" applyFill="1" applyBorder="1"/>
    <xf numFmtId="2" fontId="0" fillId="6" borderId="2" xfId="0" applyNumberFormat="1" applyFill="1" applyBorder="1"/>
    <xf numFmtId="164" fontId="1" fillId="3" borderId="5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5" xfId="0" applyFill="1" applyBorder="1"/>
    <xf numFmtId="0" fontId="0" fillId="3" borderId="2" xfId="0" applyFill="1" applyBorder="1"/>
    <xf numFmtId="164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0" borderId="9" xfId="0" applyFill="1" applyBorder="1"/>
    <xf numFmtId="0" fontId="0" fillId="2" borderId="12" xfId="0" applyFill="1" applyBorder="1" applyAlignment="1">
      <alignment horizontal="center"/>
    </xf>
    <xf numFmtId="164" fontId="1" fillId="3" borderId="12" xfId="0" applyNumberFormat="1" applyFont="1" applyFill="1" applyBorder="1" applyAlignment="1">
      <alignment horizontal="center"/>
    </xf>
    <xf numFmtId="2" fontId="0" fillId="6" borderId="12" xfId="0" applyNumberFormat="1" applyFill="1" applyBorder="1"/>
    <xf numFmtId="2" fontId="0" fillId="3" borderId="2" xfId="0" applyNumberFormat="1" applyFill="1" applyBorder="1" applyAlignment="1">
      <alignment horizontal="center"/>
    </xf>
    <xf numFmtId="17" fontId="0" fillId="3" borderId="13" xfId="0" applyNumberFormat="1" applyFill="1" applyBorder="1" applyAlignment="1">
      <alignment horizontal="center"/>
    </xf>
    <xf numFmtId="2" fontId="5" fillId="3" borderId="13" xfId="2" applyNumberFormat="1" applyFill="1" applyBorder="1"/>
    <xf numFmtId="165" fontId="5" fillId="3" borderId="13" xfId="2" applyNumberFormat="1" applyFill="1" applyBorder="1"/>
    <xf numFmtId="0" fontId="0" fillId="9" borderId="6" xfId="0" applyFill="1" applyBorder="1"/>
    <xf numFmtId="0" fontId="0" fillId="0" borderId="9" xfId="0" applyBorder="1"/>
    <xf numFmtId="165" fontId="0" fillId="3" borderId="13" xfId="0" applyNumberFormat="1" applyFill="1" applyBorder="1" applyAlignment="1">
      <alignment horizontal="center"/>
    </xf>
    <xf numFmtId="0" fontId="7" fillId="0" borderId="0" xfId="0" applyFont="1"/>
    <xf numFmtId="0" fontId="1" fillId="0" borderId="0" xfId="0" applyFont="1"/>
    <xf numFmtId="17" fontId="0" fillId="0" borderId="0" xfId="0" applyNumberFormat="1"/>
    <xf numFmtId="0" fontId="0" fillId="0" borderId="13" xfId="0" applyBorder="1"/>
    <xf numFmtId="2" fontId="0" fillId="0" borderId="13" xfId="0" applyNumberFormat="1" applyBorder="1"/>
    <xf numFmtId="2" fontId="0" fillId="6" borderId="14" xfId="0" applyNumberFormat="1" applyFill="1" applyBorder="1"/>
    <xf numFmtId="2" fontId="0" fillId="6" borderId="8" xfId="0" applyNumberFormat="1" applyFill="1" applyBorder="1"/>
    <xf numFmtId="2" fontId="0" fillId="6" borderId="15" xfId="0" applyNumberFormat="1" applyFill="1" applyBorder="1"/>
    <xf numFmtId="0" fontId="0" fillId="0" borderId="5" xfId="0" applyBorder="1"/>
    <xf numFmtId="164" fontId="1" fillId="3" borderId="8" xfId="0" applyNumberFormat="1" applyFont="1" applyFill="1" applyBorder="1" applyAlignment="1">
      <alignment horizontal="center"/>
    </xf>
    <xf numFmtId="165" fontId="0" fillId="12" borderId="0" xfId="0" applyNumberFormat="1" applyFill="1" applyAlignment="1">
      <alignment horizontal="center"/>
    </xf>
    <xf numFmtId="17" fontId="0" fillId="6" borderId="13" xfId="0" applyNumberFormat="1" applyFill="1" applyBorder="1" applyAlignment="1">
      <alignment horizontal="center"/>
    </xf>
    <xf numFmtId="2" fontId="5" fillId="6" borderId="13" xfId="2" applyNumberFormat="1" applyFill="1" applyBorder="1"/>
    <xf numFmtId="165" fontId="5" fillId="6" borderId="13" xfId="2" applyNumberFormat="1" applyFill="1" applyBorder="1"/>
    <xf numFmtId="2" fontId="3" fillId="6" borderId="13" xfId="5" applyNumberFormat="1" applyFill="1" applyBorder="1"/>
    <xf numFmtId="2" fontId="1" fillId="6" borderId="13" xfId="3" applyNumberFormat="1" applyFill="1" applyBorder="1"/>
    <xf numFmtId="2" fontId="3" fillId="6" borderId="13" xfId="6" applyNumberFormat="1" applyFill="1" applyBorder="1"/>
    <xf numFmtId="2" fontId="0" fillId="2" borderId="2" xfId="0" applyNumberFormat="1" applyFill="1" applyBorder="1" applyAlignment="1">
      <alignment horizontal="center"/>
    </xf>
    <xf numFmtId="2" fontId="1" fillId="3" borderId="1" xfId="0" applyNumberFormat="1" applyFont="1" applyFill="1" applyBorder="1"/>
    <xf numFmtId="2" fontId="0" fillId="2" borderId="2" xfId="0" applyNumberFormat="1" applyFill="1" applyBorder="1"/>
    <xf numFmtId="2" fontId="0" fillId="2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166" fontId="0" fillId="3" borderId="13" xfId="0" applyNumberFormat="1" applyFill="1" applyBorder="1"/>
    <xf numFmtId="2" fontId="0" fillId="3" borderId="6" xfId="0" applyNumberFormat="1" applyFill="1" applyBorder="1" applyAlignment="1">
      <alignment horizontal="center"/>
    </xf>
    <xf numFmtId="165" fontId="0" fillId="3" borderId="15" xfId="0" applyNumberFormat="1" applyFill="1" applyBorder="1" applyAlignment="1">
      <alignment horizontal="center"/>
    </xf>
    <xf numFmtId="166" fontId="0" fillId="3" borderId="8" xfId="0" applyNumberFormat="1" applyFill="1" applyBorder="1"/>
    <xf numFmtId="0" fontId="0" fillId="6" borderId="13" xfId="0" applyFill="1" applyBorder="1"/>
    <xf numFmtId="0" fontId="0" fillId="3" borderId="13" xfId="0" applyFill="1" applyBorder="1"/>
    <xf numFmtId="164" fontId="1" fillId="3" borderId="2" xfId="0" applyNumberFormat="1" applyFont="1" applyFill="1" applyBorder="1" applyAlignment="1">
      <alignment horizontal="center"/>
    </xf>
    <xf numFmtId="0" fontId="0" fillId="3" borderId="8" xfId="0" applyFill="1" applyBorder="1"/>
    <xf numFmtId="0" fontId="5" fillId="7" borderId="13" xfId="2" applyFill="1" applyBorder="1"/>
    <xf numFmtId="0" fontId="1" fillId="7" borderId="13" xfId="2" applyFont="1" applyFill="1" applyBorder="1"/>
    <xf numFmtId="15" fontId="5" fillId="0" borderId="13" xfId="2" applyNumberFormat="1" applyBorder="1"/>
    <xf numFmtId="0" fontId="5" fillId="0" borderId="13" xfId="2" applyBorder="1"/>
    <xf numFmtId="2" fontId="5" fillId="0" borderId="13" xfId="2" applyNumberFormat="1" applyBorder="1"/>
    <xf numFmtId="165" fontId="5" fillId="0" borderId="13" xfId="2" applyNumberFormat="1" applyBorder="1"/>
    <xf numFmtId="14" fontId="1" fillId="0" borderId="13" xfId="2" applyNumberFormat="1" applyFont="1" applyBorder="1" applyAlignment="1">
      <alignment horizontal="right"/>
    </xf>
    <xf numFmtId="0" fontId="1" fillId="0" borderId="13" xfId="2" applyFont="1" applyBorder="1"/>
    <xf numFmtId="0" fontId="1" fillId="0" borderId="13" xfId="2" applyFont="1" applyBorder="1" applyAlignment="1">
      <alignment horizontal="right"/>
    </xf>
    <xf numFmtId="0" fontId="5" fillId="3" borderId="13" xfId="2" applyFill="1" applyBorder="1"/>
    <xf numFmtId="0" fontId="5" fillId="0" borderId="13" xfId="2" applyBorder="1" applyAlignment="1">
      <alignment horizontal="right"/>
    </xf>
    <xf numFmtId="164" fontId="1" fillId="3" borderId="11" xfId="0" applyNumberFormat="1" applyFont="1" applyFill="1" applyBorder="1" applyAlignment="1">
      <alignment horizontal="center"/>
    </xf>
    <xf numFmtId="2" fontId="0" fillId="3" borderId="6" xfId="0" applyNumberFormat="1" applyFill="1" applyBorder="1" applyAlignment="1">
      <alignment horizontal="center" wrapText="1"/>
    </xf>
    <xf numFmtId="4" fontId="11" fillId="11" borderId="13" xfId="0" applyNumberFormat="1" applyFont="1" applyFill="1" applyBorder="1"/>
    <xf numFmtId="4" fontId="1" fillId="11" borderId="13" xfId="0" applyNumberFormat="1" applyFont="1" applyFill="1" applyBorder="1"/>
    <xf numFmtId="4" fontId="11" fillId="13" borderId="13" xfId="0" applyNumberFormat="1" applyFont="1" applyFill="1" applyBorder="1"/>
    <xf numFmtId="0" fontId="13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2" fontId="0" fillId="3" borderId="13" xfId="0" applyNumberFormat="1" applyFill="1" applyBorder="1"/>
    <xf numFmtId="0" fontId="15" fillId="6" borderId="13" xfId="0" applyFont="1" applyFill="1" applyBorder="1"/>
    <xf numFmtId="2" fontId="1" fillId="6" borderId="13" xfId="2" applyNumberFormat="1" applyFont="1" applyFill="1" applyBorder="1"/>
    <xf numFmtId="2" fontId="1" fillId="3" borderId="13" xfId="2" applyNumberFormat="1" applyFont="1" applyFill="1" applyBorder="1"/>
    <xf numFmtId="165" fontId="1" fillId="6" borderId="13" xfId="2" applyNumberFormat="1" applyFont="1" applyFill="1" applyBorder="1"/>
    <xf numFmtId="4" fontId="16" fillId="13" borderId="13" xfId="0" applyNumberFormat="1" applyFont="1" applyFill="1" applyBorder="1"/>
    <xf numFmtId="2" fontId="1" fillId="16" borderId="13" xfId="2" applyNumberFormat="1" applyFont="1" applyFill="1" applyBorder="1"/>
    <xf numFmtId="165" fontId="1" fillId="16" borderId="13" xfId="2" applyNumberFormat="1" applyFont="1" applyFill="1" applyBorder="1"/>
    <xf numFmtId="17" fontId="0" fillId="16" borderId="13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165" fontId="0" fillId="16" borderId="1" xfId="0" applyNumberForma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17" fontId="0" fillId="0" borderId="13" xfId="0" applyNumberFormat="1" applyBorder="1" applyAlignment="1">
      <alignment horizontal="center"/>
    </xf>
    <xf numFmtId="2" fontId="1" fillId="0" borderId="13" xfId="2" applyNumberFormat="1" applyFont="1" applyBorder="1"/>
    <xf numFmtId="165" fontId="1" fillId="0" borderId="13" xfId="2" applyNumberFormat="1" applyFont="1" applyBorder="1"/>
    <xf numFmtId="0" fontId="12" fillId="17" borderId="1" xfId="0" applyFont="1" applyFill="1" applyBorder="1"/>
    <xf numFmtId="165" fontId="0" fillId="17" borderId="1" xfId="0" applyNumberFormat="1" applyFill="1" applyBorder="1"/>
    <xf numFmtId="0" fontId="0" fillId="17" borderId="1" xfId="0" applyFill="1" applyBorder="1"/>
    <xf numFmtId="2" fontId="0" fillId="17" borderId="1" xfId="0" applyNumberFormat="1" applyFill="1" applyBorder="1" applyAlignment="1">
      <alignment horizontal="center"/>
    </xf>
    <xf numFmtId="0" fontId="12" fillId="17" borderId="1" xfId="0" applyFont="1" applyFill="1" applyBorder="1" applyAlignment="1">
      <alignment horizontal="center"/>
    </xf>
    <xf numFmtId="0" fontId="14" fillId="4" borderId="1" xfId="0" applyFont="1" applyFill="1" applyBorder="1"/>
    <xf numFmtId="165" fontId="14" fillId="4" borderId="1" xfId="0" applyNumberFormat="1" applyFont="1" applyFill="1" applyBorder="1"/>
    <xf numFmtId="0" fontId="12" fillId="4" borderId="1" xfId="0" applyFont="1" applyFill="1" applyBorder="1"/>
    <xf numFmtId="17" fontId="0" fillId="0" borderId="1" xfId="0" applyNumberFormat="1" applyBorder="1" applyAlignment="1">
      <alignment horizontal="center"/>
    </xf>
    <xf numFmtId="165" fontId="1" fillId="0" borderId="1" xfId="0" applyNumberFormat="1" applyFont="1" applyBorder="1"/>
    <xf numFmtId="165" fontId="0" fillId="0" borderId="1" xfId="0" applyNumberFormat="1" applyBorder="1"/>
    <xf numFmtId="0" fontId="1" fillId="0" borderId="1" xfId="0" applyFont="1" applyBorder="1"/>
    <xf numFmtId="2" fontId="0" fillId="0" borderId="2" xfId="0" applyNumberFormat="1" applyBorder="1"/>
    <xf numFmtId="0" fontId="0" fillId="12" borderId="0" xfId="0" applyFill="1" applyAlignment="1">
      <alignment horizontal="center"/>
    </xf>
    <xf numFmtId="165" fontId="1" fillId="15" borderId="1" xfId="0" applyNumberFormat="1" applyFont="1" applyFill="1" applyBorder="1"/>
    <xf numFmtId="2" fontId="0" fillId="15" borderId="1" xfId="0" applyNumberFormat="1" applyFill="1" applyBorder="1"/>
    <xf numFmtId="17" fontId="0" fillId="18" borderId="1" xfId="0" applyNumberFormat="1" applyFill="1" applyBorder="1" applyAlignment="1">
      <alignment horizontal="center"/>
    </xf>
    <xf numFmtId="165" fontId="1" fillId="18" borderId="1" xfId="0" applyNumberFormat="1" applyFont="1" applyFill="1" applyBorder="1"/>
    <xf numFmtId="2" fontId="0" fillId="18" borderId="1" xfId="0" applyNumberFormat="1" applyFill="1" applyBorder="1"/>
    <xf numFmtId="0" fontId="0" fillId="19" borderId="1" xfId="0" applyFill="1" applyBorder="1"/>
    <xf numFmtId="15" fontId="14" fillId="0" borderId="1" xfId="0" applyNumberFormat="1" applyFont="1" applyBorder="1"/>
    <xf numFmtId="0" fontId="12" fillId="0" borderId="1" xfId="0" applyFont="1" applyBorder="1"/>
    <xf numFmtId="165" fontId="1" fillId="0" borderId="1" xfId="0" applyNumberFormat="1" applyFont="1" applyBorder="1" applyAlignment="1">
      <alignment vertical="center" wrapText="1"/>
    </xf>
    <xf numFmtId="165" fontId="12" fillId="17" borderId="1" xfId="0" applyNumberFormat="1" applyFont="1" applyFill="1" applyBorder="1"/>
    <xf numFmtId="165" fontId="12" fillId="4" borderId="1" xfId="0" applyNumberFormat="1" applyFont="1" applyFill="1" applyBorder="1"/>
    <xf numFmtId="17" fontId="12" fillId="0" borderId="1" xfId="0" applyNumberFormat="1" applyFont="1" applyBorder="1"/>
    <xf numFmtId="166" fontId="1" fillId="0" borderId="1" xfId="0" applyNumberFormat="1" applyFont="1" applyBorder="1"/>
    <xf numFmtId="17" fontId="12" fillId="0" borderId="8" xfId="0" applyNumberFormat="1" applyFont="1" applyBorder="1"/>
    <xf numFmtId="165" fontId="0" fillId="0" borderId="8" xfId="0" applyNumberFormat="1" applyBorder="1"/>
    <xf numFmtId="0" fontId="0" fillId="20" borderId="0" xfId="0" applyFill="1" applyAlignment="1">
      <alignment horizontal="center"/>
    </xf>
    <xf numFmtId="17" fontId="12" fillId="0" borderId="13" xfId="0" applyNumberFormat="1" applyFont="1" applyBorder="1"/>
    <xf numFmtId="165" fontId="0" fillId="0" borderId="13" xfId="0" applyNumberFormat="1" applyBorder="1"/>
    <xf numFmtId="2" fontId="0" fillId="0" borderId="10" xfId="0" applyNumberFormat="1" applyBorder="1"/>
    <xf numFmtId="17" fontId="12" fillId="0" borderId="16" xfId="0" applyNumberFormat="1" applyFont="1" applyBorder="1"/>
    <xf numFmtId="165" fontId="0" fillId="0" borderId="17" xfId="0" applyNumberFormat="1" applyBorder="1"/>
    <xf numFmtId="166" fontId="1" fillId="15" borderId="1" xfId="0" applyNumberFormat="1" applyFont="1" applyFill="1" applyBorder="1"/>
    <xf numFmtId="165" fontId="0" fillId="15" borderId="1" xfId="0" applyNumberFormat="1" applyFill="1" applyBorder="1"/>
    <xf numFmtId="17" fontId="12" fillId="0" borderId="10" xfId="0" applyNumberFormat="1" applyFont="1" applyBorder="1"/>
    <xf numFmtId="165" fontId="0" fillId="0" borderId="10" xfId="0" applyNumberFormat="1" applyBorder="1"/>
    <xf numFmtId="165" fontId="0" fillId="0" borderId="18" xfId="0" applyNumberFormat="1" applyBorder="1"/>
    <xf numFmtId="2" fontId="15" fillId="0" borderId="13" xfId="0" applyNumberFormat="1" applyFont="1" applyBorder="1"/>
    <xf numFmtId="167" fontId="14" fillId="0" borderId="1" xfId="0" applyNumberFormat="1" applyFont="1" applyBorder="1" applyAlignment="1">
      <alignment horizontal="left" indent="1"/>
    </xf>
    <xf numFmtId="166" fontId="0" fillId="0" borderId="1" xfId="0" applyNumberFormat="1" applyBorder="1"/>
    <xf numFmtId="2" fontId="12" fillId="17" borderId="1" xfId="0" applyNumberFormat="1" applyFont="1" applyFill="1" applyBorder="1"/>
    <xf numFmtId="166" fontId="12" fillId="17" borderId="1" xfId="0" applyNumberFormat="1" applyFont="1" applyFill="1" applyBorder="1"/>
    <xf numFmtId="0" fontId="12" fillId="0" borderId="0" xfId="0" applyFont="1"/>
    <xf numFmtId="166" fontId="12" fillId="4" borderId="1" xfId="0" applyNumberFormat="1" applyFont="1" applyFill="1" applyBorder="1"/>
    <xf numFmtId="2" fontId="1" fillId="0" borderId="0" xfId="0" applyNumberFormat="1" applyFont="1"/>
    <xf numFmtId="16" fontId="8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165" fontId="1" fillId="21" borderId="1" xfId="0" applyNumberFormat="1" applyFont="1" applyFill="1" applyBorder="1"/>
    <xf numFmtId="2" fontId="14" fillId="4" borderId="1" xfId="0" applyNumberFormat="1" applyFont="1" applyFill="1" applyBorder="1"/>
    <xf numFmtId="2" fontId="1" fillId="0" borderId="1" xfId="0" applyNumberFormat="1" applyFont="1" applyBorder="1"/>
    <xf numFmtId="0" fontId="17" fillId="0" borderId="1" xfId="0" applyFont="1" applyBorder="1"/>
    <xf numFmtId="0" fontId="0" fillId="16" borderId="1" xfId="0" applyFill="1" applyBorder="1"/>
    <xf numFmtId="165" fontId="0" fillId="16" borderId="1" xfId="0" applyNumberFormat="1" applyFill="1" applyBorder="1"/>
    <xf numFmtId="14" fontId="14" fillId="0" borderId="1" xfId="0" applyNumberFormat="1" applyFont="1" applyBorder="1"/>
    <xf numFmtId="2" fontId="1" fillId="0" borderId="1" xfId="0" applyNumberFormat="1" applyFont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2" borderId="1" xfId="0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1" xfId="0" applyFill="1" applyBorder="1" applyAlignment="1">
      <alignment horizontal="center"/>
    </xf>
    <xf numFmtId="164" fontId="9" fillId="3" borderId="3" xfId="0" applyNumberFormat="1" applyFont="1" applyFill="1" applyBorder="1" applyAlignment="1">
      <alignment horizontal="center"/>
    </xf>
    <xf numFmtId="164" fontId="9" fillId="3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</cellXfs>
  <cellStyles count="9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  <cellStyle name="Normal 5 2" xfId="8" xr:uid="{C716340D-F84F-4AA4-89B8-10D1872544EB}"/>
  </cellStyles>
  <dxfs count="0"/>
  <tableStyles count="0" defaultTableStyle="TableStyleMedium2" defaultPivotStyle="PivotStyleLight16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59215575231518"/>
          <c:y val="4.0352527024169374E-2"/>
          <c:w val="0.80115401698650024"/>
          <c:h val="0.696741124142698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'Crocodile (Main)'!$C$3</c:f>
              <c:strCache>
                <c:ptCount val="1"/>
                <c:pt idx="0">
                  <c:v>Recharge (mm/a)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name>Groundwater recharge trend_2022/2023</c:nam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385895417092217E-2"/>
                  <c:y val="8.5678101426132924E-4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'Crocodile (Main)'!$A$13:$A$24</c:f>
              <c:numCache>
                <c:formatCode>yyyy/mm</c:formatCode>
                <c:ptCount val="12"/>
                <c:pt idx="0">
                  <c:v>44479</c:v>
                </c:pt>
                <c:pt idx="1">
                  <c:v>44510</c:v>
                </c:pt>
                <c:pt idx="2">
                  <c:v>44540</c:v>
                </c:pt>
                <c:pt idx="3">
                  <c:v>44571</c:v>
                </c:pt>
                <c:pt idx="4">
                  <c:v>44602</c:v>
                </c:pt>
                <c:pt idx="5">
                  <c:v>44630</c:v>
                </c:pt>
                <c:pt idx="6">
                  <c:v>44661</c:v>
                </c:pt>
                <c:pt idx="7">
                  <c:v>44691</c:v>
                </c:pt>
                <c:pt idx="8">
                  <c:v>44722</c:v>
                </c:pt>
                <c:pt idx="9">
                  <c:v>44752</c:v>
                </c:pt>
                <c:pt idx="10">
                  <c:v>44783</c:v>
                </c:pt>
                <c:pt idx="11">
                  <c:v>44814</c:v>
                </c:pt>
              </c:numCache>
            </c:numRef>
          </c:xVal>
          <c:yVal>
            <c:numRef>
              <c:f>'Crocodile (Main)'!$C$13:$C$24</c:f>
              <c:numCache>
                <c:formatCode>General</c:formatCode>
                <c:ptCount val="12"/>
                <c:pt idx="0">
                  <c:v>1.016</c:v>
                </c:pt>
                <c:pt idx="1">
                  <c:v>2.54</c:v>
                </c:pt>
                <c:pt idx="2">
                  <c:v>6.35</c:v>
                </c:pt>
                <c:pt idx="3">
                  <c:v>24.13</c:v>
                </c:pt>
                <c:pt idx="4">
                  <c:v>6.6040000000000001</c:v>
                </c:pt>
                <c:pt idx="5">
                  <c:v>5.08</c:v>
                </c:pt>
                <c:pt idx="6">
                  <c:v>8.8899999999999988</c:v>
                </c:pt>
                <c:pt idx="7">
                  <c:v>9.1439999999999984</c:v>
                </c:pt>
                <c:pt idx="8">
                  <c:v>4.5719999999999992</c:v>
                </c:pt>
                <c:pt idx="9">
                  <c:v>2.032</c:v>
                </c:pt>
                <c:pt idx="10">
                  <c:v>0.7619999999999999</c:v>
                </c:pt>
                <c:pt idx="11">
                  <c:v>1.27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0C-49E7-A621-C0268EC185CA}"/>
            </c:ext>
          </c:extLst>
        </c:ser>
        <c:ser>
          <c:idx val="2"/>
          <c:order val="2"/>
          <c:spPr>
            <a:ln w="2540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name>Groundwater recharge trend_2023/2024</c:name>
            <c:spPr>
              <a:ln w="2540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145211211030551"/>
                  <c:y val="-5.2510813770656292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'Crocodile (Main)'!$A$24:$A$48</c:f>
              <c:numCache>
                <c:formatCode>yyyy/mm</c:formatCode>
                <c:ptCount val="25"/>
                <c:pt idx="0">
                  <c:v>44814</c:v>
                </c:pt>
                <c:pt idx="1">
                  <c:v>44844</c:v>
                </c:pt>
                <c:pt idx="2">
                  <c:v>44875</c:v>
                </c:pt>
                <c:pt idx="3">
                  <c:v>44905</c:v>
                </c:pt>
                <c:pt idx="4">
                  <c:v>44936</c:v>
                </c:pt>
                <c:pt idx="5">
                  <c:v>44967</c:v>
                </c:pt>
                <c:pt idx="6">
                  <c:v>44995</c:v>
                </c:pt>
                <c:pt idx="7">
                  <c:v>45026</c:v>
                </c:pt>
                <c:pt idx="8">
                  <c:v>45056</c:v>
                </c:pt>
                <c:pt idx="9">
                  <c:v>45087</c:v>
                </c:pt>
                <c:pt idx="10">
                  <c:v>45117</c:v>
                </c:pt>
                <c:pt idx="11">
                  <c:v>45148</c:v>
                </c:pt>
                <c:pt idx="12">
                  <c:v>45179</c:v>
                </c:pt>
                <c:pt idx="13">
                  <c:v>45209</c:v>
                </c:pt>
                <c:pt idx="14">
                  <c:v>45240</c:v>
                </c:pt>
                <c:pt idx="15">
                  <c:v>45270</c:v>
                </c:pt>
                <c:pt idx="16">
                  <c:v>45301</c:v>
                </c:pt>
                <c:pt idx="17">
                  <c:v>45332</c:v>
                </c:pt>
                <c:pt idx="18">
                  <c:v>45361</c:v>
                </c:pt>
                <c:pt idx="19">
                  <c:v>45392</c:v>
                </c:pt>
                <c:pt idx="20">
                  <c:v>45422</c:v>
                </c:pt>
                <c:pt idx="21">
                  <c:v>45453</c:v>
                </c:pt>
                <c:pt idx="22">
                  <c:v>45484</c:v>
                </c:pt>
                <c:pt idx="23">
                  <c:v>45516</c:v>
                </c:pt>
                <c:pt idx="24">
                  <c:v>45548</c:v>
                </c:pt>
              </c:numCache>
            </c:numRef>
          </c:xVal>
          <c:yVal>
            <c:numRef>
              <c:f>'Crocodile (Main)'!$C$24:$C$48</c:f>
              <c:numCache>
                <c:formatCode>General</c:formatCode>
                <c:ptCount val="25"/>
                <c:pt idx="0">
                  <c:v>1.27</c:v>
                </c:pt>
                <c:pt idx="1">
                  <c:v>0.7619999999999999</c:v>
                </c:pt>
                <c:pt idx="2">
                  <c:v>5.08</c:v>
                </c:pt>
                <c:pt idx="3">
                  <c:v>12.191999999999998</c:v>
                </c:pt>
                <c:pt idx="4">
                  <c:v>12.7</c:v>
                </c:pt>
                <c:pt idx="5">
                  <c:v>13.208</c:v>
                </c:pt>
                <c:pt idx="6">
                  <c:v>4.0640000000000001</c:v>
                </c:pt>
                <c:pt idx="7">
                  <c:v>3.302</c:v>
                </c:pt>
                <c:pt idx="8">
                  <c:v>8.1280000000000001</c:v>
                </c:pt>
                <c:pt idx="9">
                  <c:v>3.302</c:v>
                </c:pt>
                <c:pt idx="10">
                  <c:v>3.556</c:v>
                </c:pt>
                <c:pt idx="11">
                  <c:v>1.778</c:v>
                </c:pt>
                <c:pt idx="12">
                  <c:v>1.778</c:v>
                </c:pt>
                <c:pt idx="13">
                  <c:v>0.50800000000000001</c:v>
                </c:pt>
                <c:pt idx="14">
                  <c:v>2.794</c:v>
                </c:pt>
                <c:pt idx="15">
                  <c:v>17.018000000000001</c:v>
                </c:pt>
                <c:pt idx="16">
                  <c:v>5.08</c:v>
                </c:pt>
                <c:pt idx="17">
                  <c:v>3.302</c:v>
                </c:pt>
                <c:pt idx="18">
                  <c:v>5.3339999999999996</c:v>
                </c:pt>
                <c:pt idx="19">
                  <c:v>4.8259999999999996</c:v>
                </c:pt>
                <c:pt idx="20">
                  <c:v>0.7619999999999999</c:v>
                </c:pt>
                <c:pt idx="21">
                  <c:v>1.5239999999999998</c:v>
                </c:pt>
                <c:pt idx="22">
                  <c:v>1.016</c:v>
                </c:pt>
                <c:pt idx="23">
                  <c:v>1.016</c:v>
                </c:pt>
                <c:pt idx="24">
                  <c:v>0.50800000000000001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0C-49E7-A621-C0268EC18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912576"/>
        <c:axId val="1384913056"/>
      </c:scatterChart>
      <c:scatterChart>
        <c:scatterStyle val="smoothMarker"/>
        <c:varyColors val="0"/>
        <c:ser>
          <c:idx val="1"/>
          <c:order val="1"/>
          <c:tx>
            <c:strRef>
              <c:f>'Crocodile (Main)'!$Q$3</c:f>
              <c:strCache>
                <c:ptCount val="1"/>
                <c:pt idx="0">
                  <c:v>Groundwater level</c:v>
                </c:pt>
              </c:strCache>
            </c:strRef>
          </c:tx>
          <c:spPr>
            <a:ln w="25400" cap="rnd">
              <a:solidFill>
                <a:schemeClr val="tx2">
                  <a:lumMod val="50000"/>
                  <a:lumOff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name>Groundwater level trend_2022/2023</c:name>
            <c:spPr>
              <a:ln w="25400" cap="rnd">
                <a:solidFill>
                  <a:schemeClr val="tx2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897003666017759"/>
                  <c:y val="5.3948081664617099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'Crocodile (Main)'!$P$4:$P$24</c:f>
              <c:numCache>
                <c:formatCode>yyyy/mm</c:formatCode>
                <c:ptCount val="21"/>
                <c:pt idx="0">
                  <c:v>44479</c:v>
                </c:pt>
                <c:pt idx="1">
                  <c:v>44510</c:v>
                </c:pt>
                <c:pt idx="2">
                  <c:v>44540</c:v>
                </c:pt>
                <c:pt idx="3">
                  <c:v>44571</c:v>
                </c:pt>
                <c:pt idx="4">
                  <c:v>44602</c:v>
                </c:pt>
                <c:pt idx="5">
                  <c:v>44630</c:v>
                </c:pt>
                <c:pt idx="6">
                  <c:v>44661</c:v>
                </c:pt>
                <c:pt idx="7">
                  <c:v>44691</c:v>
                </c:pt>
                <c:pt idx="8">
                  <c:v>44722</c:v>
                </c:pt>
                <c:pt idx="9">
                  <c:v>44752</c:v>
                </c:pt>
                <c:pt idx="10">
                  <c:v>44783</c:v>
                </c:pt>
                <c:pt idx="11">
                  <c:v>44814</c:v>
                </c:pt>
                <c:pt idx="12">
                  <c:v>44844</c:v>
                </c:pt>
                <c:pt idx="13">
                  <c:v>44875</c:v>
                </c:pt>
                <c:pt idx="14">
                  <c:v>44905</c:v>
                </c:pt>
                <c:pt idx="15">
                  <c:v>44936</c:v>
                </c:pt>
                <c:pt idx="16">
                  <c:v>44967</c:v>
                </c:pt>
                <c:pt idx="17">
                  <c:v>44995</c:v>
                </c:pt>
                <c:pt idx="18">
                  <c:v>45026</c:v>
                </c:pt>
                <c:pt idx="19">
                  <c:v>45056</c:v>
                </c:pt>
                <c:pt idx="20">
                  <c:v>45087</c:v>
                </c:pt>
              </c:numCache>
            </c:numRef>
          </c:xVal>
          <c:yVal>
            <c:numRef>
              <c:f>'Crocodile (Main)'!$Q$4:$Q$24</c:f>
              <c:numCache>
                <c:formatCode>General</c:formatCode>
                <c:ptCount val="21"/>
                <c:pt idx="0">
                  <c:v>659.57</c:v>
                </c:pt>
                <c:pt idx="1">
                  <c:v>659.46</c:v>
                </c:pt>
                <c:pt idx="2">
                  <c:v>659.51</c:v>
                </c:pt>
                <c:pt idx="3">
                  <c:v>659.56</c:v>
                </c:pt>
                <c:pt idx="4">
                  <c:v>659.75</c:v>
                </c:pt>
                <c:pt idx="5">
                  <c:v>659.71</c:v>
                </c:pt>
                <c:pt idx="6">
                  <c:v>659.7</c:v>
                </c:pt>
                <c:pt idx="7">
                  <c:v>659.77</c:v>
                </c:pt>
                <c:pt idx="8">
                  <c:v>659.95</c:v>
                </c:pt>
                <c:pt idx="9">
                  <c:v>659.86</c:v>
                </c:pt>
                <c:pt idx="10">
                  <c:v>659.71</c:v>
                </c:pt>
                <c:pt idx="11">
                  <c:v>659.79</c:v>
                </c:pt>
                <c:pt idx="12">
                  <c:v>659.68</c:v>
                </c:pt>
                <c:pt idx="13">
                  <c:v>659.75</c:v>
                </c:pt>
                <c:pt idx="14">
                  <c:v>660.03</c:v>
                </c:pt>
                <c:pt idx="15">
                  <c:v>660.125</c:v>
                </c:pt>
                <c:pt idx="16">
                  <c:v>660.22</c:v>
                </c:pt>
                <c:pt idx="17">
                  <c:v>660.94</c:v>
                </c:pt>
                <c:pt idx="18">
                  <c:v>660.91</c:v>
                </c:pt>
                <c:pt idx="19">
                  <c:v>660.73</c:v>
                </c:pt>
                <c:pt idx="20">
                  <c:v>660.65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0C-49E7-A621-C0268EC185CA}"/>
            </c:ext>
          </c:extLst>
        </c:ser>
        <c:ser>
          <c:idx val="3"/>
          <c:order val="3"/>
          <c:spPr>
            <a:ln w="25400" cap="rnd">
              <a:solidFill>
                <a:schemeClr val="tx2">
                  <a:lumMod val="50000"/>
                  <a:lumOff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name>Groundwater level  trend_2023/2024</c:nam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56789127470997"/>
                  <c:y val="-0.14604212934921593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'Crocodile (Main)'!$P$24:$P$35</c:f>
              <c:numCache>
                <c:formatCode>yyyy/mm</c:formatCode>
                <c:ptCount val="12"/>
                <c:pt idx="0">
                  <c:v>45087</c:v>
                </c:pt>
                <c:pt idx="1">
                  <c:v>45117</c:v>
                </c:pt>
                <c:pt idx="2">
                  <c:v>45148</c:v>
                </c:pt>
                <c:pt idx="3">
                  <c:v>45179</c:v>
                </c:pt>
                <c:pt idx="4">
                  <c:v>45209</c:v>
                </c:pt>
                <c:pt idx="5">
                  <c:v>45240</c:v>
                </c:pt>
                <c:pt idx="6">
                  <c:v>45270</c:v>
                </c:pt>
                <c:pt idx="7">
                  <c:v>45301</c:v>
                </c:pt>
                <c:pt idx="8">
                  <c:v>45332</c:v>
                </c:pt>
                <c:pt idx="9">
                  <c:v>45361</c:v>
                </c:pt>
                <c:pt idx="10">
                  <c:v>45392</c:v>
                </c:pt>
                <c:pt idx="11">
                  <c:v>45422</c:v>
                </c:pt>
              </c:numCache>
            </c:numRef>
          </c:xVal>
          <c:yVal>
            <c:numRef>
              <c:f>'Crocodile (Main)'!$Q$24:$Q$35</c:f>
              <c:numCache>
                <c:formatCode>General</c:formatCode>
                <c:ptCount val="12"/>
                <c:pt idx="0">
                  <c:v>660.65</c:v>
                </c:pt>
                <c:pt idx="1">
                  <c:v>660.34</c:v>
                </c:pt>
                <c:pt idx="2">
                  <c:v>660.13</c:v>
                </c:pt>
                <c:pt idx="3">
                  <c:v>659.98</c:v>
                </c:pt>
                <c:pt idx="4">
                  <c:v>659.82</c:v>
                </c:pt>
                <c:pt idx="5">
                  <c:v>659.67</c:v>
                </c:pt>
                <c:pt idx="6">
                  <c:v>659.72</c:v>
                </c:pt>
                <c:pt idx="7">
                  <c:v>659.9</c:v>
                </c:pt>
                <c:pt idx="8">
                  <c:v>660.09</c:v>
                </c:pt>
                <c:pt idx="9">
                  <c:v>659.96</c:v>
                </c:pt>
                <c:pt idx="10">
                  <c:v>659.94</c:v>
                </c:pt>
                <c:pt idx="11">
                  <c:v>659.83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0C-49E7-A621-C0268EC18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656783"/>
        <c:axId val="1324193392"/>
      </c:scatterChart>
      <c:valAx>
        <c:axId val="138491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(YYMM)</a:t>
                </a:r>
              </a:p>
            </c:rich>
          </c:tx>
          <c:layout>
            <c:manualLayout>
              <c:xMode val="edge"/>
              <c:yMode val="edge"/>
              <c:x val="0.44480672738679106"/>
              <c:y val="0.84675097431002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913056"/>
        <c:crosses val="autoZero"/>
        <c:crossBetween val="midCat"/>
        <c:majorUnit val="50"/>
      </c:valAx>
      <c:valAx>
        <c:axId val="1384913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Grounbdwater recharge</a:t>
                </a:r>
                <a:r>
                  <a:rPr lang="en-ZA" baseline="0"/>
                  <a:t> (mm/a)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1.8273265994705468E-2"/>
              <c:y val="0.17781228395401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912576"/>
        <c:crosses val="autoZero"/>
        <c:crossBetween val="midCat"/>
        <c:majorUnit val="2"/>
      </c:valAx>
      <c:valAx>
        <c:axId val="13241933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Groundwater levels (mamsl)</a:t>
                </a:r>
              </a:p>
            </c:rich>
          </c:tx>
          <c:layout>
            <c:manualLayout>
              <c:xMode val="edge"/>
              <c:yMode val="edge"/>
              <c:x val="0.95325593977540668"/>
              <c:y val="0.19510721998910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656783"/>
        <c:crosses val="max"/>
        <c:crossBetween val="midCat"/>
        <c:majorUnit val="0.25"/>
      </c:valAx>
      <c:valAx>
        <c:axId val="1420656783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crossAx val="1324193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4.5131288049574756E-3"/>
          <c:y val="0.90944832132950204"/>
          <c:w val="0.91803189085043302"/>
          <c:h val="9.0551548189343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960" b="0" i="0" u="none" strike="noStrike" kern="1200" spc="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ZA"/>
              <a:t>Drivers of groundwater resource performance in Sabie Subsystem</a:t>
            </a:r>
          </a:p>
          <a:p>
            <a:pPr algn="ctr" rtl="0">
              <a:defRPr/>
            </a:pPr>
            <a:r>
              <a:rPr lang="en-ZA"/>
              <a:t> Crocodile Catchment</a:t>
            </a:r>
          </a:p>
        </c:rich>
      </c:tx>
      <c:layout>
        <c:manualLayout>
          <c:xMode val="edge"/>
          <c:yMode val="edge"/>
          <c:x val="0.15650535239889976"/>
          <c:y val="2.843601429264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960" b="0" i="0" u="none" strike="noStrike" kern="1200" spc="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0.11590443002634197"/>
          <c:y val="0.18199891419651071"/>
          <c:w val="0.81997670353980845"/>
          <c:h val="0.62922417896239891"/>
        </c:manualLayout>
      </c:layout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217208814735553"/>
                  <c:y val="-5.2298595254947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'Crocodile (Main)'!$C$37:$C$52</c:f>
              <c:numCache>
                <c:formatCode>General</c:formatCode>
                <c:ptCount val="16"/>
                <c:pt idx="0">
                  <c:v>0.50800000000000001</c:v>
                </c:pt>
                <c:pt idx="1">
                  <c:v>2.794</c:v>
                </c:pt>
                <c:pt idx="2">
                  <c:v>17.018000000000001</c:v>
                </c:pt>
                <c:pt idx="3">
                  <c:v>5.08</c:v>
                </c:pt>
                <c:pt idx="4">
                  <c:v>3.302</c:v>
                </c:pt>
                <c:pt idx="5">
                  <c:v>5.3339999999999996</c:v>
                </c:pt>
                <c:pt idx="6">
                  <c:v>4.8259999999999996</c:v>
                </c:pt>
                <c:pt idx="7">
                  <c:v>0.7619999999999999</c:v>
                </c:pt>
                <c:pt idx="8">
                  <c:v>1.5239999999999998</c:v>
                </c:pt>
                <c:pt idx="9">
                  <c:v>1.016</c:v>
                </c:pt>
                <c:pt idx="10">
                  <c:v>1.016</c:v>
                </c:pt>
                <c:pt idx="11">
                  <c:v>0.50800000000000001</c:v>
                </c:pt>
                <c:pt idx="12">
                  <c:v>1.27</c:v>
                </c:pt>
                <c:pt idx="13">
                  <c:v>-0.254</c:v>
                </c:pt>
                <c:pt idx="14">
                  <c:v>1.778</c:v>
                </c:pt>
                <c:pt idx="15">
                  <c:v>8.636000000000001</c:v>
                </c:pt>
              </c:numCache>
            </c:numRef>
          </c:xVal>
          <c:yVal>
            <c:numRef>
              <c:f>'Crocodile (Main)'!$Q$28:$Q$43</c:f>
              <c:numCache>
                <c:formatCode>General</c:formatCode>
                <c:ptCount val="16"/>
                <c:pt idx="0">
                  <c:v>659.82</c:v>
                </c:pt>
                <c:pt idx="1">
                  <c:v>659.67</c:v>
                </c:pt>
                <c:pt idx="2">
                  <c:v>659.72</c:v>
                </c:pt>
                <c:pt idx="3">
                  <c:v>659.9</c:v>
                </c:pt>
                <c:pt idx="4">
                  <c:v>660.09</c:v>
                </c:pt>
                <c:pt idx="5">
                  <c:v>659.96</c:v>
                </c:pt>
                <c:pt idx="6">
                  <c:v>659.94</c:v>
                </c:pt>
                <c:pt idx="7">
                  <c:v>659.83</c:v>
                </c:pt>
                <c:pt idx="8">
                  <c:v>659.78</c:v>
                </c:pt>
                <c:pt idx="9">
                  <c:v>659.56</c:v>
                </c:pt>
                <c:pt idx="10" formatCode="0.00">
                  <c:v>659.4764705882352</c:v>
                </c:pt>
                <c:pt idx="11" formatCode="#,##0.00">
                  <c:v>659.29294117647055</c:v>
                </c:pt>
                <c:pt idx="12" formatCode="#,##0.00">
                  <c:v>659.48647058823531</c:v>
                </c:pt>
                <c:pt idx="13" formatCode="#,##0.00">
                  <c:v>659.52</c:v>
                </c:pt>
                <c:pt idx="14" formatCode="#,##0.00">
                  <c:v>659.48</c:v>
                </c:pt>
                <c:pt idx="15" formatCode="#,##0.00">
                  <c:v>659.45647059999999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A6-40BE-B728-BF8A4E080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829408"/>
        <c:axId val="132282988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Groundwater level vs recharge (2022/223)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0070C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'Crocodile (Main)'!$C$25:$C$33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0.7619999999999999</c:v>
                      </c:pt>
                      <c:pt idx="1">
                        <c:v>5.08</c:v>
                      </c:pt>
                      <c:pt idx="2">
                        <c:v>12.191999999999998</c:v>
                      </c:pt>
                      <c:pt idx="3">
                        <c:v>12.7</c:v>
                      </c:pt>
                      <c:pt idx="4">
                        <c:v>13.208</c:v>
                      </c:pt>
                      <c:pt idx="5">
                        <c:v>4.0640000000000001</c:v>
                      </c:pt>
                      <c:pt idx="6">
                        <c:v>3.302</c:v>
                      </c:pt>
                      <c:pt idx="7">
                        <c:v>8.1280000000000001</c:v>
                      </c:pt>
                      <c:pt idx="8">
                        <c:v>3.302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'Crocodile (Main)'!$Q$16:$Q$24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659.68</c:v>
                      </c:pt>
                      <c:pt idx="1">
                        <c:v>659.75</c:v>
                      </c:pt>
                      <c:pt idx="2">
                        <c:v>660.03</c:v>
                      </c:pt>
                      <c:pt idx="3">
                        <c:v>660.125</c:v>
                      </c:pt>
                      <c:pt idx="4">
                        <c:v>660.22</c:v>
                      </c:pt>
                      <c:pt idx="5">
                        <c:v>660.94</c:v>
                      </c:pt>
                      <c:pt idx="6">
                        <c:v>660.91</c:v>
                      </c:pt>
                      <c:pt idx="7">
                        <c:v>660.73</c:v>
                      </c:pt>
                      <c:pt idx="8">
                        <c:v>660.65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FD2-46EB-8C2B-0D1F30AEB2FF}"/>
                  </c:ext>
                </c:extLst>
              </c15:ser>
            </c15:filteredScatterSeries>
            <c15:filteredScatterSeries>
              <c15:ser>
                <c:idx val="0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'Crocodile (Main)'!$C$37:$C$52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0.50800000000000001</c:v>
                      </c:pt>
                      <c:pt idx="1">
                        <c:v>2.794</c:v>
                      </c:pt>
                      <c:pt idx="2">
                        <c:v>17.018000000000001</c:v>
                      </c:pt>
                      <c:pt idx="3">
                        <c:v>5.08</c:v>
                      </c:pt>
                      <c:pt idx="4">
                        <c:v>3.302</c:v>
                      </c:pt>
                      <c:pt idx="5">
                        <c:v>5.3339999999999996</c:v>
                      </c:pt>
                      <c:pt idx="6">
                        <c:v>4.8259999999999996</c:v>
                      </c:pt>
                      <c:pt idx="7">
                        <c:v>0.7619999999999999</c:v>
                      </c:pt>
                      <c:pt idx="8">
                        <c:v>1.5239999999999998</c:v>
                      </c:pt>
                      <c:pt idx="9">
                        <c:v>1.016</c:v>
                      </c:pt>
                      <c:pt idx="10">
                        <c:v>1.016</c:v>
                      </c:pt>
                      <c:pt idx="11">
                        <c:v>0.50800000000000001</c:v>
                      </c:pt>
                      <c:pt idx="12">
                        <c:v>1.27</c:v>
                      </c:pt>
                      <c:pt idx="13">
                        <c:v>-0.254</c:v>
                      </c:pt>
                      <c:pt idx="14">
                        <c:v>1.778</c:v>
                      </c:pt>
                      <c:pt idx="15">
                        <c:v>8.636000000000001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'Crocodile (Main)'!$Q$28:$Q$43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659.82</c:v>
                      </c:pt>
                      <c:pt idx="1">
                        <c:v>659.67</c:v>
                      </c:pt>
                      <c:pt idx="2">
                        <c:v>659.72</c:v>
                      </c:pt>
                      <c:pt idx="3">
                        <c:v>659.9</c:v>
                      </c:pt>
                      <c:pt idx="4">
                        <c:v>660.09</c:v>
                      </c:pt>
                      <c:pt idx="5">
                        <c:v>659.96</c:v>
                      </c:pt>
                      <c:pt idx="6">
                        <c:v>659.94</c:v>
                      </c:pt>
                      <c:pt idx="7">
                        <c:v>659.83</c:v>
                      </c:pt>
                      <c:pt idx="8">
                        <c:v>659.78</c:v>
                      </c:pt>
                      <c:pt idx="9">
                        <c:v>659.56</c:v>
                      </c:pt>
                      <c:pt idx="10" formatCode="0.00">
                        <c:v>659.4764705882352</c:v>
                      </c:pt>
                      <c:pt idx="11" formatCode="#,##0.00">
                        <c:v>659.29294117647055</c:v>
                      </c:pt>
                      <c:pt idx="12" formatCode="#,##0.00">
                        <c:v>659.48647058823531</c:v>
                      </c:pt>
                      <c:pt idx="13" formatCode="#,##0.00">
                        <c:v>659.52</c:v>
                      </c:pt>
                      <c:pt idx="14" formatCode="#,##0.00">
                        <c:v>659.48</c:v>
                      </c:pt>
                      <c:pt idx="15" formatCode="#,##0.00">
                        <c:v>659.45647059999999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D2-46EB-8C2B-0D1F30AEB2FF}"/>
                  </c:ext>
                </c:extLst>
              </c15:ser>
            </c15:filteredScatterSeries>
          </c:ext>
        </c:extLst>
      </c:scatterChart>
      <c:valAx>
        <c:axId val="132282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ZA"/>
                  <a:t>Groundwater recharge (m3/a)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ZA"/>
            </a:p>
          </c:txPr>
        </c:title>
        <c:numFmt formatCode="#,##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322829888"/>
        <c:crosses val="autoZero"/>
        <c:crossBetween val="midCat"/>
        <c:majorUnit val="1"/>
      </c:valAx>
      <c:valAx>
        <c:axId val="132282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ZA"/>
                  <a:t>Groundwater levels (mamsl)</a:t>
                </a:r>
              </a:p>
            </c:rich>
          </c:tx>
          <c:layout>
            <c:manualLayout>
              <c:xMode val="edge"/>
              <c:yMode val="edge"/>
              <c:x val="7.1558317897232007E-2"/>
              <c:y val="0.20781898295936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32282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ZA"/>
              <a:t>Groudwater levels vs recharge performance in Crocodile catchment </a:t>
            </a:r>
          </a:p>
        </c:rich>
      </c:tx>
      <c:layout>
        <c:manualLayout>
          <c:xMode val="edge"/>
          <c:yMode val="edge"/>
          <c:x val="0.2139846829294571"/>
          <c:y val="2.2719160104986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Recharge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154413282609338"/>
                  <c:y val="-1.46068583532321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'Crocodile (Main)'!$A$37:$A$58</c:f>
              <c:numCache>
                <c:formatCode>yyyy/mm</c:formatCode>
                <c:ptCount val="22"/>
                <c:pt idx="0">
                  <c:v>45209</c:v>
                </c:pt>
                <c:pt idx="1">
                  <c:v>45240</c:v>
                </c:pt>
                <c:pt idx="2">
                  <c:v>45270</c:v>
                </c:pt>
                <c:pt idx="3">
                  <c:v>45301</c:v>
                </c:pt>
                <c:pt idx="4">
                  <c:v>45332</c:v>
                </c:pt>
                <c:pt idx="5">
                  <c:v>45361</c:v>
                </c:pt>
                <c:pt idx="6">
                  <c:v>45392</c:v>
                </c:pt>
                <c:pt idx="7">
                  <c:v>45422</c:v>
                </c:pt>
                <c:pt idx="8">
                  <c:v>45453</c:v>
                </c:pt>
                <c:pt idx="9">
                  <c:v>45484</c:v>
                </c:pt>
                <c:pt idx="10">
                  <c:v>45516</c:v>
                </c:pt>
                <c:pt idx="11">
                  <c:v>45548</c:v>
                </c:pt>
                <c:pt idx="12">
                  <c:v>45579</c:v>
                </c:pt>
                <c:pt idx="13">
                  <c:v>45611</c:v>
                </c:pt>
                <c:pt idx="14">
                  <c:v>45642</c:v>
                </c:pt>
                <c:pt idx="15">
                  <c:v>45674</c:v>
                </c:pt>
                <c:pt idx="16">
                  <c:v>45706</c:v>
                </c:pt>
                <c:pt idx="17">
                  <c:v>45735</c:v>
                </c:pt>
                <c:pt idx="18">
                  <c:v>45767</c:v>
                </c:pt>
                <c:pt idx="19">
                  <c:v>45798</c:v>
                </c:pt>
                <c:pt idx="20">
                  <c:v>45830</c:v>
                </c:pt>
                <c:pt idx="21">
                  <c:v>45861</c:v>
                </c:pt>
              </c:numCache>
            </c:numRef>
          </c:xVal>
          <c:yVal>
            <c:numRef>
              <c:f>'Crocodile (Main)'!$B$37:$B$58</c:f>
              <c:numCache>
                <c:formatCode>General</c:formatCode>
                <c:ptCount val="22"/>
                <c:pt idx="0">
                  <c:v>0.02</c:v>
                </c:pt>
                <c:pt idx="1">
                  <c:v>0.11</c:v>
                </c:pt>
                <c:pt idx="2">
                  <c:v>0.67</c:v>
                </c:pt>
                <c:pt idx="3">
                  <c:v>0.2</c:v>
                </c:pt>
                <c:pt idx="4">
                  <c:v>0.13</c:v>
                </c:pt>
                <c:pt idx="5">
                  <c:v>0.21</c:v>
                </c:pt>
                <c:pt idx="6">
                  <c:v>0.19</c:v>
                </c:pt>
                <c:pt idx="7">
                  <c:v>0.03</c:v>
                </c:pt>
                <c:pt idx="8">
                  <c:v>0.06</c:v>
                </c:pt>
                <c:pt idx="9">
                  <c:v>0.04</c:v>
                </c:pt>
                <c:pt idx="10">
                  <c:v>0.04</c:v>
                </c:pt>
                <c:pt idx="11">
                  <c:v>0.02</c:v>
                </c:pt>
                <c:pt idx="12">
                  <c:v>0.05</c:v>
                </c:pt>
                <c:pt idx="13">
                  <c:v>-0.01</c:v>
                </c:pt>
                <c:pt idx="14">
                  <c:v>7.0000000000000007E-2</c:v>
                </c:pt>
                <c:pt idx="15">
                  <c:v>0.34</c:v>
                </c:pt>
                <c:pt idx="16">
                  <c:v>0.21</c:v>
                </c:pt>
                <c:pt idx="17">
                  <c:v>0.28999999999999998</c:v>
                </c:pt>
                <c:pt idx="18">
                  <c:v>0.44</c:v>
                </c:pt>
                <c:pt idx="19">
                  <c:v>0.13</c:v>
                </c:pt>
                <c:pt idx="20">
                  <c:v>-0.01</c:v>
                </c:pt>
                <c:pt idx="2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0-4C4C-B053-0FA27529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14303"/>
        <c:axId val="113425343"/>
      </c:scatterChart>
      <c:scatterChart>
        <c:scatterStyle val="lineMarker"/>
        <c:varyColors val="0"/>
        <c:ser>
          <c:idx val="1"/>
          <c:order val="1"/>
          <c:tx>
            <c:v>Groundwater level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50000"/>
                    <a:lumOff val="5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5049691822230082E-2"/>
                  <c:y val="-0.191429755491089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'Crocodile (Main)'!$P$28:$P$49</c:f>
              <c:numCache>
                <c:formatCode>yyyy/mm</c:formatCode>
                <c:ptCount val="22"/>
                <c:pt idx="0">
                  <c:v>45209</c:v>
                </c:pt>
                <c:pt idx="1">
                  <c:v>45240</c:v>
                </c:pt>
                <c:pt idx="2">
                  <c:v>45270</c:v>
                </c:pt>
                <c:pt idx="3">
                  <c:v>45301</c:v>
                </c:pt>
                <c:pt idx="4">
                  <c:v>45332</c:v>
                </c:pt>
                <c:pt idx="5">
                  <c:v>45361</c:v>
                </c:pt>
                <c:pt idx="6">
                  <c:v>45392</c:v>
                </c:pt>
                <c:pt idx="7">
                  <c:v>45422</c:v>
                </c:pt>
                <c:pt idx="8">
                  <c:v>45454</c:v>
                </c:pt>
                <c:pt idx="9">
                  <c:v>45485</c:v>
                </c:pt>
                <c:pt idx="10">
                  <c:v>45517</c:v>
                </c:pt>
                <c:pt idx="11">
                  <c:v>45549</c:v>
                </c:pt>
                <c:pt idx="12">
                  <c:v>45566</c:v>
                </c:pt>
                <c:pt idx="13">
                  <c:v>45608</c:v>
                </c:pt>
                <c:pt idx="14">
                  <c:v>45639</c:v>
                </c:pt>
                <c:pt idx="15">
                  <c:v>45668</c:v>
                </c:pt>
                <c:pt idx="16">
                  <c:v>45700</c:v>
                </c:pt>
                <c:pt idx="17">
                  <c:v>45729</c:v>
                </c:pt>
                <c:pt idx="18">
                  <c:v>45761</c:v>
                </c:pt>
                <c:pt idx="19">
                  <c:v>45792</c:v>
                </c:pt>
                <c:pt idx="20">
                  <c:v>45809</c:v>
                </c:pt>
                <c:pt idx="21">
                  <c:v>45839</c:v>
                </c:pt>
              </c:numCache>
            </c:numRef>
          </c:xVal>
          <c:yVal>
            <c:numRef>
              <c:f>'Crocodile (Main)'!$Q$28:$Q$49</c:f>
              <c:numCache>
                <c:formatCode>General</c:formatCode>
                <c:ptCount val="22"/>
                <c:pt idx="0">
                  <c:v>659.82</c:v>
                </c:pt>
                <c:pt idx="1">
                  <c:v>659.67</c:v>
                </c:pt>
                <c:pt idx="2">
                  <c:v>659.72</c:v>
                </c:pt>
                <c:pt idx="3">
                  <c:v>659.9</c:v>
                </c:pt>
                <c:pt idx="4">
                  <c:v>660.09</c:v>
                </c:pt>
                <c:pt idx="5">
                  <c:v>659.96</c:v>
                </c:pt>
                <c:pt idx="6">
                  <c:v>659.94</c:v>
                </c:pt>
                <c:pt idx="7">
                  <c:v>659.83</c:v>
                </c:pt>
                <c:pt idx="8">
                  <c:v>659.78</c:v>
                </c:pt>
                <c:pt idx="9">
                  <c:v>659.56</c:v>
                </c:pt>
                <c:pt idx="10" formatCode="0.00">
                  <c:v>659.4764705882352</c:v>
                </c:pt>
                <c:pt idx="11" formatCode="#,##0.00">
                  <c:v>659.29294117647055</c:v>
                </c:pt>
                <c:pt idx="12" formatCode="#,##0.00">
                  <c:v>659.48647058823531</c:v>
                </c:pt>
                <c:pt idx="13" formatCode="#,##0.00">
                  <c:v>659.52</c:v>
                </c:pt>
                <c:pt idx="14" formatCode="#,##0.00">
                  <c:v>659.48</c:v>
                </c:pt>
                <c:pt idx="15" formatCode="#,##0.00">
                  <c:v>659.45647059999999</c:v>
                </c:pt>
                <c:pt idx="16" formatCode="#,##0.00">
                  <c:v>659.58</c:v>
                </c:pt>
                <c:pt idx="17" formatCode="#,##0.00">
                  <c:v>659.52</c:v>
                </c:pt>
                <c:pt idx="18" formatCode="#,##0.00">
                  <c:v>659.55</c:v>
                </c:pt>
                <c:pt idx="19" formatCode="#,##0.00">
                  <c:v>659.35</c:v>
                </c:pt>
                <c:pt idx="20" formatCode="#,##0.00">
                  <c:v>659.13</c:v>
                </c:pt>
                <c:pt idx="21" formatCode="#,##0.00">
                  <c:v>659.05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0-4C4C-B053-0FA27529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70463"/>
        <c:axId val="113473343"/>
      </c:scatterChart>
      <c:valAx>
        <c:axId val="113414303"/>
        <c:scaling>
          <c:orientation val="minMax"/>
          <c:min val="451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Time (2022/2023 hydrological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yy/mm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25343"/>
        <c:crosses val="autoZero"/>
        <c:crossBetween val="midCat"/>
      </c:valAx>
      <c:valAx>
        <c:axId val="113425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Groudnwater recharge (mm/a)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14303"/>
        <c:crosses val="autoZero"/>
        <c:crossBetween val="midCat"/>
      </c:valAx>
      <c:valAx>
        <c:axId val="1134733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Groudnwater levels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70463"/>
        <c:crosses val="max"/>
        <c:crossBetween val="midCat"/>
      </c:valAx>
      <c:valAx>
        <c:axId val="113470463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crossAx val="113473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78365663841923"/>
          <c:y val="0.20974389973895602"/>
          <c:w val="0.75132869970192506"/>
          <c:h val="0.66179278814983067"/>
        </c:manualLayout>
      </c:layout>
      <c:scatterChart>
        <c:scatterStyle val="lineMarker"/>
        <c:varyColors val="0"/>
        <c:ser>
          <c:idx val="0"/>
          <c:order val="0"/>
          <c:tx>
            <c:v>Recharge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9316492504891072"/>
                  <c:y val="3.19929934107918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'Assegai (Main)'!$F$16:$F$31</c:f>
              <c:numCache>
                <c:formatCode>mmm\-yy</c:formatCode>
                <c:ptCount val="16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</c:numCache>
            </c:numRef>
          </c:xVal>
          <c:yVal>
            <c:numRef>
              <c:f>'Assegai (Main)'!$G$16:$G$31</c:f>
              <c:numCache>
                <c:formatCode>General</c:formatCode>
                <c:ptCount val="16"/>
                <c:pt idx="0">
                  <c:v>2.286</c:v>
                </c:pt>
                <c:pt idx="1">
                  <c:v>1.016</c:v>
                </c:pt>
                <c:pt idx="2">
                  <c:v>8.3819999999999997</c:v>
                </c:pt>
                <c:pt idx="3">
                  <c:v>10.922000000000001</c:v>
                </c:pt>
                <c:pt idx="4">
                  <c:v>7.62</c:v>
                </c:pt>
                <c:pt idx="5">
                  <c:v>2.286</c:v>
                </c:pt>
                <c:pt idx="6">
                  <c:v>2.286</c:v>
                </c:pt>
                <c:pt idx="7">
                  <c:v>0.254</c:v>
                </c:pt>
                <c:pt idx="8">
                  <c:v>1.016</c:v>
                </c:pt>
                <c:pt idx="9">
                  <c:v>0.50800000000000001</c:v>
                </c:pt>
                <c:pt idx="10">
                  <c:v>0.254</c:v>
                </c:pt>
                <c:pt idx="11">
                  <c:v>1.6E-2</c:v>
                </c:pt>
                <c:pt idx="12">
                  <c:v>1.016</c:v>
                </c:pt>
                <c:pt idx="13">
                  <c:v>0.50800000000000001</c:v>
                </c:pt>
                <c:pt idx="14">
                  <c:v>20.065999999999999</c:v>
                </c:pt>
                <c:pt idx="15">
                  <c:v>172.97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17-4DA1-8AEA-E27B98FFD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465743"/>
        <c:axId val="901456143"/>
      </c:scatterChart>
      <c:scatterChart>
        <c:scatterStyle val="lineMarker"/>
        <c:varyColors val="0"/>
        <c:ser>
          <c:idx val="1"/>
          <c:order val="1"/>
          <c:tx>
            <c:v>Groundwater level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0256642591495776E-3"/>
                  <c:y val="-3.2037554496925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'Assegai (Main)'!$F$16:$F$31</c:f>
              <c:numCache>
                <c:formatCode>mmm\-yy</c:formatCode>
                <c:ptCount val="16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</c:numCache>
            </c:numRef>
          </c:xVal>
          <c:yVal>
            <c:numRef>
              <c:f>'Assegai (Main)'!$L$16:$L$31</c:f>
              <c:numCache>
                <c:formatCode>General</c:formatCode>
                <c:ptCount val="16"/>
                <c:pt idx="0">
                  <c:v>1194.6500000000001</c:v>
                </c:pt>
                <c:pt idx="1">
                  <c:v>1194.42</c:v>
                </c:pt>
                <c:pt idx="2">
                  <c:v>1194.56</c:v>
                </c:pt>
                <c:pt idx="3">
                  <c:v>1194.58</c:v>
                </c:pt>
                <c:pt idx="4" formatCode="0.00">
                  <c:v>1194.605</c:v>
                </c:pt>
                <c:pt idx="5">
                  <c:v>1194.99</c:v>
                </c:pt>
                <c:pt idx="6">
                  <c:v>1194.58</c:v>
                </c:pt>
                <c:pt idx="7">
                  <c:v>1194.615</c:v>
                </c:pt>
                <c:pt idx="8">
                  <c:v>1194.5899999999999</c:v>
                </c:pt>
                <c:pt idx="9">
                  <c:v>1194.6099999999999</c:v>
                </c:pt>
                <c:pt idx="10" formatCode="0.00">
                  <c:v>1194.3600000000001</c:v>
                </c:pt>
                <c:pt idx="11" formatCode="0.00">
                  <c:v>1194.2649999999999</c:v>
                </c:pt>
                <c:pt idx="12">
                  <c:v>1194.0899999999999</c:v>
                </c:pt>
                <c:pt idx="13">
                  <c:v>1193.9000000000001</c:v>
                </c:pt>
                <c:pt idx="14">
                  <c:v>1193.82</c:v>
                </c:pt>
                <c:pt idx="15">
                  <c:v>1196.04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17-4DA1-8AEA-E27B98FFD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916527"/>
        <c:axId val="233936207"/>
      </c:scatterChart>
      <c:valAx>
        <c:axId val="901465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Time (Hydrolohgical 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1456143"/>
        <c:crosses val="autoZero"/>
        <c:crossBetween val="midCat"/>
      </c:valAx>
      <c:valAx>
        <c:axId val="90145614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Groundwater recharge (mm/a)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1465743"/>
        <c:crosses val="autoZero"/>
        <c:crossBetween val="midCat"/>
      </c:valAx>
      <c:valAx>
        <c:axId val="2339362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Groundwater level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3916527"/>
        <c:crosses val="max"/>
        <c:crossBetween val="midCat"/>
      </c:valAx>
      <c:valAx>
        <c:axId val="23391652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3393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ZA" sz="10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Analysis of groundwater resource  performance (as of Decmeber 2024) in Assegai Subsystem_Usuthu Catchment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22656043734177"/>
          <c:y val="0.17576642335766424"/>
          <c:w val="0.84116199972044914"/>
          <c:h val="0.55635509065016509"/>
        </c:manualLayout>
      </c:layout>
      <c:scatterChart>
        <c:scatterStyle val="lineMarker"/>
        <c:varyColors val="0"/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9381416080386403E-2"/>
                  <c:y val="-7.21024835399224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'Assegai (Main)'!$G$16:$G$31</c:f>
              <c:numCache>
                <c:formatCode>General</c:formatCode>
                <c:ptCount val="16"/>
                <c:pt idx="0">
                  <c:v>2.286</c:v>
                </c:pt>
                <c:pt idx="1">
                  <c:v>1.016</c:v>
                </c:pt>
                <c:pt idx="2">
                  <c:v>8.3819999999999997</c:v>
                </c:pt>
                <c:pt idx="3">
                  <c:v>10.922000000000001</c:v>
                </c:pt>
                <c:pt idx="4">
                  <c:v>7.62</c:v>
                </c:pt>
                <c:pt idx="5">
                  <c:v>2.286</c:v>
                </c:pt>
                <c:pt idx="6">
                  <c:v>2.286</c:v>
                </c:pt>
                <c:pt idx="7">
                  <c:v>0.254</c:v>
                </c:pt>
                <c:pt idx="8">
                  <c:v>1.016</c:v>
                </c:pt>
                <c:pt idx="9">
                  <c:v>0.50800000000000001</c:v>
                </c:pt>
                <c:pt idx="10">
                  <c:v>0.254</c:v>
                </c:pt>
                <c:pt idx="11">
                  <c:v>1.6E-2</c:v>
                </c:pt>
                <c:pt idx="12">
                  <c:v>1.016</c:v>
                </c:pt>
                <c:pt idx="13">
                  <c:v>0.50800000000000001</c:v>
                </c:pt>
                <c:pt idx="14">
                  <c:v>20.065999999999999</c:v>
                </c:pt>
                <c:pt idx="15">
                  <c:v>172.97</c:v>
                </c:pt>
              </c:numCache>
            </c:numRef>
          </c:xVal>
          <c:yVal>
            <c:numRef>
              <c:f>'Assegai (Main)'!$L$16:$L$31</c:f>
              <c:numCache>
                <c:formatCode>General</c:formatCode>
                <c:ptCount val="16"/>
                <c:pt idx="0">
                  <c:v>1194.6500000000001</c:v>
                </c:pt>
                <c:pt idx="1">
                  <c:v>1194.42</c:v>
                </c:pt>
                <c:pt idx="2">
                  <c:v>1194.56</c:v>
                </c:pt>
                <c:pt idx="3">
                  <c:v>1194.58</c:v>
                </c:pt>
                <c:pt idx="4" formatCode="0.00">
                  <c:v>1194.605</c:v>
                </c:pt>
                <c:pt idx="5">
                  <c:v>1194.99</c:v>
                </c:pt>
                <c:pt idx="6">
                  <c:v>1194.58</c:v>
                </c:pt>
                <c:pt idx="7">
                  <c:v>1194.615</c:v>
                </c:pt>
                <c:pt idx="8">
                  <c:v>1194.5899999999999</c:v>
                </c:pt>
                <c:pt idx="9">
                  <c:v>1194.6099999999999</c:v>
                </c:pt>
                <c:pt idx="10" formatCode="0.00">
                  <c:v>1194.3600000000001</c:v>
                </c:pt>
                <c:pt idx="11" formatCode="0.00">
                  <c:v>1194.2649999999999</c:v>
                </c:pt>
                <c:pt idx="12">
                  <c:v>1194.0899999999999</c:v>
                </c:pt>
                <c:pt idx="13">
                  <c:v>1193.9000000000001</c:v>
                </c:pt>
                <c:pt idx="14">
                  <c:v>1193.82</c:v>
                </c:pt>
                <c:pt idx="15">
                  <c:v>1196.04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15-4CA0-BDB6-EB802860A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477743"/>
        <c:axId val="90147870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name>Strength of correlation (2022/2023)</c:nam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-1.849632701237789E-2"/>
                        <c:y val="-5.7032396497883019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'Assegai (Main)'!$G$4:$G$15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1.524</c:v>
                      </c:pt>
                      <c:pt idx="1">
                        <c:v>5.08</c:v>
                      </c:pt>
                      <c:pt idx="2">
                        <c:v>17.271999999999998</c:v>
                      </c:pt>
                      <c:pt idx="3">
                        <c:v>29.463999999999999</c:v>
                      </c:pt>
                      <c:pt idx="4">
                        <c:v>29.463999999999999</c:v>
                      </c:pt>
                      <c:pt idx="7">
                        <c:v>4.0640000000000001</c:v>
                      </c:pt>
                      <c:pt idx="8">
                        <c:v>1.778</c:v>
                      </c:pt>
                      <c:pt idx="9">
                        <c:v>1.524</c:v>
                      </c:pt>
                      <c:pt idx="10">
                        <c:v>1.27</c:v>
                      </c:pt>
                      <c:pt idx="11">
                        <c:v>0.50800000000000001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'Assegai (Main)'!$L$4:$L$12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1193.635</c:v>
                      </c:pt>
                      <c:pt idx="1">
                        <c:v>1193.4349999999999</c:v>
                      </c:pt>
                      <c:pt idx="2">
                        <c:v>1193.885</c:v>
                      </c:pt>
                      <c:pt idx="3">
                        <c:v>1195.29</c:v>
                      </c:pt>
                      <c:pt idx="4">
                        <c:v>1195.06</c:v>
                      </c:pt>
                      <c:pt idx="5">
                        <c:v>1195.6950000000002</c:v>
                      </c:pt>
                      <c:pt idx="6">
                        <c:v>1195.875</c:v>
                      </c:pt>
                      <c:pt idx="7">
                        <c:v>1195.75</c:v>
                      </c:pt>
                      <c:pt idx="8">
                        <c:v>1195.165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DB15-4CA0-BDB6-EB802860A8AC}"/>
                  </c:ext>
                </c:extLst>
              </c15:ser>
            </c15:filteredScatterSeries>
          </c:ext>
        </c:extLst>
      </c:scatterChart>
      <c:valAx>
        <c:axId val="901477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Recharge (mm/a)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1478703"/>
        <c:crosses val="autoZero"/>
        <c:crossBetween val="midCat"/>
      </c:valAx>
      <c:valAx>
        <c:axId val="901478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Groundwater levels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147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ZA"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Groundwater resource performance in Ngwempisi Subsystem_Usuthu Catchment</a:t>
            </a:r>
          </a:p>
        </c:rich>
      </c:tx>
      <c:layout>
        <c:manualLayout>
          <c:xMode val="edge"/>
          <c:yMode val="edge"/>
          <c:x val="0.15590948240573485"/>
          <c:y val="3.9007092198581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87448706849659"/>
          <c:y val="9.9372522125665774E-2"/>
          <c:w val="0.79212016227582682"/>
          <c:h val="0.62449389069711081"/>
        </c:manualLayout>
      </c:layout>
      <c:scatterChart>
        <c:scatterStyle val="lineMarker"/>
        <c:varyColors val="0"/>
        <c:ser>
          <c:idx val="0"/>
          <c:order val="0"/>
          <c:tx>
            <c:v>Groundwater recharge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69246177469753"/>
                  <c:y val="-0.16300308357694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'Ngwempisi (Main)'!$F$16:$F$32</c:f>
              <c:numCache>
                <c:formatCode>mmm\-yy</c:formatCode>
                <c:ptCount val="17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</c:numCache>
            </c:numRef>
          </c:xVal>
          <c:yVal>
            <c:numRef>
              <c:f>'Ngwempisi (Main)'!$G$16:$G$32</c:f>
              <c:numCache>
                <c:formatCode>General</c:formatCode>
                <c:ptCount val="17"/>
                <c:pt idx="0">
                  <c:v>1.524</c:v>
                </c:pt>
                <c:pt idx="1">
                  <c:v>0.76200000000000001</c:v>
                </c:pt>
                <c:pt idx="2">
                  <c:v>4.5720000000000001</c:v>
                </c:pt>
                <c:pt idx="3">
                  <c:v>3.302</c:v>
                </c:pt>
                <c:pt idx="4">
                  <c:v>2.286</c:v>
                </c:pt>
                <c:pt idx="5">
                  <c:v>1.778</c:v>
                </c:pt>
                <c:pt idx="6">
                  <c:v>1.27</c:v>
                </c:pt>
                <c:pt idx="7">
                  <c:v>0.50800000000000001</c:v>
                </c:pt>
                <c:pt idx="8">
                  <c:v>0.76200000000000001</c:v>
                </c:pt>
                <c:pt idx="9">
                  <c:v>0</c:v>
                </c:pt>
                <c:pt idx="10">
                  <c:v>0.254</c:v>
                </c:pt>
                <c:pt idx="11">
                  <c:v>0.254</c:v>
                </c:pt>
                <c:pt idx="12">
                  <c:v>0.254</c:v>
                </c:pt>
                <c:pt idx="13">
                  <c:v>0.254</c:v>
                </c:pt>
                <c:pt idx="14">
                  <c:v>0.76200000000000001</c:v>
                </c:pt>
                <c:pt idx="15">
                  <c:v>12.446</c:v>
                </c:pt>
                <c:pt idx="16">
                  <c:v>13.462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0A-42AB-BF3B-10525F22B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769151"/>
        <c:axId val="1409769631"/>
      </c:scatterChart>
      <c:scatterChart>
        <c:scatterStyle val="lineMarker"/>
        <c:varyColors val="0"/>
        <c:ser>
          <c:idx val="1"/>
          <c:order val="1"/>
          <c:tx>
            <c:v>Groundwater levels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Pt>
            <c:idx val="10"/>
            <c:marker>
              <c:symbol val="circle"/>
              <c:size val="10"/>
              <c:spPr>
                <a:solidFill>
                  <a:schemeClr val="tx2">
                    <a:lumMod val="75000"/>
                    <a:lumOff val="25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0A-42AB-BF3B-10525F22B5F1}"/>
              </c:ext>
            </c:extLst>
          </c:dPt>
          <c:trendline>
            <c:spPr>
              <a:ln w="19050" cap="rnd">
                <a:solidFill>
                  <a:schemeClr val="tx2">
                    <a:lumMod val="50000"/>
                    <a:lumOff val="5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050904139857753E-2"/>
                  <c:y val="-0.145343598574346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'Ngwempisi (Main)'!$F$16:$F$32</c:f>
              <c:numCache>
                <c:formatCode>mmm\-yy</c:formatCode>
                <c:ptCount val="17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</c:numCache>
            </c:numRef>
          </c:xVal>
          <c:yVal>
            <c:numRef>
              <c:f>'Ngwempisi (Main)'!$L$16:$L$32</c:f>
              <c:numCache>
                <c:formatCode>0.000</c:formatCode>
                <c:ptCount val="17"/>
                <c:pt idx="0">
                  <c:v>1295.27</c:v>
                </c:pt>
                <c:pt idx="1">
                  <c:v>1294.77</c:v>
                </c:pt>
                <c:pt idx="2">
                  <c:v>1295.23</c:v>
                </c:pt>
                <c:pt idx="3">
                  <c:v>1295.75</c:v>
                </c:pt>
                <c:pt idx="4">
                  <c:v>1295.71</c:v>
                </c:pt>
                <c:pt idx="5">
                  <c:v>1295.71</c:v>
                </c:pt>
                <c:pt idx="6">
                  <c:v>1295.27</c:v>
                </c:pt>
                <c:pt idx="7">
                  <c:v>1295.2750000000001</c:v>
                </c:pt>
                <c:pt idx="8">
                  <c:v>1295.28</c:v>
                </c:pt>
                <c:pt idx="9">
                  <c:v>1295.2850000000001</c:v>
                </c:pt>
                <c:pt idx="10">
                  <c:v>1294.17</c:v>
                </c:pt>
                <c:pt idx="11">
                  <c:v>1294</c:v>
                </c:pt>
                <c:pt idx="12" formatCode="0.00">
                  <c:v>1293.83</c:v>
                </c:pt>
                <c:pt idx="13" formatCode="0.00">
                  <c:v>1293.8</c:v>
                </c:pt>
                <c:pt idx="14" formatCode="0.00">
                  <c:v>1293.56</c:v>
                </c:pt>
                <c:pt idx="15" formatCode="0.00">
                  <c:v>1293.8900000000001</c:v>
                </c:pt>
                <c:pt idx="16" formatCode="0.00">
                  <c:v>1294.47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0A-42AB-BF3B-10525F22B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796624"/>
        <c:axId val="1032809104"/>
      </c:scatterChart>
      <c:valAx>
        <c:axId val="1409769151"/>
        <c:scaling>
          <c:orientation val="minMax"/>
        </c:scaling>
        <c:delete val="0"/>
        <c:axPos val="b"/>
        <c:numFmt formatCode="mmm\-yy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9769631"/>
        <c:crosses val="autoZero"/>
        <c:crossBetween val="midCat"/>
        <c:majorUnit val="50"/>
      </c:valAx>
      <c:valAx>
        <c:axId val="1409769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Groundwater recharge (mm/a)</a:t>
                </a:r>
              </a:p>
            </c:rich>
          </c:tx>
          <c:layout>
            <c:manualLayout>
              <c:xMode val="edge"/>
              <c:yMode val="edge"/>
              <c:x val="7.9187768471356019E-3"/>
              <c:y val="0.17306024988987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9769151"/>
        <c:crosses val="autoZero"/>
        <c:crossBetween val="midCat"/>
      </c:valAx>
      <c:valAx>
        <c:axId val="1032809104"/>
        <c:scaling>
          <c:orientation val="minMax"/>
        </c:scaling>
        <c:delete val="0"/>
        <c:axPos val="r"/>
        <c:numFmt formatCode="0.00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2796624"/>
        <c:crosses val="max"/>
        <c:crossBetween val="midCat"/>
      </c:valAx>
      <c:valAx>
        <c:axId val="103279662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032809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69352124932548"/>
          <c:y val="0.8917236494333427"/>
          <c:w val="0.75661295750134905"/>
          <c:h val="8.92042269032077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'Ngwempisi (Main)'!$A$12:$A$612</c:f>
              <c:numCache>
                <c:formatCode>mmm\-yy</c:formatCode>
                <c:ptCount val="601"/>
                <c:pt idx="0">
                  <c:v>45078</c:v>
                </c:pt>
                <c:pt idx="1">
                  <c:v>45108</c:v>
                </c:pt>
                <c:pt idx="2">
                  <c:v>45139</c:v>
                </c:pt>
                <c:pt idx="3">
                  <c:v>45170</c:v>
                </c:pt>
                <c:pt idx="4">
                  <c:v>45200</c:v>
                </c:pt>
                <c:pt idx="5">
                  <c:v>45231</c:v>
                </c:pt>
                <c:pt idx="6">
                  <c:v>45261</c:v>
                </c:pt>
                <c:pt idx="7">
                  <c:v>45292</c:v>
                </c:pt>
                <c:pt idx="8">
                  <c:v>45323</c:v>
                </c:pt>
                <c:pt idx="9">
                  <c:v>45352</c:v>
                </c:pt>
                <c:pt idx="10">
                  <c:v>45383</c:v>
                </c:pt>
                <c:pt idx="11">
                  <c:v>45413</c:v>
                </c:pt>
                <c:pt idx="12">
                  <c:v>45444</c:v>
                </c:pt>
                <c:pt idx="13">
                  <c:v>45474</c:v>
                </c:pt>
                <c:pt idx="14">
                  <c:v>45505</c:v>
                </c:pt>
                <c:pt idx="15">
                  <c:v>45536</c:v>
                </c:pt>
                <c:pt idx="16">
                  <c:v>45566</c:v>
                </c:pt>
                <c:pt idx="17">
                  <c:v>45597</c:v>
                </c:pt>
                <c:pt idx="18">
                  <c:v>45627</c:v>
                </c:pt>
                <c:pt idx="19">
                  <c:v>45658</c:v>
                </c:pt>
                <c:pt idx="20">
                  <c:v>45689</c:v>
                </c:pt>
                <c:pt idx="21">
                  <c:v>45717</c:v>
                </c:pt>
                <c:pt idx="22">
                  <c:v>45748</c:v>
                </c:pt>
                <c:pt idx="23">
                  <c:v>45778</c:v>
                </c:pt>
                <c:pt idx="24">
                  <c:v>45809</c:v>
                </c:pt>
                <c:pt idx="25">
                  <c:v>45839</c:v>
                </c:pt>
                <c:pt idx="26">
                  <c:v>45870</c:v>
                </c:pt>
                <c:pt idx="27">
                  <c:v>45901</c:v>
                </c:pt>
                <c:pt idx="28">
                  <c:v>45931</c:v>
                </c:pt>
                <c:pt idx="29">
                  <c:v>45962</c:v>
                </c:pt>
                <c:pt idx="30">
                  <c:v>45992</c:v>
                </c:pt>
                <c:pt idx="31">
                  <c:v>46023</c:v>
                </c:pt>
                <c:pt idx="32">
                  <c:v>46054</c:v>
                </c:pt>
                <c:pt idx="33">
                  <c:v>46082</c:v>
                </c:pt>
                <c:pt idx="34">
                  <c:v>46113</c:v>
                </c:pt>
                <c:pt idx="35">
                  <c:v>46143</c:v>
                </c:pt>
              </c:numCache>
            </c:numRef>
          </c:xVal>
          <c:yVal>
            <c:numRef>
              <c:f>'Ngwempisi (Main)'!$B$12:$B$612</c:f>
              <c:numCache>
                <c:formatCode>0.000</c:formatCode>
                <c:ptCount val="601"/>
                <c:pt idx="0">
                  <c:v>0.79237163569999991</c:v>
                </c:pt>
                <c:pt idx="1">
                  <c:v>0.57384112900000017</c:v>
                </c:pt>
                <c:pt idx="2">
                  <c:v>0.4396061111666667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0.21</c:v>
                </c:pt>
                <c:pt idx="6">
                  <c:v>0.20499999999999999</c:v>
                </c:pt>
                <c:pt idx="7">
                  <c:v>0.59</c:v>
                </c:pt>
                <c:pt idx="8">
                  <c:v>1.48</c:v>
                </c:pt>
                <c:pt idx="9">
                  <c:v>5.1486987519734836E-2</c:v>
                </c:pt>
                <c:pt idx="10">
                  <c:v>0.22965517241379313</c:v>
                </c:pt>
                <c:pt idx="11">
                  <c:v>0.14204261449659897</c:v>
                </c:pt>
                <c:pt idx="12">
                  <c:v>0.1041</c:v>
                </c:pt>
                <c:pt idx="13">
                  <c:v>0.09</c:v>
                </c:pt>
                <c:pt idx="14">
                  <c:v>6.3E-2</c:v>
                </c:pt>
                <c:pt idx="15" formatCode="0.0000">
                  <c:v>4.9329999999999999E-2</c:v>
                </c:pt>
                <c:pt idx="16" formatCode="0.0000">
                  <c:v>5.0323E-2</c:v>
                </c:pt>
                <c:pt idx="17" formatCode="0.0000">
                  <c:v>4.9232999999999999E-2</c:v>
                </c:pt>
                <c:pt idx="18" formatCode="0.0000">
                  <c:v>5.5199999999999999E-2</c:v>
                </c:pt>
                <c:pt idx="19" formatCode="0.0000">
                  <c:v>1.36161</c:v>
                </c:pt>
                <c:pt idx="20" formatCode="0.0000">
                  <c:v>1.2050000000000001</c:v>
                </c:pt>
                <c:pt idx="21" formatCode="0.0000">
                  <c:v>1.0061</c:v>
                </c:pt>
                <c:pt idx="22" formatCode="0.0000">
                  <c:v>3.0467</c:v>
                </c:pt>
                <c:pt idx="23" formatCode="0.0000">
                  <c:v>2.9870999999999999</c:v>
                </c:pt>
                <c:pt idx="24" formatCode="0.0000">
                  <c:v>0.88800000000000001</c:v>
                </c:pt>
                <c:pt idx="25" formatCode="0.0000">
                  <c:v>0.4178</c:v>
                </c:pt>
                <c:pt idx="26" formatCode="0.0000">
                  <c:v>0.28739999999999999</c:v>
                </c:pt>
                <c:pt idx="27" formatCode="0.0000">
                  <c:v>0.29320000000000002</c:v>
                </c:pt>
                <c:pt idx="28" formatCode="0.0000">
                  <c:v>0.59899999999999998</c:v>
                </c:pt>
                <c:pt idx="29" formatCode="0.0000">
                  <c:v>0.76966000000000001</c:v>
                </c:pt>
                <c:pt idx="30" formatCode="0.0000">
                  <c:v>1.8268</c:v>
                </c:pt>
                <c:pt idx="31" formatCode="0.0000">
                  <c:v>2.6015999999999999</c:v>
                </c:pt>
                <c:pt idx="32" formatCode="0.0000">
                  <c:v>1.8864000000000001</c:v>
                </c:pt>
                <c:pt idx="33" formatCode="0.0000">
                  <c:v>1.2432000000000001</c:v>
                </c:pt>
                <c:pt idx="34" formatCode="0.0000">
                  <c:v>1.1406666700000001</c:v>
                </c:pt>
                <c:pt idx="35" formatCode="0.0000">
                  <c:v>0.90677419400000003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D-42A0-A1B0-B2B79CA0D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97983"/>
        <c:axId val="113399903"/>
      </c:scatterChart>
      <c:valAx>
        <c:axId val="11339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99903"/>
        <c:crosses val="autoZero"/>
        <c:crossBetween val="midCat"/>
      </c:valAx>
      <c:valAx>
        <c:axId val="11339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9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'Ngwempisi (Main)'!$A$4:$A$612</c:f>
              <c:numCache>
                <c:formatCode>mmm\-yy</c:formatCode>
                <c:ptCount val="609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45292</c:v>
                </c:pt>
                <c:pt idx="16">
                  <c:v>45323</c:v>
                </c:pt>
                <c:pt idx="17">
                  <c:v>45352</c:v>
                </c:pt>
                <c:pt idx="18">
                  <c:v>45383</c:v>
                </c:pt>
                <c:pt idx="19">
                  <c:v>45413</c:v>
                </c:pt>
                <c:pt idx="20">
                  <c:v>45444</c:v>
                </c:pt>
                <c:pt idx="21">
                  <c:v>45474</c:v>
                </c:pt>
                <c:pt idx="22">
                  <c:v>45505</c:v>
                </c:pt>
                <c:pt idx="23">
                  <c:v>45536</c:v>
                </c:pt>
                <c:pt idx="24">
                  <c:v>45566</c:v>
                </c:pt>
                <c:pt idx="25">
                  <c:v>45597</c:v>
                </c:pt>
                <c:pt idx="26">
                  <c:v>45627</c:v>
                </c:pt>
                <c:pt idx="27">
                  <c:v>45658</c:v>
                </c:pt>
                <c:pt idx="28">
                  <c:v>45689</c:v>
                </c:pt>
                <c:pt idx="29">
                  <c:v>45717</c:v>
                </c:pt>
                <c:pt idx="30">
                  <c:v>45748</c:v>
                </c:pt>
                <c:pt idx="31">
                  <c:v>45778</c:v>
                </c:pt>
                <c:pt idx="32">
                  <c:v>45809</c:v>
                </c:pt>
                <c:pt idx="33">
                  <c:v>45839</c:v>
                </c:pt>
                <c:pt idx="34">
                  <c:v>45870</c:v>
                </c:pt>
                <c:pt idx="35">
                  <c:v>45901</c:v>
                </c:pt>
                <c:pt idx="36">
                  <c:v>45931</c:v>
                </c:pt>
                <c:pt idx="37">
                  <c:v>45962</c:v>
                </c:pt>
                <c:pt idx="38">
                  <c:v>45992</c:v>
                </c:pt>
                <c:pt idx="39">
                  <c:v>46023</c:v>
                </c:pt>
                <c:pt idx="40">
                  <c:v>46054</c:v>
                </c:pt>
                <c:pt idx="41">
                  <c:v>46082</c:v>
                </c:pt>
                <c:pt idx="42">
                  <c:v>46113</c:v>
                </c:pt>
                <c:pt idx="43">
                  <c:v>46143</c:v>
                </c:pt>
              </c:numCache>
            </c:numRef>
          </c:xVal>
          <c:yVal>
            <c:numRef>
              <c:f>'Ngwempisi (Main)'!$B$4:$B$612</c:f>
              <c:numCache>
                <c:formatCode>0.000</c:formatCode>
                <c:ptCount val="609"/>
                <c:pt idx="0">
                  <c:v>0.47664516129032281</c:v>
                </c:pt>
                <c:pt idx="1">
                  <c:v>0.46499999999999997</c:v>
                </c:pt>
                <c:pt idx="2">
                  <c:v>1.2664516129032257</c:v>
                </c:pt>
                <c:pt idx="3">
                  <c:v>2.637225806451613</c:v>
                </c:pt>
                <c:pt idx="4">
                  <c:v>3.513928571428572</c:v>
                </c:pt>
                <c:pt idx="5">
                  <c:v>3.2879677419354829</c:v>
                </c:pt>
                <c:pt idx="6">
                  <c:v>1.7101666666666662</c:v>
                </c:pt>
                <c:pt idx="7">
                  <c:v>1.3904305645483872</c:v>
                </c:pt>
                <c:pt idx="8">
                  <c:v>0.79237163569999991</c:v>
                </c:pt>
                <c:pt idx="9">
                  <c:v>0.57384112900000017</c:v>
                </c:pt>
                <c:pt idx="10">
                  <c:v>0.4396061111666667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0.21</c:v>
                </c:pt>
                <c:pt idx="14">
                  <c:v>0.20499999999999999</c:v>
                </c:pt>
                <c:pt idx="15">
                  <c:v>0.59</c:v>
                </c:pt>
                <c:pt idx="16">
                  <c:v>1.48</c:v>
                </c:pt>
                <c:pt idx="17">
                  <c:v>5.1486987519734836E-2</c:v>
                </c:pt>
                <c:pt idx="18">
                  <c:v>0.22965517241379313</c:v>
                </c:pt>
                <c:pt idx="19">
                  <c:v>0.14204261449659897</c:v>
                </c:pt>
                <c:pt idx="20">
                  <c:v>0.1041</c:v>
                </c:pt>
                <c:pt idx="21">
                  <c:v>0.09</c:v>
                </c:pt>
                <c:pt idx="22">
                  <c:v>6.3E-2</c:v>
                </c:pt>
                <c:pt idx="23" formatCode="0.0000">
                  <c:v>4.9329999999999999E-2</c:v>
                </c:pt>
                <c:pt idx="24" formatCode="0.0000">
                  <c:v>5.0323E-2</c:v>
                </c:pt>
                <c:pt idx="25" formatCode="0.0000">
                  <c:v>4.9232999999999999E-2</c:v>
                </c:pt>
                <c:pt idx="26" formatCode="0.0000">
                  <c:v>5.5199999999999999E-2</c:v>
                </c:pt>
                <c:pt idx="27" formatCode="0.0000">
                  <c:v>1.36161</c:v>
                </c:pt>
                <c:pt idx="28" formatCode="0.0000">
                  <c:v>1.2050000000000001</c:v>
                </c:pt>
                <c:pt idx="29" formatCode="0.0000">
                  <c:v>1.0061</c:v>
                </c:pt>
                <c:pt idx="30" formatCode="0.0000">
                  <c:v>3.0467</c:v>
                </c:pt>
                <c:pt idx="31" formatCode="0.0000">
                  <c:v>2.9870999999999999</c:v>
                </c:pt>
                <c:pt idx="32" formatCode="0.0000">
                  <c:v>0.88800000000000001</c:v>
                </c:pt>
                <c:pt idx="33" formatCode="0.0000">
                  <c:v>0.4178</c:v>
                </c:pt>
                <c:pt idx="34" formatCode="0.0000">
                  <c:v>0.28739999999999999</c:v>
                </c:pt>
                <c:pt idx="35" formatCode="0.0000">
                  <c:v>0.29320000000000002</c:v>
                </c:pt>
                <c:pt idx="36" formatCode="0.0000">
                  <c:v>0.59899999999999998</c:v>
                </c:pt>
                <c:pt idx="37" formatCode="0.0000">
                  <c:v>0.76966000000000001</c:v>
                </c:pt>
                <c:pt idx="38" formatCode="0.0000">
                  <c:v>1.8268</c:v>
                </c:pt>
                <c:pt idx="39" formatCode="0.0000">
                  <c:v>2.6015999999999999</c:v>
                </c:pt>
                <c:pt idx="40" formatCode="0.0000">
                  <c:v>1.8864000000000001</c:v>
                </c:pt>
                <c:pt idx="41" formatCode="0.0000">
                  <c:v>1.2432000000000001</c:v>
                </c:pt>
                <c:pt idx="42" formatCode="0.0000">
                  <c:v>1.1406666700000001</c:v>
                </c:pt>
                <c:pt idx="43" formatCode="0.0000">
                  <c:v>0.90677419400000003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41-4EFD-AB38-033292AC9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805744"/>
        <c:axId val="1032811024"/>
      </c:scatterChart>
      <c:valAx>
        <c:axId val="103280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/mm/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11024"/>
        <c:crosses val="autoZero"/>
        <c:crossBetween val="midCat"/>
      </c:valAx>
      <c:valAx>
        <c:axId val="10328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0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ZA"/>
              <a:t>Groundwater resource perfomance  (as of November 2024) in Lower Komati_Komati Catchment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028073734791012"/>
                  <c:y val="-1.1794191031418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'Lower Komati (Main)'!$L$16:$L$30</c:f>
              <c:numCache>
                <c:formatCode>General</c:formatCode>
                <c:ptCount val="15"/>
                <c:pt idx="0">
                  <c:v>0.254</c:v>
                </c:pt>
                <c:pt idx="1">
                  <c:v>2.794</c:v>
                </c:pt>
                <c:pt idx="2">
                  <c:v>2.286</c:v>
                </c:pt>
                <c:pt idx="3">
                  <c:v>1.778</c:v>
                </c:pt>
                <c:pt idx="4">
                  <c:v>3.556</c:v>
                </c:pt>
                <c:pt idx="5">
                  <c:v>5.5880000000000001</c:v>
                </c:pt>
                <c:pt idx="6">
                  <c:v>5.3339999999999996</c:v>
                </c:pt>
                <c:pt idx="7">
                  <c:v>0.71</c:v>
                </c:pt>
                <c:pt idx="8">
                  <c:v>1.016</c:v>
                </c:pt>
                <c:pt idx="9">
                  <c:v>0.50800000000000001</c:v>
                </c:pt>
                <c:pt idx="10">
                  <c:v>0</c:v>
                </c:pt>
                <c:pt idx="11">
                  <c:v>0.76200000000000001</c:v>
                </c:pt>
                <c:pt idx="12">
                  <c:v>0.50800000000000001</c:v>
                </c:pt>
                <c:pt idx="13">
                  <c:v>0.50800000000000001</c:v>
                </c:pt>
                <c:pt idx="14">
                  <c:v>9.1440000000000001</c:v>
                </c:pt>
              </c:numCache>
            </c:numRef>
          </c:xVal>
          <c:yVal>
            <c:numRef>
              <c:f>'Lower Komati (Main)'!$G$16:$G$30</c:f>
              <c:numCache>
                <c:formatCode>General</c:formatCode>
                <c:ptCount val="15"/>
                <c:pt idx="0">
                  <c:v>230.99</c:v>
                </c:pt>
                <c:pt idx="1">
                  <c:v>231.01</c:v>
                </c:pt>
                <c:pt idx="2">
                  <c:v>231.57</c:v>
                </c:pt>
                <c:pt idx="3">
                  <c:v>231.99</c:v>
                </c:pt>
                <c:pt idx="4">
                  <c:v>231.95</c:v>
                </c:pt>
                <c:pt idx="5">
                  <c:v>231.87</c:v>
                </c:pt>
                <c:pt idx="6">
                  <c:v>231.96</c:v>
                </c:pt>
                <c:pt idx="7">
                  <c:v>231.71</c:v>
                </c:pt>
                <c:pt idx="8">
                  <c:v>231.71</c:v>
                </c:pt>
                <c:pt idx="9">
                  <c:v>231.38</c:v>
                </c:pt>
                <c:pt idx="10">
                  <c:v>231.16</c:v>
                </c:pt>
                <c:pt idx="11">
                  <c:v>231.04</c:v>
                </c:pt>
                <c:pt idx="12">
                  <c:v>230.69</c:v>
                </c:pt>
                <c:pt idx="13">
                  <c:v>230.89</c:v>
                </c:pt>
                <c:pt idx="14">
                  <c:v>230.85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4C-4B71-91CF-4517A9B9E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615120"/>
        <c:axId val="55160264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Groundwater level vs recharge (2022/2023)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0070C0"/>
                    </a:solidFill>
                    <a:ln w="9525">
                      <a:noFill/>
                    </a:ln>
                    <a:effectLst/>
                  </c:spPr>
                </c:marker>
                <c:trendline>
                  <c:name>Strength of correlation (June_2022/2023)</c:nam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1"/>
                  <c:dispEq val="0"/>
                  <c:trendlineLbl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ysClr val="windowText" lastClr="000000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'Lower Komati (Main)'!$L$4:$L$12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0.76200000000000001</c:v>
                      </c:pt>
                      <c:pt idx="1">
                        <c:v>1.524</c:v>
                      </c:pt>
                      <c:pt idx="2">
                        <c:v>3.302</c:v>
                      </c:pt>
                      <c:pt idx="3">
                        <c:v>5.08</c:v>
                      </c:pt>
                      <c:pt idx="4">
                        <c:v>4.3179999999999996</c:v>
                      </c:pt>
                      <c:pt idx="5">
                        <c:v>3.556</c:v>
                      </c:pt>
                      <c:pt idx="6">
                        <c:v>5.5880000000000001</c:v>
                      </c:pt>
                      <c:pt idx="7">
                        <c:v>5.08</c:v>
                      </c:pt>
                      <c:pt idx="8">
                        <c:v>2.794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'Lower Komati (Main)'!$G$4:$G$12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231.05666669999999</c:v>
                      </c:pt>
                      <c:pt idx="1">
                        <c:v>231.21333329999999</c:v>
                      </c:pt>
                      <c:pt idx="2">
                        <c:v>231.56666670000001</c:v>
                      </c:pt>
                      <c:pt idx="3">
                        <c:v>231.7066667</c:v>
                      </c:pt>
                      <c:pt idx="4">
                        <c:v>232.8666667</c:v>
                      </c:pt>
                      <c:pt idx="5">
                        <c:v>233.6166667</c:v>
                      </c:pt>
                      <c:pt idx="6">
                        <c:v>232.47333330000001</c:v>
                      </c:pt>
                      <c:pt idx="7">
                        <c:v>232.1733333</c:v>
                      </c:pt>
                      <c:pt idx="8">
                        <c:v>231.8966667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34C-4B71-91CF-4517A9B9E673}"/>
                  </c:ext>
                </c:extLst>
              </c15:ser>
            </c15:filteredScatterSeries>
          </c:ext>
        </c:extLst>
      </c:scatterChart>
      <c:valAx>
        <c:axId val="551615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Groundwater recharge (mm/a)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1602640"/>
        <c:crosses val="autoZero"/>
        <c:crossBetween val="midCat"/>
      </c:valAx>
      <c:valAx>
        <c:axId val="551602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Groundwater level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161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96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ZA"/>
              <a:t>Groundwater resource performance in Lower Komati_Komati Catchment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96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Recharge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'Lower Komati (Main)'!$F$16:$F$31</c:f>
              <c:numCache>
                <c:formatCode>mmm\-yy</c:formatCode>
                <c:ptCount val="16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</c:numCache>
            </c:numRef>
          </c:xVal>
          <c:yVal>
            <c:numRef>
              <c:f>'Lower Komati (Main)'!$L$16:$L$31</c:f>
              <c:numCache>
                <c:formatCode>General</c:formatCode>
                <c:ptCount val="16"/>
                <c:pt idx="0">
                  <c:v>0.254</c:v>
                </c:pt>
                <c:pt idx="1">
                  <c:v>2.794</c:v>
                </c:pt>
                <c:pt idx="2">
                  <c:v>2.286</c:v>
                </c:pt>
                <c:pt idx="3">
                  <c:v>1.778</c:v>
                </c:pt>
                <c:pt idx="4">
                  <c:v>3.556</c:v>
                </c:pt>
                <c:pt idx="5">
                  <c:v>5.5880000000000001</c:v>
                </c:pt>
                <c:pt idx="6">
                  <c:v>5.3339999999999996</c:v>
                </c:pt>
                <c:pt idx="7">
                  <c:v>0.71</c:v>
                </c:pt>
                <c:pt idx="8">
                  <c:v>1.016</c:v>
                </c:pt>
                <c:pt idx="9">
                  <c:v>0.50800000000000001</c:v>
                </c:pt>
                <c:pt idx="10">
                  <c:v>0</c:v>
                </c:pt>
                <c:pt idx="11">
                  <c:v>0.76200000000000001</c:v>
                </c:pt>
                <c:pt idx="12">
                  <c:v>0.50800000000000001</c:v>
                </c:pt>
                <c:pt idx="13">
                  <c:v>0.50800000000000001</c:v>
                </c:pt>
                <c:pt idx="14">
                  <c:v>9.1440000000000001</c:v>
                </c:pt>
                <c:pt idx="15">
                  <c:v>12.446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FB-4396-99AA-449FF3947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479663"/>
        <c:axId val="901481103"/>
      </c:scatterChart>
      <c:scatterChart>
        <c:scatterStyle val="lineMarker"/>
        <c:varyColors val="0"/>
        <c:ser>
          <c:idx val="0"/>
          <c:order val="0"/>
          <c:tx>
            <c:v>Groundwater level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'Lower Komati (Main)'!$F$16:$F$31</c:f>
              <c:numCache>
                <c:formatCode>mmm\-yy</c:formatCode>
                <c:ptCount val="16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</c:numCache>
            </c:numRef>
          </c:xVal>
          <c:yVal>
            <c:numRef>
              <c:f>'Lower Komati (Main)'!$G$16:$G$31</c:f>
              <c:numCache>
                <c:formatCode>General</c:formatCode>
                <c:ptCount val="16"/>
                <c:pt idx="0">
                  <c:v>230.99</c:v>
                </c:pt>
                <c:pt idx="1">
                  <c:v>231.01</c:v>
                </c:pt>
                <c:pt idx="2">
                  <c:v>231.57</c:v>
                </c:pt>
                <c:pt idx="3">
                  <c:v>231.99</c:v>
                </c:pt>
                <c:pt idx="4">
                  <c:v>231.95</c:v>
                </c:pt>
                <c:pt idx="5">
                  <c:v>231.87</c:v>
                </c:pt>
                <c:pt idx="6">
                  <c:v>231.96</c:v>
                </c:pt>
                <c:pt idx="7">
                  <c:v>231.71</c:v>
                </c:pt>
                <c:pt idx="8">
                  <c:v>231.71</c:v>
                </c:pt>
                <c:pt idx="9">
                  <c:v>231.38</c:v>
                </c:pt>
                <c:pt idx="10">
                  <c:v>231.16</c:v>
                </c:pt>
                <c:pt idx="11">
                  <c:v>231.04</c:v>
                </c:pt>
                <c:pt idx="12">
                  <c:v>230.69</c:v>
                </c:pt>
                <c:pt idx="13">
                  <c:v>230.89</c:v>
                </c:pt>
                <c:pt idx="14">
                  <c:v>230.85</c:v>
                </c:pt>
                <c:pt idx="15">
                  <c:v>232.59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FB-4396-99AA-449FF3947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92448"/>
        <c:axId val="1440901568"/>
      </c:scatterChart>
      <c:valAx>
        <c:axId val="901479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Time (2022/2023-2023/2024 hydrological 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1481103"/>
        <c:crosses val="autoZero"/>
        <c:crossBetween val="midCat"/>
      </c:valAx>
      <c:valAx>
        <c:axId val="901481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Groundwater recharge (mm/a)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1479663"/>
        <c:crosses val="autoZero"/>
        <c:crossBetween val="midCat"/>
      </c:valAx>
      <c:valAx>
        <c:axId val="14409015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Groundwater levels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40892448"/>
        <c:crosses val="max"/>
        <c:crossBetween val="midCat"/>
      </c:valAx>
      <c:valAx>
        <c:axId val="144089244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4090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ZA"/>
              <a:t>Groundwater resource performance drivers  in Upper Komati_Komati Catchment</a:t>
            </a:r>
          </a:p>
        </c:rich>
      </c:tx>
      <c:layout>
        <c:manualLayout>
          <c:xMode val="edge"/>
          <c:yMode val="edge"/>
          <c:x val="0.16597391383641114"/>
          <c:y val="5.1256289519453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6999873594424959E-2"/>
                  <c:y val="-2.68486569617626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'Upper Komati (Main)'!$G$4:$G$31</c:f>
              <c:numCache>
                <c:formatCode>0.0000</c:formatCode>
                <c:ptCount val="28"/>
                <c:pt idx="0">
                  <c:v>2.032</c:v>
                </c:pt>
                <c:pt idx="1">
                  <c:v>18.033999999999999</c:v>
                </c:pt>
                <c:pt idx="2">
                  <c:v>40.131999999999998</c:v>
                </c:pt>
                <c:pt idx="3">
                  <c:v>42.164000000000001</c:v>
                </c:pt>
                <c:pt idx="4">
                  <c:v>44.195999999999998</c:v>
                </c:pt>
                <c:pt idx="5">
                  <c:v>6.35</c:v>
                </c:pt>
                <c:pt idx="6">
                  <c:v>2.794</c:v>
                </c:pt>
                <c:pt idx="7">
                  <c:v>5.3339999999999996</c:v>
                </c:pt>
                <c:pt idx="8">
                  <c:v>4.8259999999999996</c:v>
                </c:pt>
                <c:pt idx="9">
                  <c:v>3.302</c:v>
                </c:pt>
                <c:pt idx="10">
                  <c:v>3.556</c:v>
                </c:pt>
                <c:pt idx="11">
                  <c:v>2.286</c:v>
                </c:pt>
                <c:pt idx="12">
                  <c:v>2.286</c:v>
                </c:pt>
                <c:pt idx="13">
                  <c:v>9.1440000000000001</c:v>
                </c:pt>
                <c:pt idx="14">
                  <c:v>9.1440000000000001</c:v>
                </c:pt>
                <c:pt idx="15">
                  <c:v>9.1440000000000001</c:v>
                </c:pt>
                <c:pt idx="16">
                  <c:v>7.4930000000000003</c:v>
                </c:pt>
                <c:pt idx="17">
                  <c:v>5.8419999999999996</c:v>
                </c:pt>
                <c:pt idx="18">
                  <c:v>5.3339999999999996</c:v>
                </c:pt>
                <c:pt idx="19">
                  <c:v>2.794</c:v>
                </c:pt>
                <c:pt idx="20" formatCode="General">
                  <c:v>2.286</c:v>
                </c:pt>
                <c:pt idx="21" formatCode="General">
                  <c:v>2.286</c:v>
                </c:pt>
                <c:pt idx="22" formatCode="General">
                  <c:v>1.524</c:v>
                </c:pt>
                <c:pt idx="23" formatCode="0.000">
                  <c:v>1.27</c:v>
                </c:pt>
                <c:pt idx="24" formatCode="0.000">
                  <c:v>3.81</c:v>
                </c:pt>
                <c:pt idx="25" formatCode="0.000">
                  <c:v>3.81</c:v>
                </c:pt>
                <c:pt idx="26" formatCode="General">
                  <c:v>9.1440000000000001</c:v>
                </c:pt>
                <c:pt idx="27" formatCode="General">
                  <c:v>41.91</c:v>
                </c:pt>
              </c:numCache>
            </c:numRef>
          </c:xVal>
          <c:yVal>
            <c:numRef>
              <c:f>'Upper Komati (Main)'!$L$4:$L$31</c:f>
              <c:numCache>
                <c:formatCode>0.00</c:formatCode>
                <c:ptCount val="28"/>
                <c:pt idx="0">
                  <c:v>923.48499999999979</c:v>
                </c:pt>
                <c:pt idx="1">
                  <c:v>923.36833333333323</c:v>
                </c:pt>
                <c:pt idx="2">
                  <c:v>924.70833333333314</c:v>
                </c:pt>
                <c:pt idx="3">
                  <c:v>926.21</c:v>
                </c:pt>
                <c:pt idx="4">
                  <c:v>925.69333333333327</c:v>
                </c:pt>
                <c:pt idx="5">
                  <c:v>926.64166666666654</c:v>
                </c:pt>
                <c:pt idx="6">
                  <c:v>925.42</c:v>
                </c:pt>
                <c:pt idx="7">
                  <c:v>924.50999999999988</c:v>
                </c:pt>
                <c:pt idx="8">
                  <c:v>924.42333333333318</c:v>
                </c:pt>
                <c:pt idx="9">
                  <c:v>923.92833333333328</c:v>
                </c:pt>
                <c:pt idx="10">
                  <c:v>923.69</c:v>
                </c:pt>
                <c:pt idx="11">
                  <c:v>923.61</c:v>
                </c:pt>
                <c:pt idx="12" formatCode="General">
                  <c:v>923.55</c:v>
                </c:pt>
                <c:pt idx="13" formatCode="General">
                  <c:v>923.77</c:v>
                </c:pt>
                <c:pt idx="14">
                  <c:v>923.69</c:v>
                </c:pt>
                <c:pt idx="15" formatCode="General">
                  <c:v>924.59</c:v>
                </c:pt>
                <c:pt idx="16" formatCode="General">
                  <c:v>924.23</c:v>
                </c:pt>
                <c:pt idx="17" formatCode="General">
                  <c:v>924.65</c:v>
                </c:pt>
                <c:pt idx="18" formatCode="General">
                  <c:v>924.31</c:v>
                </c:pt>
                <c:pt idx="19" formatCode="General">
                  <c:v>923.7</c:v>
                </c:pt>
                <c:pt idx="20" formatCode="General">
                  <c:v>923.51</c:v>
                </c:pt>
                <c:pt idx="21">
                  <c:v>923.40333333333331</c:v>
                </c:pt>
                <c:pt idx="22" formatCode="General">
                  <c:v>923.27</c:v>
                </c:pt>
                <c:pt idx="23" formatCode="General">
                  <c:v>923.06</c:v>
                </c:pt>
                <c:pt idx="24" formatCode="General">
                  <c:v>923.11</c:v>
                </c:pt>
                <c:pt idx="25" formatCode="General">
                  <c:v>923.02</c:v>
                </c:pt>
                <c:pt idx="26" formatCode="General">
                  <c:v>922.9</c:v>
                </c:pt>
                <c:pt idx="27" formatCode="General">
                  <c:v>924.52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2B-46D5-87E9-A11D7AEB5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484783"/>
        <c:axId val="7984833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Groundwater level vs recharge (2022/2023)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rgbClr val="0070C0"/>
                    </a:solidFill>
                    <a:ln w="9525">
                      <a:noFill/>
                    </a:ln>
                    <a:effectLst/>
                  </c:spPr>
                </c:marker>
                <c:trendline>
                  <c:name>Strength of corrwlation (June_2022/2023)</c:name>
                  <c:spPr>
                    <a:ln w="28575" cap="rnd">
                      <a:solidFill>
                        <a:srgbClr val="0070C0"/>
                      </a:solidFill>
                      <a:prstDash val="sysDot"/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-4.352447252503399E-2"/>
                        <c:y val="-1.717985569232338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ysClr val="windowText" lastClr="000000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'Upper Komati (Main)'!$G$4:$G$13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2.032</c:v>
                      </c:pt>
                      <c:pt idx="1">
                        <c:v>18.033999999999999</c:v>
                      </c:pt>
                      <c:pt idx="2">
                        <c:v>40.131999999999998</c:v>
                      </c:pt>
                      <c:pt idx="3">
                        <c:v>42.164000000000001</c:v>
                      </c:pt>
                      <c:pt idx="4">
                        <c:v>44.195999999999998</c:v>
                      </c:pt>
                      <c:pt idx="5">
                        <c:v>6.35</c:v>
                      </c:pt>
                      <c:pt idx="6">
                        <c:v>2.794</c:v>
                      </c:pt>
                      <c:pt idx="7">
                        <c:v>5.3339999999999996</c:v>
                      </c:pt>
                      <c:pt idx="8">
                        <c:v>4.8259999999999996</c:v>
                      </c:pt>
                      <c:pt idx="9">
                        <c:v>3.302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'Upper Komati (Main)'!$L$4:$L$13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923.48499999999979</c:v>
                      </c:pt>
                      <c:pt idx="1">
                        <c:v>923.36833333333323</c:v>
                      </c:pt>
                      <c:pt idx="2">
                        <c:v>924.70833333333314</c:v>
                      </c:pt>
                      <c:pt idx="3">
                        <c:v>926.21</c:v>
                      </c:pt>
                      <c:pt idx="4">
                        <c:v>925.69333333333327</c:v>
                      </c:pt>
                      <c:pt idx="5">
                        <c:v>926.64166666666654</c:v>
                      </c:pt>
                      <c:pt idx="6">
                        <c:v>925.42</c:v>
                      </c:pt>
                      <c:pt idx="7">
                        <c:v>924.50999999999988</c:v>
                      </c:pt>
                      <c:pt idx="8">
                        <c:v>924.42333333333318</c:v>
                      </c:pt>
                      <c:pt idx="9">
                        <c:v>923.92833333333328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EA2B-46D5-87E9-A11D7AEB58B1}"/>
                  </c:ext>
                </c:extLst>
              </c15:ser>
            </c15:filteredScatterSeries>
          </c:ext>
        </c:extLst>
      </c:scatterChart>
      <c:valAx>
        <c:axId val="798484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Recharge (m3/a)</a:t>
                </a:r>
              </a:p>
            </c:rich>
          </c:tx>
          <c:layout>
            <c:manualLayout>
              <c:xMode val="edge"/>
              <c:yMode val="edge"/>
              <c:x val="0.47136501533354586"/>
              <c:y val="0.829648214244168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8483343"/>
        <c:crosses val="autoZero"/>
        <c:crossBetween val="midCat"/>
      </c:valAx>
      <c:valAx>
        <c:axId val="798483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Groudnewater levels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848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200" b="0" i="0" u="none" strike="noStrike" kern="1200" spc="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ZA"/>
              <a:t>Groundwater resource perfomance in Upper Komati</a:t>
            </a:r>
          </a:p>
          <a:p>
            <a:pPr algn="ctr" rtl="0">
              <a:defRPr/>
            </a:pPr>
            <a:r>
              <a:rPr lang="en-ZA"/>
              <a:t>_Komati Catchment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200" b="0" i="0" u="none" strike="noStrike" kern="1200" spc="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8423989618949"/>
          <c:y val="0.13784076694548683"/>
          <c:w val="0.76581506725352655"/>
          <c:h val="0.70499194117020925"/>
        </c:manualLayout>
      </c:layout>
      <c:scatterChart>
        <c:scatterStyle val="lineMarker"/>
        <c:varyColors val="0"/>
        <c:ser>
          <c:idx val="0"/>
          <c:order val="0"/>
          <c:tx>
            <c:v>Recharge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name>Recharge trend</c:nam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5887893963289221"/>
                  <c:y val="3.25142060069337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'Upper Komati (Main)'!$F$4:$F$31</c:f>
              <c:numCache>
                <c:formatCode>mmm\-yy</c:formatCode>
                <c:ptCount val="28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45292</c:v>
                </c:pt>
                <c:pt idx="16">
                  <c:v>45323</c:v>
                </c:pt>
                <c:pt idx="17">
                  <c:v>45352</c:v>
                </c:pt>
                <c:pt idx="18">
                  <c:v>45383</c:v>
                </c:pt>
                <c:pt idx="19">
                  <c:v>45413</c:v>
                </c:pt>
                <c:pt idx="20">
                  <c:v>45444</c:v>
                </c:pt>
                <c:pt idx="21">
                  <c:v>45474</c:v>
                </c:pt>
                <c:pt idx="22">
                  <c:v>45505</c:v>
                </c:pt>
                <c:pt idx="23">
                  <c:v>45536</c:v>
                </c:pt>
                <c:pt idx="24">
                  <c:v>45566</c:v>
                </c:pt>
                <c:pt idx="25">
                  <c:v>45597</c:v>
                </c:pt>
                <c:pt idx="26">
                  <c:v>45627</c:v>
                </c:pt>
                <c:pt idx="27">
                  <c:v>45658</c:v>
                </c:pt>
              </c:numCache>
            </c:numRef>
          </c:xVal>
          <c:yVal>
            <c:numRef>
              <c:f>'Upper Komati (Main)'!$G$16:$G$31</c:f>
              <c:numCache>
                <c:formatCode>0.0000</c:formatCode>
                <c:ptCount val="16"/>
                <c:pt idx="0">
                  <c:v>2.286</c:v>
                </c:pt>
                <c:pt idx="1">
                  <c:v>9.1440000000000001</c:v>
                </c:pt>
                <c:pt idx="2">
                  <c:v>9.1440000000000001</c:v>
                </c:pt>
                <c:pt idx="3">
                  <c:v>9.1440000000000001</c:v>
                </c:pt>
                <c:pt idx="4">
                  <c:v>7.4930000000000003</c:v>
                </c:pt>
                <c:pt idx="5">
                  <c:v>5.8419999999999996</c:v>
                </c:pt>
                <c:pt idx="6">
                  <c:v>5.3339999999999996</c:v>
                </c:pt>
                <c:pt idx="7">
                  <c:v>2.794</c:v>
                </c:pt>
                <c:pt idx="8" formatCode="General">
                  <c:v>2.286</c:v>
                </c:pt>
                <c:pt idx="9" formatCode="General">
                  <c:v>2.286</c:v>
                </c:pt>
                <c:pt idx="10" formatCode="General">
                  <c:v>1.524</c:v>
                </c:pt>
                <c:pt idx="11" formatCode="0.000">
                  <c:v>1.27</c:v>
                </c:pt>
                <c:pt idx="12" formatCode="0.000">
                  <c:v>3.81</c:v>
                </c:pt>
                <c:pt idx="13" formatCode="0.000">
                  <c:v>3.81</c:v>
                </c:pt>
                <c:pt idx="14" formatCode="General">
                  <c:v>9.1440000000000001</c:v>
                </c:pt>
                <c:pt idx="15" formatCode="General">
                  <c:v>41.91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51-487E-A99D-E580C5E12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380751"/>
        <c:axId val="1267386511"/>
      </c:scatterChart>
      <c:scatterChart>
        <c:scatterStyle val="lineMarker"/>
        <c:varyColors val="0"/>
        <c:ser>
          <c:idx val="1"/>
          <c:order val="1"/>
          <c:tx>
            <c:v>Groundwater level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name>Groundwater level trend</c:name>
            <c:spPr>
              <a:ln w="19050" cap="rnd">
                <a:solidFill>
                  <a:srgbClr val="0070C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3065237747183294E-2"/>
                  <c:y val="-6.763794843282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'Upper Komati (Main)'!$F$4:$F$31</c:f>
              <c:numCache>
                <c:formatCode>mmm\-yy</c:formatCode>
                <c:ptCount val="28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45292</c:v>
                </c:pt>
                <c:pt idx="16">
                  <c:v>45323</c:v>
                </c:pt>
                <c:pt idx="17">
                  <c:v>45352</c:v>
                </c:pt>
                <c:pt idx="18">
                  <c:v>45383</c:v>
                </c:pt>
                <c:pt idx="19">
                  <c:v>45413</c:v>
                </c:pt>
                <c:pt idx="20">
                  <c:v>45444</c:v>
                </c:pt>
                <c:pt idx="21">
                  <c:v>45474</c:v>
                </c:pt>
                <c:pt idx="22">
                  <c:v>45505</c:v>
                </c:pt>
                <c:pt idx="23">
                  <c:v>45536</c:v>
                </c:pt>
                <c:pt idx="24">
                  <c:v>45566</c:v>
                </c:pt>
                <c:pt idx="25">
                  <c:v>45597</c:v>
                </c:pt>
                <c:pt idx="26">
                  <c:v>45627</c:v>
                </c:pt>
                <c:pt idx="27">
                  <c:v>45658</c:v>
                </c:pt>
              </c:numCache>
            </c:numRef>
          </c:xVal>
          <c:yVal>
            <c:numRef>
              <c:f>'Upper Komati (Main)'!$L$16:$L$31</c:f>
              <c:numCache>
                <c:formatCode>General</c:formatCode>
                <c:ptCount val="16"/>
                <c:pt idx="0">
                  <c:v>923.55</c:v>
                </c:pt>
                <c:pt idx="1">
                  <c:v>923.77</c:v>
                </c:pt>
                <c:pt idx="2" formatCode="0.00">
                  <c:v>923.69</c:v>
                </c:pt>
                <c:pt idx="3">
                  <c:v>924.59</c:v>
                </c:pt>
                <c:pt idx="4">
                  <c:v>924.23</c:v>
                </c:pt>
                <c:pt idx="5">
                  <c:v>924.65</c:v>
                </c:pt>
                <c:pt idx="6">
                  <c:v>924.31</c:v>
                </c:pt>
                <c:pt idx="7">
                  <c:v>923.7</c:v>
                </c:pt>
                <c:pt idx="8">
                  <c:v>923.51</c:v>
                </c:pt>
                <c:pt idx="9" formatCode="0.00">
                  <c:v>923.40333333333331</c:v>
                </c:pt>
                <c:pt idx="10">
                  <c:v>923.27</c:v>
                </c:pt>
                <c:pt idx="11">
                  <c:v>923.06</c:v>
                </c:pt>
                <c:pt idx="12">
                  <c:v>923.11</c:v>
                </c:pt>
                <c:pt idx="13">
                  <c:v>923.02</c:v>
                </c:pt>
                <c:pt idx="14">
                  <c:v>922.9</c:v>
                </c:pt>
                <c:pt idx="15">
                  <c:v>924.52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51-487E-A99D-E580C5E12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451823"/>
        <c:axId val="901449903"/>
      </c:scatterChart>
      <c:valAx>
        <c:axId val="1267380751"/>
        <c:scaling>
          <c:orientation val="minMax"/>
        </c:scaling>
        <c:delete val="0"/>
        <c:axPos val="b"/>
        <c:numFmt formatCode="mmm\-yy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267386511"/>
        <c:crosses val="autoZero"/>
        <c:crossBetween val="midCat"/>
        <c:majorUnit val="50"/>
      </c:valAx>
      <c:valAx>
        <c:axId val="1267386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ZA"/>
                  <a:t>Groundwater recharge (mm/a)</a:t>
                </a:r>
              </a:p>
            </c:rich>
          </c:tx>
          <c:layout>
            <c:manualLayout>
              <c:xMode val="edge"/>
              <c:yMode val="edge"/>
              <c:x val="5.4561043703709754E-2"/>
              <c:y val="0.23123030431110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267380751"/>
        <c:crosses val="autoZero"/>
        <c:crossBetween val="midCat"/>
      </c:valAx>
      <c:valAx>
        <c:axId val="9014499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ZA"/>
                  <a:t>Groundwater levels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01451823"/>
        <c:crosses val="max"/>
        <c:crossBetween val="midCat"/>
      </c:valAx>
      <c:valAx>
        <c:axId val="90145182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90144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8329534537244911E-2"/>
          <c:y val="0.91702994178042696"/>
          <c:w val="0.82586051567873719"/>
          <c:h val="6.6036849063106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62</xdr:row>
      <xdr:rowOff>0</xdr:rowOff>
    </xdr:from>
    <xdr:to>
      <xdr:col>14</xdr:col>
      <xdr:colOff>400050</xdr:colOff>
      <xdr:row>83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E46C80-000C-44B5-93A7-102BACAFB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600076</xdr:colOff>
      <xdr:row>94</xdr:row>
      <xdr:rowOff>76199</xdr:rowOff>
    </xdr:from>
    <xdr:to>
      <xdr:col>26</xdr:col>
      <xdr:colOff>876300</xdr:colOff>
      <xdr:row>108</xdr:row>
      <xdr:rowOff>142875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EF66D998-A2A7-44CB-8B8B-9E656F27FE3F}"/>
            </a:ext>
            <a:ext uri="{147F2762-F138-4A5C-976F-8EAC2B608ADB}">
              <a16:predDERef xmlns:a16="http://schemas.microsoft.com/office/drawing/2014/main" pred="{2BE46C80-000C-44B5-93A7-102BACAFB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819150</xdr:colOff>
      <xdr:row>19</xdr:row>
      <xdr:rowOff>123825</xdr:rowOff>
    </xdr:from>
    <xdr:to>
      <xdr:col>34</xdr:col>
      <xdr:colOff>95250</xdr:colOff>
      <xdr:row>39</xdr:row>
      <xdr:rowOff>114300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B8182CA-6EB7-69BD-76A4-E8E476B8413F}"/>
            </a:ext>
            <a:ext uri="{147F2762-F138-4A5C-976F-8EAC2B608ADB}">
              <a16:predDERef xmlns:a16="http://schemas.microsoft.com/office/drawing/2014/main" pred="{EF66D998-A2A7-44CB-8B8B-9E656F27F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633411</xdr:colOff>
      <xdr:row>49</xdr:row>
      <xdr:rowOff>19049</xdr:rowOff>
    </xdr:from>
    <xdr:to>
      <xdr:col>11</xdr:col>
      <xdr:colOff>1123950</xdr:colOff>
      <xdr:row>71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66237F-C353-411C-886D-76A3F7A1B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457200</xdr:colOff>
      <xdr:row>49</xdr:row>
      <xdr:rowOff>171450</xdr:rowOff>
    </xdr:from>
    <xdr:to>
      <xdr:col>5</xdr:col>
      <xdr:colOff>923925</xdr:colOff>
      <xdr:row>70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BD6911-89A6-45DF-9474-936203094A89}"/>
            </a:ext>
            <a:ext uri="{147F2762-F138-4A5C-976F-8EAC2B608ADB}">
              <a16:predDERef xmlns:a16="http://schemas.microsoft.com/office/drawing/2014/main" pred="{15825FF4-B662-2E91-D00D-1426FC692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181123</xdr:colOff>
      <xdr:row>50</xdr:row>
      <xdr:rowOff>104776</xdr:rowOff>
    </xdr:from>
    <xdr:to>
      <xdr:col>16</xdr:col>
      <xdr:colOff>542925</xdr:colOff>
      <xdr:row>69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A792D-8052-426F-9498-6D7C73C4C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588</xdr:row>
      <xdr:rowOff>105834</xdr:rowOff>
    </xdr:from>
    <xdr:to>
      <xdr:col>11</xdr:col>
      <xdr:colOff>497417</xdr:colOff>
      <xdr:row>608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8E73E9-2362-4817-A16F-B7A192C42637}"/>
            </a:ext>
            <a:ext uri="{147F2762-F138-4A5C-976F-8EAC2B608ADB}">
              <a16:predDERef xmlns:a16="http://schemas.microsoft.com/office/drawing/2014/main" pred="{6EFA0140-0A94-EC0E-66F2-043495D1C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588</xdr:row>
      <xdr:rowOff>31751</xdr:rowOff>
    </xdr:from>
    <xdr:to>
      <xdr:col>11</xdr:col>
      <xdr:colOff>391584</xdr:colOff>
      <xdr:row>606</xdr:row>
      <xdr:rowOff>96309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1F2440-378D-4BCD-AADC-D619661147AC}"/>
            </a:ext>
            <a:ext uri="{147F2762-F138-4A5C-976F-8EAC2B608ADB}">
              <a16:predDERef xmlns:a16="http://schemas.microsoft.com/office/drawing/2014/main" pred="{945E60E7-F388-B419-93B6-761113626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1190626</xdr:colOff>
      <xdr:row>50</xdr:row>
      <xdr:rowOff>47928</xdr:rowOff>
    </xdr:from>
    <xdr:to>
      <xdr:col>13</xdr:col>
      <xdr:colOff>590550</xdr:colOff>
      <xdr:row>78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100B0C-9318-409C-863F-36300C441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137584</xdr:colOff>
      <xdr:row>49</xdr:row>
      <xdr:rowOff>64560</xdr:rowOff>
    </xdr:from>
    <xdr:to>
      <xdr:col>7</xdr:col>
      <xdr:colOff>767294</xdr:colOff>
      <xdr:row>77</xdr:row>
      <xdr:rowOff>33868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DC0317-FF58-49E8-B226-FD3670C08C8A}"/>
            </a:ext>
            <a:ext uri="{147F2762-F138-4A5C-976F-8EAC2B608ADB}">
              <a16:predDERef xmlns:a16="http://schemas.microsoft.com/office/drawing/2014/main" pred="{522D428E-A005-6045-F116-96440EA20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454288</xdr:colOff>
      <xdr:row>14</xdr:row>
      <xdr:rowOff>130440</xdr:rowOff>
    </xdr:from>
    <xdr:to>
      <xdr:col>27</xdr:col>
      <xdr:colOff>366448</xdr:colOff>
      <xdr:row>36</xdr:row>
      <xdr:rowOff>151606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AC426-DB56-4958-8BB9-F47FA6310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1060447</xdr:colOff>
      <xdr:row>50</xdr:row>
      <xdr:rowOff>81492</xdr:rowOff>
    </xdr:from>
    <xdr:to>
      <xdr:col>23</xdr:col>
      <xdr:colOff>469898</xdr:colOff>
      <xdr:row>74</xdr:row>
      <xdr:rowOff>9525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15F3451-DD97-4734-AC53-4CD3F56CAF27}"/>
            </a:ext>
            <a:ext uri="{147F2762-F138-4A5C-976F-8EAC2B608ADB}">
              <a16:predDERef xmlns:a16="http://schemas.microsoft.com/office/drawing/2014/main" pred="{EE525B32-D325-186B-8845-907D3B441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iucma.sharepoint.com/sites/InsideIUCMA/Private%20%20Resource%20Planning%20%20Operations/PLANNING%20&amp;%20OPERATIONS/9.GEOHYDROLOGY%20UNIT/Projects/Groundwater%20RORA%20Recharge_Catchments/Graphs%20and%20Calculations%20(2023-2024)/Komati-Usuthu%20reporting_June.xlsx" TargetMode="External"/><Relationship Id="rId2" Type="http://schemas.microsoft.com/office/2019/04/relationships/externalLinkLongPath" Target="https://iucma.sharepoint.com/sites/InsideIUCMA/Private%20%20Resource%20Planning%20%20Operations/PLANNING%20&amp;%20OPERATIONS/9.GEOHYDROLOGY%20UNIT/Projects/Groundwater%20RORA%20Recharge_Catchments/Graphs%20and%20Calculations%20(2023-2024)/Komati-Usuthu%20reporting_June.xlsx?0FE45722" TargetMode="External"/><Relationship Id="rId1" Type="http://schemas.openxmlformats.org/officeDocument/2006/relationships/externalLinkPath" Target="file:///\\0FE45722\Komati-Usuthu%20reporting_Ju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ssegai (Main)"/>
      <sheetName val="Assegai workbook (PC)"/>
      <sheetName val="Assegai"/>
      <sheetName val="Sheet1"/>
      <sheetName val="Ngwempisi (Main)"/>
      <sheetName val="Ngwempisi"/>
      <sheetName val="Ngwempisi (Pearson correlation)"/>
      <sheetName val="Upper Komati (Main)"/>
      <sheetName val="Upper Komati"/>
      <sheetName val="Upper Komati Workbook (pc2)"/>
      <sheetName val="Lower Komati (Main)"/>
      <sheetName val="Lower Komati"/>
    </sheetNames>
    <sheetDataSet>
      <sheetData sheetId="0">
        <row r="4">
          <cell r="D4">
            <v>-0.52767769370567319</v>
          </cell>
        </row>
      </sheetData>
      <sheetData sheetId="1">
        <row r="38">
          <cell r="D38">
            <v>-0.4818838411960964</v>
          </cell>
        </row>
      </sheetData>
      <sheetData sheetId="2">
        <row r="2">
          <cell r="B2" t="str">
            <v>Drought index_GR (2022/2023)</v>
          </cell>
        </row>
      </sheetData>
      <sheetData sheetId="3"/>
      <sheetData sheetId="4">
        <row r="4">
          <cell r="A4">
            <v>44835</v>
          </cell>
        </row>
      </sheetData>
      <sheetData sheetId="5">
        <row r="2">
          <cell r="B2" t="str">
            <v>Drought index_GR (2022/2023)</v>
          </cell>
          <cell r="D2" t="str">
            <v>Drought index _GWL (2022/2023)</v>
          </cell>
          <cell r="I2" t="str">
            <v>Drought index_BF  (2024/2025)</v>
          </cell>
          <cell r="U2" t="str">
            <v>Normal drought</v>
          </cell>
          <cell r="V2" t="str">
            <v xml:space="preserve">Mild drought </v>
          </cell>
          <cell r="W2" t="str">
            <v>Moderate drought</v>
          </cell>
          <cell r="X2" t="str">
            <v>Normal</v>
          </cell>
          <cell r="Y2" t="str">
            <v>Slightly wet</v>
          </cell>
          <cell r="Z2" t="str">
            <v>Moderately wet</v>
          </cell>
          <cell r="AA2" t="str">
            <v>Severe wet</v>
          </cell>
          <cell r="AB2" t="str">
            <v>Extreme drought</v>
          </cell>
        </row>
        <row r="3">
          <cell r="A3" t="str">
            <v>Oct</v>
          </cell>
          <cell r="B3">
            <v>-0.64973841247826325</v>
          </cell>
          <cell r="D3">
            <v>-0.37900124647835015</v>
          </cell>
          <cell r="I3">
            <v>-0.92996806036032309</v>
          </cell>
          <cell r="U3">
            <v>-0.5</v>
          </cell>
          <cell r="V3">
            <v>-0.5</v>
          </cell>
          <cell r="W3">
            <v>-0.5</v>
          </cell>
          <cell r="X3">
            <v>0.5</v>
          </cell>
          <cell r="Y3">
            <v>0.5</v>
          </cell>
          <cell r="Z3">
            <v>0.5</v>
          </cell>
          <cell r="AA3">
            <v>1</v>
          </cell>
          <cell r="AB3">
            <v>-0.5</v>
          </cell>
        </row>
        <row r="4">
          <cell r="A4" t="str">
            <v>Nov</v>
          </cell>
          <cell r="B4">
            <v>-0.22086603427114426</v>
          </cell>
          <cell r="D4">
            <v>-0.67188475638075762</v>
          </cell>
          <cell r="I4">
            <v>-0.93107435771873326</v>
          </cell>
          <cell r="U4">
            <v>-0.5</v>
          </cell>
          <cell r="V4">
            <v>-0.5</v>
          </cell>
          <cell r="W4">
            <v>-0.5</v>
          </cell>
          <cell r="X4">
            <v>0.5</v>
          </cell>
          <cell r="Y4">
            <v>0.5</v>
          </cell>
          <cell r="Z4">
            <v>0.5</v>
          </cell>
          <cell r="AA4">
            <v>1</v>
          </cell>
          <cell r="AB4">
            <v>-0.5</v>
          </cell>
        </row>
        <row r="5">
          <cell r="A5" t="str">
            <v>Dec</v>
          </cell>
          <cell r="B5">
            <v>-6.4298451675847777E-3</v>
          </cell>
          <cell r="D5">
            <v>-0.98917522544109771</v>
          </cell>
          <cell r="I5">
            <v>-0.9250181408952165</v>
          </cell>
          <cell r="U5">
            <v>-0.5</v>
          </cell>
          <cell r="V5">
            <v>-0.5</v>
          </cell>
          <cell r="W5">
            <v>-0.5</v>
          </cell>
          <cell r="X5">
            <v>0.5</v>
          </cell>
          <cell r="Y5">
            <v>0.5</v>
          </cell>
          <cell r="Z5">
            <v>0.5</v>
          </cell>
          <cell r="AA5">
            <v>1</v>
          </cell>
          <cell r="AB5">
            <v>-0.5</v>
          </cell>
        </row>
        <row r="6">
          <cell r="A6" t="str">
            <v>Jan</v>
          </cell>
          <cell r="B6">
            <v>0.2080063439359747</v>
          </cell>
          <cell r="D6">
            <v>1.1647389202972458</v>
          </cell>
          <cell r="I6">
            <v>0.40092491598604996</v>
          </cell>
          <cell r="U6">
            <v>-0.5</v>
          </cell>
          <cell r="V6">
            <v>-0.5</v>
          </cell>
          <cell r="W6">
            <v>-0.5</v>
          </cell>
          <cell r="X6">
            <v>0.5</v>
          </cell>
          <cell r="Y6">
            <v>0.5</v>
          </cell>
          <cell r="Z6">
            <v>0.5</v>
          </cell>
          <cell r="AA6">
            <v>1</v>
          </cell>
          <cell r="AB6">
            <v>-0.5</v>
          </cell>
        </row>
        <row r="7">
          <cell r="A7" t="str">
            <v>Feb</v>
          </cell>
          <cell r="B7">
            <v>0.18418010070224591</v>
          </cell>
          <cell r="D7">
            <v>0.37151274764556297</v>
          </cell>
          <cell r="I7">
            <v>0.24197332947172825</v>
          </cell>
          <cell r="U7">
            <v>-0.5</v>
          </cell>
          <cell r="V7">
            <v>-0.5</v>
          </cell>
          <cell r="W7">
            <v>-0.5</v>
          </cell>
          <cell r="X7">
            <v>0.5</v>
          </cell>
          <cell r="Y7">
            <v>0.5</v>
          </cell>
          <cell r="Z7">
            <v>0.5</v>
          </cell>
          <cell r="AA7">
            <v>1</v>
          </cell>
          <cell r="AB7">
            <v>-0.5</v>
          </cell>
        </row>
        <row r="8">
          <cell r="A8" t="str">
            <v>Mar</v>
          </cell>
          <cell r="B8">
            <v>0.1603538574685171</v>
          </cell>
          <cell r="D8">
            <v>1.658979843257038</v>
          </cell>
          <cell r="I8">
            <v>4.0099435354503186E-2</v>
          </cell>
          <cell r="U8">
            <v>-0.5</v>
          </cell>
          <cell r="V8">
            <v>-0.5</v>
          </cell>
          <cell r="W8">
            <v>-0.5</v>
          </cell>
          <cell r="X8">
            <v>0.5</v>
          </cell>
          <cell r="Y8">
            <v>0.5</v>
          </cell>
          <cell r="Z8">
            <v>0.5</v>
          </cell>
          <cell r="AA8">
            <v>1</v>
          </cell>
          <cell r="AB8">
            <v>-0.5</v>
          </cell>
        </row>
        <row r="9">
          <cell r="A9" t="str">
            <v>Apr</v>
          </cell>
          <cell r="B9">
            <v>-0.36382349367351724</v>
          </cell>
          <cell r="D9">
            <v>1.3233841548274159</v>
          </cell>
          <cell r="I9">
            <v>2.1112098845028657</v>
          </cell>
          <cell r="U9">
            <v>-0.5</v>
          </cell>
          <cell r="V9">
            <v>-0.5</v>
          </cell>
          <cell r="W9">
            <v>-0.5</v>
          </cell>
          <cell r="X9">
            <v>0.5</v>
          </cell>
          <cell r="Y9">
            <v>0.5</v>
          </cell>
          <cell r="Z9">
            <v>0.5</v>
          </cell>
          <cell r="AA9">
            <v>1</v>
          </cell>
          <cell r="AB9">
            <v>-0.5</v>
          </cell>
        </row>
        <row r="10">
          <cell r="A10" t="str">
            <v>May</v>
          </cell>
          <cell r="B10">
            <v>-0.22086603427114426</v>
          </cell>
          <cell r="D10">
            <v>0.96948324702906674</v>
          </cell>
          <cell r="I10">
            <v>2.0507187628870454</v>
          </cell>
          <cell r="U10">
            <v>-0.5</v>
          </cell>
          <cell r="V10">
            <v>-0.5</v>
          </cell>
          <cell r="W10">
            <v>-0.5</v>
          </cell>
          <cell r="X10">
            <v>0.5</v>
          </cell>
          <cell r="Y10">
            <v>0.5</v>
          </cell>
          <cell r="Z10">
            <v>0.5</v>
          </cell>
          <cell r="AA10">
            <v>1</v>
          </cell>
          <cell r="AB10">
            <v>-0.5</v>
          </cell>
        </row>
        <row r="11">
          <cell r="A11" t="str">
            <v>Jun</v>
          </cell>
          <cell r="B11">
            <v>-0.69739089894572093</v>
          </cell>
          <cell r="D11">
            <v>0.40812318638357203</v>
          </cell>
          <cell r="I11">
            <v>-7.9766361001677152E-2</v>
          </cell>
          <cell r="U11">
            <v>-0.5</v>
          </cell>
          <cell r="V11">
            <v>-0.5</v>
          </cell>
          <cell r="W11">
            <v>-0.5</v>
          </cell>
          <cell r="X11">
            <v>0.5</v>
          </cell>
          <cell r="Y11">
            <v>0.5</v>
          </cell>
          <cell r="Z11">
            <v>0.5</v>
          </cell>
          <cell r="AA11">
            <v>1</v>
          </cell>
          <cell r="AB11">
            <v>-0.5</v>
          </cell>
        </row>
        <row r="12">
          <cell r="A12" t="str">
            <v>Jul</v>
          </cell>
          <cell r="B12">
            <v>-0.50678095307589033</v>
          </cell>
          <cell r="D12">
            <v>-0.22035601194845755</v>
          </cell>
          <cell r="I12">
            <v>-0.55699665267547893</v>
          </cell>
          <cell r="U12">
            <v>-0.5</v>
          </cell>
          <cell r="V12">
            <v>-0.5</v>
          </cell>
          <cell r="W12">
            <v>-0.5</v>
          </cell>
          <cell r="X12">
            <v>0.5</v>
          </cell>
          <cell r="Y12">
            <v>0.5</v>
          </cell>
          <cell r="Z12">
            <v>0.5</v>
          </cell>
          <cell r="AA12">
            <v>1</v>
          </cell>
          <cell r="AB12">
            <v>-0.5</v>
          </cell>
        </row>
        <row r="13">
          <cell r="A13" t="str">
            <v>Aug</v>
          </cell>
          <cell r="B13">
            <v>-0.69739089894572093</v>
          </cell>
          <cell r="D13">
            <v>-0.49493430248158299</v>
          </cell>
          <cell r="I13">
            <v>-0.68934635500270947</v>
          </cell>
          <cell r="U13">
            <v>-0.5</v>
          </cell>
          <cell r="V13">
            <v>-0.5</v>
          </cell>
          <cell r="W13">
            <v>-0.5</v>
          </cell>
          <cell r="X13">
            <v>0.5</v>
          </cell>
          <cell r="Y13">
            <v>0.5</v>
          </cell>
          <cell r="Z13">
            <v>0.5</v>
          </cell>
          <cell r="AA13">
            <v>1</v>
          </cell>
          <cell r="AB13">
            <v>-0.5</v>
          </cell>
        </row>
        <row r="14">
          <cell r="A14" t="str">
            <v>Sep</v>
          </cell>
          <cell r="B14">
            <v>-0.69739089894572093</v>
          </cell>
          <cell r="D14">
            <v>-0.7939195521731961</v>
          </cell>
          <cell r="I14">
            <v>-0.6834596351139216</v>
          </cell>
          <cell r="U14">
            <v>-0.5</v>
          </cell>
          <cell r="V14">
            <v>-0.5</v>
          </cell>
          <cell r="W14">
            <v>-0.5</v>
          </cell>
          <cell r="X14">
            <v>0.5</v>
          </cell>
          <cell r="Y14">
            <v>0.5</v>
          </cell>
          <cell r="Z14">
            <v>0.5</v>
          </cell>
          <cell r="AA14">
            <v>1</v>
          </cell>
          <cell r="AB14">
            <v>-0.5</v>
          </cell>
        </row>
      </sheetData>
      <sheetData sheetId="6"/>
      <sheetData sheetId="7">
        <row r="4">
          <cell r="D4">
            <v>-0.71051178662608649</v>
          </cell>
        </row>
      </sheetData>
      <sheetData sheetId="8">
        <row r="2">
          <cell r="B2" t="str">
            <v>Drought index_GR (2022/2023)</v>
          </cell>
          <cell r="C2" t="str">
            <v>Drougtht index_BF (2022/2023)</v>
          </cell>
          <cell r="D2" t="str">
            <v>Drought index _GWL (2022/2023)</v>
          </cell>
        </row>
        <row r="3">
          <cell r="A3" t="str">
            <v>Oct</v>
          </cell>
          <cell r="B3">
            <v>-0.70109540451140517</v>
          </cell>
          <cell r="C3">
            <v>-0.71051178662608649</v>
          </cell>
          <cell r="D3">
            <v>-0.83989840675213101</v>
          </cell>
        </row>
        <row r="4">
          <cell r="A4" t="str">
            <v>Nov</v>
          </cell>
          <cell r="B4">
            <v>0.52909733671603532</v>
          </cell>
          <cell r="C4">
            <v>-0.67346285263692784</v>
          </cell>
          <cell r="D4">
            <v>-0.95128693124377284</v>
          </cell>
        </row>
        <row r="5">
          <cell r="A5" t="str">
            <v>Dec</v>
          </cell>
          <cell r="B5">
            <v>2.2279349317444055</v>
          </cell>
          <cell r="C5">
            <v>4.9710906983103924E-2</v>
          </cell>
          <cell r="D5">
            <v>0.32808983577559836</v>
          </cell>
        </row>
        <row r="6">
          <cell r="A6" t="str">
            <v>Jan</v>
          </cell>
          <cell r="B6">
            <v>2.3841498830113825</v>
          </cell>
          <cell r="C6">
            <v>1.1115147396287317</v>
          </cell>
          <cell r="D6">
            <v>1.7618192724481074</v>
          </cell>
        </row>
        <row r="7">
          <cell r="A7" t="str">
            <v>Feb</v>
          </cell>
          <cell r="B7">
            <v>2.5403648342783587</v>
          </cell>
          <cell r="C7">
            <v>2.128158606119833</v>
          </cell>
          <cell r="D7">
            <v>1.2685272354131509</v>
          </cell>
        </row>
        <row r="8">
          <cell r="A8" t="str">
            <v>Mar</v>
          </cell>
          <cell r="B8">
            <v>-0.36913863306908001</v>
          </cell>
          <cell r="C8">
            <v>2.6359579908652262</v>
          </cell>
          <cell r="D8">
            <v>2.1739568130673992</v>
          </cell>
        </row>
        <row r="9">
          <cell r="A9" t="str">
            <v>Apr</v>
          </cell>
          <cell r="B9">
            <v>-0.64251479778628895</v>
          </cell>
          <cell r="C9">
            <v>1.8043823544695343</v>
          </cell>
          <cell r="D9">
            <v>1.0075598351753732</v>
          </cell>
        </row>
        <row r="10">
          <cell r="A10" t="str">
            <v>May</v>
          </cell>
          <cell r="B10">
            <v>-0.44724610870256831</v>
          </cell>
          <cell r="C10">
            <v>1.0676206656154337</v>
          </cell>
          <cell r="D10">
            <v>0.13872934413969878</v>
          </cell>
        </row>
        <row r="11">
          <cell r="A11" t="str">
            <v>Jun</v>
          </cell>
          <cell r="B11">
            <v>-0.48629984651931246</v>
          </cell>
          <cell r="C11">
            <v>0.40765712024741585</v>
          </cell>
          <cell r="D11">
            <v>5.5983583088656329E-2</v>
          </cell>
        </row>
        <row r="12">
          <cell r="A12" t="str">
            <v>Jul</v>
          </cell>
          <cell r="B12">
            <v>-0.60346105996954491</v>
          </cell>
          <cell r="C12">
            <v>-5.0956957596690264E-2</v>
          </cell>
          <cell r="D12">
            <v>-0.4166220136833495</v>
          </cell>
        </row>
        <row r="13">
          <cell r="A13" t="str">
            <v>Aug</v>
          </cell>
          <cell r="B13">
            <v>-0.58393419106117272</v>
          </cell>
          <cell r="C13">
            <v>-0.4072614363243548</v>
          </cell>
          <cell r="D13">
            <v>-0.6441728565735263</v>
          </cell>
        </row>
        <row r="14">
          <cell r="A14" t="str">
            <v>Sep</v>
          </cell>
          <cell r="B14">
            <v>-0.68156853560303321</v>
          </cell>
          <cell r="C14">
            <v>-1.4351658550019655</v>
          </cell>
          <cell r="D14">
            <v>-0.72055355908218921</v>
          </cell>
        </row>
      </sheetData>
      <sheetData sheetId="9"/>
      <sheetData sheetId="10">
        <row r="4">
          <cell r="D4">
            <v>-0.61359021711773254</v>
          </cell>
        </row>
      </sheetData>
      <sheetData sheetId="11">
        <row r="2">
          <cell r="B2" t="str">
            <v>Drought index_Recharge -2022-2023</v>
          </cell>
          <cell r="C2" t="str">
            <v>Drougtht index_Baseflow -2022-2023</v>
          </cell>
          <cell r="D2" t="str">
            <v>Drought index _Groundwater level-2022-2023</v>
          </cell>
        </row>
        <row r="3">
          <cell r="A3" t="str">
            <v>Oct</v>
          </cell>
          <cell r="B3">
            <v>-0.48341993922918736</v>
          </cell>
          <cell r="C3">
            <v>-0.61359021711773254</v>
          </cell>
          <cell r="D3">
            <v>-2.4859706631049559E-2</v>
          </cell>
        </row>
        <row r="4">
          <cell r="A4" t="str">
            <v>Nov</v>
          </cell>
          <cell r="B4">
            <v>-0.41197926166455401</v>
          </cell>
          <cell r="C4">
            <v>-0.52731076723295756</v>
          </cell>
          <cell r="D4">
            <v>-1.8453494278766344E-2</v>
          </cell>
        </row>
        <row r="5">
          <cell r="A5" t="str">
            <v>Dec</v>
          </cell>
          <cell r="B5">
            <v>-0.24528434734707619</v>
          </cell>
          <cell r="C5">
            <v>-4.3573377594621841E-2</v>
          </cell>
          <cell r="D5">
            <v>-4.0054320143495976E-3</v>
          </cell>
        </row>
        <row r="6">
          <cell r="A6" t="str">
            <v>Jan</v>
          </cell>
          <cell r="B6">
            <v>-7.8589433029598352E-2</v>
          </cell>
          <cell r="C6">
            <v>0.58287267559720435</v>
          </cell>
          <cell r="D6">
            <v>1.7192708216064799E-3</v>
          </cell>
        </row>
        <row r="7">
          <cell r="A7" t="str">
            <v>Feb</v>
          </cell>
          <cell r="B7">
            <v>-0.15003011059423174</v>
          </cell>
          <cell r="C7">
            <v>1.5433960300016427</v>
          </cell>
          <cell r="D7">
            <v>4.9152522890961323E-2</v>
          </cell>
        </row>
        <row r="8">
          <cell r="A8" t="str">
            <v>Mar</v>
          </cell>
          <cell r="B8">
            <v>-0.22147078815886506</v>
          </cell>
          <cell r="C8">
            <v>1.6247685917413119</v>
          </cell>
          <cell r="D8">
            <v>7.9820573797871872E-2</v>
          </cell>
        </row>
        <row r="9">
          <cell r="A9" t="str">
            <v>Apr</v>
          </cell>
          <cell r="B9">
            <v>-3.0962314653176108E-2</v>
          </cell>
          <cell r="C9">
            <v>0.17682768158970857</v>
          </cell>
          <cell r="D9">
            <v>3.3068831244844166E-2</v>
          </cell>
        </row>
        <row r="10">
          <cell r="A10" t="str">
            <v>May</v>
          </cell>
          <cell r="B10">
            <v>-7.8589433029598352E-2</v>
          </cell>
          <cell r="C10">
            <v>-0.14620912129641581</v>
          </cell>
          <cell r="D10">
            <v>2.0801610882079481E-2</v>
          </cell>
        </row>
        <row r="11">
          <cell r="A11" t="str">
            <v>Jun</v>
          </cell>
          <cell r="B11">
            <v>-0.29291146572349841</v>
          </cell>
          <cell r="C11">
            <v>-0.31345222557543462</v>
          </cell>
          <cell r="D11">
            <v>9.4885103846903927E-3</v>
          </cell>
        </row>
        <row r="12">
          <cell r="A12" t="str">
            <v>Jul</v>
          </cell>
          <cell r="B12">
            <v>-0.34053858409992066</v>
          </cell>
          <cell r="C12">
            <v>-0.48273986658158086</v>
          </cell>
          <cell r="D12">
            <v>-7.0040886068530282E-3</v>
          </cell>
        </row>
        <row r="13">
          <cell r="A13" t="str">
            <v>Aug</v>
          </cell>
          <cell r="B13">
            <v>-0.50723349841739851</v>
          </cell>
          <cell r="C13">
            <v>-0.5571610034490172</v>
          </cell>
          <cell r="D13">
            <v>-2.1861054127620502E-2</v>
          </cell>
        </row>
        <row r="14">
          <cell r="A14" t="str">
            <v>Sep</v>
          </cell>
          <cell r="B14">
            <v>-0.45960638004097626</v>
          </cell>
          <cell r="C14">
            <v>-0.64344045333379218</v>
          </cell>
          <cell r="D14">
            <v>-2.595012758187501E-2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ecious Tivane" id="{BBFB6867-00E0-40D0-96E8-5B3B3538E426}" userId="S::tivanep@iucma.co.za::002f9975-1216-4c68-a915-46a5d878f866" providerId="AD"/>
  <person displayName="Tlangelani Marikele" id="{11881192-5948-4D20-917C-419197F59E04}" userId="S::marikelet@iucma.co.za::07ca8eb7-6030-4d7f-b16b-36f71c558ac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3" dT="2026-02-23T14:17:41.22" personId="{11881192-5948-4D20-917C-419197F59E04}" id="{A6B05CC7-4CB1-4997-AB81-457561C9DB5B}">
    <text>missing data from 15-17 January 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31" dT="2025-02-18T06:20:23.60" personId="{11881192-5948-4D20-917C-419197F59E04}" id="{31213274-F926-47AD-BBEB-7652E16F65E9}">
    <text xml:space="preserve">There were missing flow data from day 18 to 24 </text>
  </threadedComment>
  <threadedComment ref="J43" dT="2026-02-23T14:14:15.30" personId="{11881192-5948-4D20-917C-419197F59E04}" id="{005863FF-3C4D-4F36-8416-EAE518D9006D}">
    <text>missing data from 11-31 of January 2026 due to data logger malfunction</text>
  </threadedComment>
  <threadedComment ref="J44" dT="2026-04-14T13:20:32.77" personId="{BBFB6867-00E0-40D0-96E8-5B3B3538E426}" id="{09861F38-58D7-4B47-AAC1-ADE1FF0AAD3D}">
    <text xml:space="preserve">Missing data from 1-17
February 2026
</text>
  </threadedComment>
  <threadedComment ref="J45" dT="2026-04-14T13:16:55.86" personId="{BBFB6867-00E0-40D0-96E8-5B3B3538E426}" id="{9F662C22-B916-41C1-8238-EC4387C675F0}">
    <text xml:space="preserve">Missing data from 18-21
March 2026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31" dT="2025-02-18T06:23:10.96" personId="{11881192-5948-4D20-917C-419197F59E04}" id="{5CFA94A1-DBC3-42B6-936F-58B38464B5DE}">
    <text>There were missing flow data on the 1st, 6th, 7th, 14th, 15th, 16th, 17th and 18th.</text>
  </threadedComment>
  <threadedComment ref="J44" dT="2026-03-12T10:39:48.44" personId="{11881192-5948-4D20-917C-419197F59E04}" id="{ADA82CCB-348B-4DC5-8229-B40E6C542084}">
    <text>Missing flow data from 19-26 February 2026</text>
  </threadedComment>
  <threadedComment ref="J45" dT="2026-04-14T09:54:10.73" personId="{BBFB6867-00E0-40D0-96E8-5B3B3538E426}" id="{956BD30A-942D-4443-A9E4-CA1681B34B05}">
    <text>Missing data from 24-31
March 2026</text>
  </threadedComment>
  <threadedComment ref="J46" dT="2026-05-20T09:31:07.33" personId="{BBFB6867-00E0-40D0-96E8-5B3B3538E426}" id="{ABEB720D-A8F3-437D-82A2-0F3A8259E1BD}">
    <text>Missing data from 1-3 , 11-18 and 30
 April 2026</text>
  </threadedComment>
  <threadedComment ref="J47" dT="2026-06-23T07:30:18.84" personId="{BBFB6867-00E0-40D0-96E8-5B3B3538E426}" id="{2FC62088-3D94-4D42-917B-FC5FF728A593}">
    <text>Missing data from 22-31 May 2026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40" dT="2025-11-20T12:02:14.12" personId="{11881192-5948-4D20-917C-419197F59E04}" id="{10A4C7F0-99DA-42C0-8E4E-8B115B60481D}">
    <text>missing data from 29-31 Oct 2025</text>
  </threadedComment>
  <threadedComment ref="B45" dT="2026-04-14T09:07:29.62" personId="{BBFB6867-00E0-40D0-96E8-5B3B3538E426}" id="{737AF59E-E6D3-41A5-80BF-19359E1ECB51}">
    <text>Missing data from 28-31
March 2026</text>
  </threadedComment>
  <threadedComment ref="B46" dT="2026-05-20T12:38:29.41" personId="{BBFB6867-00E0-40D0-96E8-5B3B3538E426}" id="{F15B9E3A-5883-4FD7-B881-A489162FB209}">
    <text>Missing data on the 30 April 2026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40" dT="2025-11-20T12:10:22.81" personId="{11881192-5948-4D20-917C-419197F59E04}" id="{8D643DE2-7B28-4ABB-8817-94FF48B8542D}">
    <text>missing data from 01-11 Oct 2025</text>
  </threadedComment>
  <threadedComment ref="B47" dT="2026-06-23T07:41:17.03" personId="{BBFB6867-00E0-40D0-96E8-5B3B3538E426}" id="{C62573F6-34B1-4B20-BCD6-8688D8C59FAA}">
    <text>Missing data from 24-31 May 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AE923"/>
  <sheetViews>
    <sheetView topLeftCell="M58" zoomScaleNormal="100" workbookViewId="0">
      <selection activeCell="K57" sqref="K57"/>
    </sheetView>
  </sheetViews>
  <sheetFormatPr defaultRowHeight="14.4" x14ac:dyDescent="0.3"/>
  <cols>
    <col min="1" max="1" width="13.5546875" style="8" bestFit="1" customWidth="1"/>
    <col min="2" max="2" width="17.88671875" style="8" customWidth="1"/>
    <col min="3" max="3" width="17.33203125" style="8" customWidth="1"/>
    <col min="4" max="4" width="17.109375" style="9" customWidth="1"/>
    <col min="5" max="5" width="10" style="9" customWidth="1"/>
    <col min="6" max="6" width="11.33203125" style="16" customWidth="1"/>
    <col min="7" max="7" width="11.44140625" style="9" customWidth="1"/>
    <col min="8" max="8" width="11.44140625" style="18" customWidth="1"/>
    <col min="9" max="9" width="14" style="77" customWidth="1"/>
    <col min="10" max="10" width="14.44140625" style="77" customWidth="1"/>
    <col min="11" max="11" width="14.109375" style="77" customWidth="1"/>
    <col min="12" max="12" width="13.88671875" style="77" customWidth="1"/>
    <col min="13" max="13" width="12.6640625" style="77" customWidth="1"/>
    <col min="14" max="14" width="23.109375" style="77" bestFit="1" customWidth="1"/>
    <col min="15" max="15" width="12.33203125" customWidth="1"/>
    <col min="16" max="16" width="14.109375" style="4" bestFit="1" customWidth="1"/>
    <col min="17" max="17" width="17.33203125" style="4" customWidth="1"/>
    <col min="18" max="18" width="13.109375" style="4" bestFit="1" customWidth="1"/>
    <col min="19" max="19" width="18.33203125" style="4" bestFit="1" customWidth="1"/>
    <col min="20" max="20" width="14.109375" style="35" bestFit="1" customWidth="1"/>
    <col min="21" max="21" width="18" style="4" bestFit="1" customWidth="1"/>
    <col min="23" max="23" width="6.44140625" customWidth="1"/>
    <col min="24" max="24" width="18.6640625" customWidth="1"/>
    <col min="25" max="25" width="13" customWidth="1"/>
    <col min="26" max="26" width="13.5546875" customWidth="1"/>
    <col min="27" max="27" width="16.33203125" customWidth="1"/>
    <col min="28" max="28" width="13.33203125" customWidth="1"/>
    <col min="29" max="29" width="11.88671875" customWidth="1"/>
    <col min="30" max="30" width="14" customWidth="1"/>
    <col min="31" max="31" width="15" customWidth="1"/>
  </cols>
  <sheetData>
    <row r="1" spans="1:31" ht="18.600000000000001" x14ac:dyDescent="0.45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49"/>
      <c r="W1" s="49"/>
      <c r="X1" s="49"/>
    </row>
    <row r="2" spans="1:31" x14ac:dyDescent="0.3">
      <c r="A2" s="180" t="s">
        <v>1</v>
      </c>
      <c r="B2" s="181"/>
      <c r="C2" s="181"/>
      <c r="D2" s="181"/>
      <c r="E2" s="181"/>
      <c r="F2" s="181"/>
      <c r="G2" s="182"/>
      <c r="H2" s="19"/>
      <c r="I2" s="183" t="s">
        <v>2</v>
      </c>
      <c r="J2" s="183"/>
      <c r="K2" s="183"/>
      <c r="L2" s="183"/>
      <c r="M2" s="183"/>
      <c r="N2" s="183"/>
      <c r="P2" s="180" t="s">
        <v>3</v>
      </c>
      <c r="Q2" s="181"/>
      <c r="R2" s="181"/>
      <c r="S2" s="181"/>
      <c r="T2" s="181"/>
      <c r="U2" s="182"/>
      <c r="X2" s="177" t="s">
        <v>4</v>
      </c>
      <c r="Y2" s="177"/>
      <c r="Z2" s="177"/>
      <c r="AA2" s="177"/>
      <c r="AB2" s="177" t="s">
        <v>5</v>
      </c>
      <c r="AC2" s="177"/>
      <c r="AD2" s="177"/>
      <c r="AE2" s="177"/>
    </row>
    <row r="3" spans="1:31" x14ac:dyDescent="0.3">
      <c r="A3" s="6" t="s">
        <v>6</v>
      </c>
      <c r="B3" s="6" t="s">
        <v>7</v>
      </c>
      <c r="C3" s="6" t="s">
        <v>4</v>
      </c>
      <c r="D3" s="7" t="s">
        <v>8</v>
      </c>
      <c r="E3" s="7" t="s">
        <v>9</v>
      </c>
      <c r="F3" s="6"/>
      <c r="G3" s="7" t="s">
        <v>10</v>
      </c>
      <c r="I3" s="80" t="s">
        <v>11</v>
      </c>
      <c r="J3" s="80" t="s">
        <v>12</v>
      </c>
      <c r="K3" s="81" t="s">
        <v>13</v>
      </c>
      <c r="L3" s="80" t="s">
        <v>9</v>
      </c>
      <c r="M3" s="80"/>
      <c r="N3" s="81" t="s">
        <v>14</v>
      </c>
      <c r="P3" s="6" t="s">
        <v>15</v>
      </c>
      <c r="Q3" s="6" t="s">
        <v>16</v>
      </c>
      <c r="R3" s="6" t="s">
        <v>17</v>
      </c>
      <c r="S3" s="12" t="s">
        <v>18</v>
      </c>
      <c r="T3" s="12"/>
      <c r="U3" s="6" t="s">
        <v>19</v>
      </c>
      <c r="W3" s="50"/>
      <c r="X3" s="178" t="s">
        <v>20</v>
      </c>
      <c r="Y3" s="179"/>
      <c r="Z3" s="178" t="s">
        <v>21</v>
      </c>
      <c r="AA3" s="179"/>
      <c r="AB3" s="178" t="s">
        <v>20</v>
      </c>
      <c r="AC3" s="179"/>
      <c r="AD3" s="178" t="s">
        <v>21</v>
      </c>
      <c r="AE3" s="179"/>
    </row>
    <row r="4" spans="1:31" x14ac:dyDescent="0.3">
      <c r="A4" s="10">
        <v>44206</v>
      </c>
      <c r="B4" s="11">
        <v>0.67</v>
      </c>
      <c r="C4" s="11">
        <f>B4*$H$4</f>
        <v>17.018000000000001</v>
      </c>
      <c r="D4" s="9">
        <f>AVERAGE($C$4:$C$490)</f>
        <v>7.0757142857142838</v>
      </c>
      <c r="E4" s="9">
        <f>_xlfn.STDEV.S($C$4:$C115)</f>
        <v>18.475707768038383</v>
      </c>
      <c r="F4" s="9">
        <f>C4-D4</f>
        <v>9.9422857142857168</v>
      </c>
      <c r="G4" s="9">
        <f>F4/E4</f>
        <v>0.53812746115659726</v>
      </c>
      <c r="H4" s="46">
        <v>25.4</v>
      </c>
      <c r="I4" s="43">
        <v>44835</v>
      </c>
      <c r="J4" s="44">
        <v>1.866346774193548</v>
      </c>
      <c r="K4" s="44">
        <f>AVERAGE($J$4:$J$370)</f>
        <v>12.191109085153315</v>
      </c>
      <c r="L4" s="44">
        <f>_xlfn.STDEV.S($J$4:$J$320)</f>
        <v>18.30332203200313</v>
      </c>
      <c r="M4" s="44">
        <f>J4-K4</f>
        <v>-10.324762310959766</v>
      </c>
      <c r="N4" s="45">
        <f>M4/L4</f>
        <v>-0.56409226111560773</v>
      </c>
      <c r="P4" s="10">
        <v>44479</v>
      </c>
      <c r="Q4" s="4">
        <v>659.57</v>
      </c>
      <c r="R4" s="2">
        <f>AVERAGE($Q$4:$Q$76)</f>
        <v>659.75000010630254</v>
      </c>
      <c r="S4" s="2">
        <f>_xlfn.STDEV.S($Q$4:$Q$77)</f>
        <v>0.50524739363767157</v>
      </c>
      <c r="T4" s="2">
        <f>Q4-R4</f>
        <v>-0.18000010630248653</v>
      </c>
      <c r="U4" s="2">
        <f>T4/S4</f>
        <v>-0.35626132577651681</v>
      </c>
      <c r="W4" s="21"/>
      <c r="X4" s="97" t="s">
        <v>22</v>
      </c>
      <c r="Y4" s="97" t="s">
        <v>23</v>
      </c>
      <c r="Z4" s="97" t="s">
        <v>24</v>
      </c>
      <c r="AA4" s="97" t="s">
        <v>25</v>
      </c>
      <c r="AB4" s="97" t="s">
        <v>22</v>
      </c>
      <c r="AC4" s="97" t="s">
        <v>23</v>
      </c>
      <c r="AD4" s="97" t="s">
        <v>24</v>
      </c>
      <c r="AE4" s="97" t="s">
        <v>25</v>
      </c>
    </row>
    <row r="5" spans="1:31" x14ac:dyDescent="0.3">
      <c r="A5" s="32">
        <v>44237</v>
      </c>
      <c r="B5" s="33">
        <v>0.8</v>
      </c>
      <c r="C5" s="33">
        <f t="shared" ref="C5:C48" si="0">B5*$H$4</f>
        <v>20.32</v>
      </c>
      <c r="D5" s="9">
        <f t="shared" ref="D5:D66" si="1">AVERAGE($C$4:$C$490)</f>
        <v>7.0757142857142838</v>
      </c>
      <c r="E5" s="9">
        <f>_xlfn.STDEV.S($C$4:$C116)</f>
        <v>18.475707768038383</v>
      </c>
      <c r="F5" s="9">
        <f t="shared" ref="F5:F52" si="2">C5-D5</f>
        <v>13.244285714285716</v>
      </c>
      <c r="G5" s="9">
        <f t="shared" ref="G5:G53" si="3">F5/E5</f>
        <v>0.71684862526335025</v>
      </c>
      <c r="I5" s="43">
        <v>44866</v>
      </c>
      <c r="J5" s="44">
        <v>2.5736666666666665</v>
      </c>
      <c r="K5" s="44">
        <f t="shared" ref="K5:K35" si="4">AVERAGE($J$4:$J$370)</f>
        <v>12.191109085153315</v>
      </c>
      <c r="L5" s="44">
        <f t="shared" ref="L5:L35" si="5">_xlfn.STDEV.S($J$4:$J$320)</f>
        <v>18.30332203200313</v>
      </c>
      <c r="M5" s="44">
        <f t="shared" ref="M5:M24" si="6">J5-K5</f>
        <v>-9.6174424184866485</v>
      </c>
      <c r="N5" s="45">
        <f t="shared" ref="N5:N24" si="7">M5/L5</f>
        <v>-0.52544791604882823</v>
      </c>
      <c r="P5" s="10">
        <v>44510</v>
      </c>
      <c r="Q5" s="34">
        <v>659.46</v>
      </c>
      <c r="R5" s="2">
        <f t="shared" ref="R5:R48" si="8">AVERAGE($Q$4:$Q$76)</f>
        <v>659.75000010630254</v>
      </c>
      <c r="S5" s="2">
        <f t="shared" ref="S5:S48" si="9">_xlfn.STDEV.S($Q$4:$Q$77)</f>
        <v>0.50524739363767157</v>
      </c>
      <c r="T5" s="2">
        <f t="shared" ref="T5:T42" si="10">Q5-R5</f>
        <v>-0.29000010630250017</v>
      </c>
      <c r="U5" s="2">
        <f t="shared" ref="U5:U42" si="11">T5/S5</f>
        <v>-0.57397645184186374</v>
      </c>
      <c r="W5" s="21"/>
      <c r="X5" s="98">
        <f>C42</f>
        <v>5.3339999999999996</v>
      </c>
      <c r="Y5" s="98">
        <f>C54</f>
        <v>7.3659999999999988</v>
      </c>
      <c r="Z5" s="98">
        <f>C51</f>
        <v>1.778</v>
      </c>
      <c r="AA5" s="98">
        <v>7.3659999999999988</v>
      </c>
      <c r="AB5" s="98">
        <f>Q33</f>
        <v>659.96</v>
      </c>
      <c r="AC5" s="98">
        <f>Q45</f>
        <v>659.52</v>
      </c>
      <c r="AD5" s="98">
        <f>Q42</f>
        <v>659.48</v>
      </c>
      <c r="AE5" s="98">
        <v>659.52</v>
      </c>
    </row>
    <row r="6" spans="1:31" x14ac:dyDescent="0.3">
      <c r="A6" s="10">
        <v>44265</v>
      </c>
      <c r="B6" s="11">
        <v>0.15</v>
      </c>
      <c r="C6" s="11">
        <f t="shared" si="0"/>
        <v>3.8099999999999996</v>
      </c>
      <c r="D6" s="9">
        <f t="shared" si="1"/>
        <v>7.0757142857142838</v>
      </c>
      <c r="E6" s="9">
        <f>_xlfn.STDEV.S($C$4:$C117)</f>
        <v>18.475707768038383</v>
      </c>
      <c r="F6" s="9">
        <f t="shared" si="2"/>
        <v>-3.2657142857142842</v>
      </c>
      <c r="G6" s="9">
        <f t="shared" si="3"/>
        <v>-0.17675719527041503</v>
      </c>
      <c r="I6" s="43">
        <v>44896</v>
      </c>
      <c r="J6" s="44">
        <v>4.2254838709677411</v>
      </c>
      <c r="K6" s="44">
        <f t="shared" si="4"/>
        <v>12.191109085153315</v>
      </c>
      <c r="L6" s="44">
        <f t="shared" si="5"/>
        <v>18.30332203200313</v>
      </c>
      <c r="M6" s="44">
        <f t="shared" si="6"/>
        <v>-7.9656252141855735</v>
      </c>
      <c r="N6" s="45">
        <f t="shared" si="7"/>
        <v>-0.43520106351501531</v>
      </c>
      <c r="P6" s="10">
        <v>44540</v>
      </c>
      <c r="Q6" s="4">
        <f>AVERAGE(Q5,Q7)</f>
        <v>659.51</v>
      </c>
      <c r="R6" s="2">
        <f t="shared" si="8"/>
        <v>659.75000010630254</v>
      </c>
      <c r="S6" s="2">
        <f t="shared" si="9"/>
        <v>0.50524739363767157</v>
      </c>
      <c r="T6" s="2">
        <f t="shared" si="10"/>
        <v>-0.24000010630254565</v>
      </c>
      <c r="U6" s="2">
        <f t="shared" si="11"/>
        <v>-0.47501503090317193</v>
      </c>
      <c r="W6" s="21"/>
      <c r="X6" s="98">
        <f t="shared" ref="X6:X7" si="12">C43</f>
        <v>4.8259999999999996</v>
      </c>
      <c r="Y6" s="98">
        <f t="shared" ref="Y6:Y7" si="13">C55</f>
        <v>11.176</v>
      </c>
      <c r="Z6" s="98">
        <f t="shared" ref="Z6:Z7" si="14">C52</f>
        <v>8.636000000000001</v>
      </c>
      <c r="AA6" s="98">
        <v>11.176</v>
      </c>
      <c r="AB6" s="98">
        <f t="shared" ref="AB6:AB7" si="15">Q34</f>
        <v>659.94</v>
      </c>
      <c r="AC6" s="98">
        <f t="shared" ref="AC6:AC7" si="16">Q46</f>
        <v>659.55</v>
      </c>
      <c r="AD6" s="98">
        <f t="shared" ref="AD6:AD7" si="17">Q43</f>
        <v>659.45647059999999</v>
      </c>
      <c r="AE6" s="98">
        <v>659.55</v>
      </c>
    </row>
    <row r="7" spans="1:31" x14ac:dyDescent="0.3">
      <c r="A7" s="10">
        <v>44296</v>
      </c>
      <c r="B7" s="11">
        <v>0.14000000000000001</v>
      </c>
      <c r="C7" s="11">
        <f t="shared" si="0"/>
        <v>3.556</v>
      </c>
      <c r="D7" s="9">
        <f t="shared" si="1"/>
        <v>7.0757142857142838</v>
      </c>
      <c r="E7" s="9">
        <f>_xlfn.STDEV.S($C$4:$C118)</f>
        <v>18.475707768038383</v>
      </c>
      <c r="F7" s="9">
        <f t="shared" si="2"/>
        <v>-3.5197142857142838</v>
      </c>
      <c r="G7" s="9">
        <f t="shared" si="3"/>
        <v>-0.19050497712478062</v>
      </c>
      <c r="I7" s="43">
        <v>44927</v>
      </c>
      <c r="J7" s="44">
        <v>9.7606451612903218</v>
      </c>
      <c r="K7" s="44">
        <f t="shared" si="4"/>
        <v>12.191109085153315</v>
      </c>
      <c r="L7" s="44">
        <f t="shared" si="5"/>
        <v>18.30332203200313</v>
      </c>
      <c r="M7" s="44">
        <f t="shared" si="6"/>
        <v>-2.4304639238629928</v>
      </c>
      <c r="N7" s="45">
        <f t="shared" si="7"/>
        <v>-0.13278813100776771</v>
      </c>
      <c r="P7" s="10">
        <v>44571</v>
      </c>
      <c r="Q7" s="4">
        <v>659.56</v>
      </c>
      <c r="R7" s="2">
        <f t="shared" si="8"/>
        <v>659.75000010630254</v>
      </c>
      <c r="S7" s="2">
        <f t="shared" si="9"/>
        <v>0.50524739363767157</v>
      </c>
      <c r="T7" s="2">
        <f t="shared" si="10"/>
        <v>-0.19000010630259112</v>
      </c>
      <c r="U7" s="2">
        <f t="shared" si="11"/>
        <v>-0.37605360996448017</v>
      </c>
      <c r="W7" s="21"/>
      <c r="X7" s="98">
        <f t="shared" si="12"/>
        <v>0.7619999999999999</v>
      </c>
      <c r="Y7" s="98">
        <f t="shared" si="13"/>
        <v>3.302</v>
      </c>
      <c r="Z7" s="98">
        <f t="shared" si="14"/>
        <v>5.3339999999999996</v>
      </c>
      <c r="AA7" s="98">
        <v>0.7619999999999999</v>
      </c>
      <c r="AB7" s="98">
        <f t="shared" si="15"/>
        <v>659.83</v>
      </c>
      <c r="AC7" s="98">
        <f t="shared" si="16"/>
        <v>659.35</v>
      </c>
      <c r="AD7" s="98">
        <f t="shared" si="17"/>
        <v>659.58</v>
      </c>
      <c r="AE7" s="98">
        <v>659.35</v>
      </c>
    </row>
    <row r="8" spans="1:31" x14ac:dyDescent="0.3">
      <c r="A8" s="10">
        <v>44326</v>
      </c>
      <c r="B8" s="11">
        <v>0.05</v>
      </c>
      <c r="C8" s="11">
        <f t="shared" si="0"/>
        <v>1.27</v>
      </c>
      <c r="D8" s="9">
        <f t="shared" si="1"/>
        <v>7.0757142857142838</v>
      </c>
      <c r="E8" s="9">
        <f>_xlfn.STDEV.S($C$4:$C119)</f>
        <v>18.475707768038383</v>
      </c>
      <c r="F8" s="9">
        <f t="shared" si="2"/>
        <v>-5.8057142857142843</v>
      </c>
      <c r="G8" s="9">
        <f t="shared" si="3"/>
        <v>-0.31423501381407121</v>
      </c>
      <c r="I8" s="43">
        <v>44958</v>
      </c>
      <c r="J8" s="44">
        <v>10.080833333333333</v>
      </c>
      <c r="K8" s="44">
        <f t="shared" si="4"/>
        <v>12.191109085153315</v>
      </c>
      <c r="L8" s="44">
        <f t="shared" si="5"/>
        <v>18.30332203200313</v>
      </c>
      <c r="M8" s="44">
        <f t="shared" si="6"/>
        <v>-2.1102757518199819</v>
      </c>
      <c r="N8" s="45">
        <f t="shared" si="7"/>
        <v>-0.11529468520141814</v>
      </c>
      <c r="P8" s="10">
        <v>44602</v>
      </c>
      <c r="Q8" s="4">
        <v>659.75</v>
      </c>
      <c r="R8" s="2">
        <f t="shared" si="8"/>
        <v>659.75000010630254</v>
      </c>
      <c r="S8" s="2">
        <f t="shared" si="9"/>
        <v>0.50524739363767157</v>
      </c>
      <c r="T8" s="2">
        <f t="shared" si="10"/>
        <v>-1.063025365510839E-7</v>
      </c>
      <c r="U8" s="2">
        <f t="shared" si="11"/>
        <v>-2.1039700132984104E-7</v>
      </c>
      <c r="W8" s="21"/>
      <c r="X8" s="97" t="s">
        <v>26</v>
      </c>
      <c r="Y8" s="98">
        <v>0.27</v>
      </c>
      <c r="Z8" s="97" t="s">
        <v>26</v>
      </c>
      <c r="AA8" s="98">
        <v>0.73</v>
      </c>
      <c r="AB8" s="97" t="s">
        <v>26</v>
      </c>
      <c r="AC8" s="98">
        <v>3.0000000000000001E-3</v>
      </c>
      <c r="AD8" s="97" t="s">
        <v>26</v>
      </c>
      <c r="AE8" s="98">
        <v>0.78</v>
      </c>
    </row>
    <row r="9" spans="1:31" x14ac:dyDescent="0.3">
      <c r="A9" s="10">
        <v>44357</v>
      </c>
      <c r="B9" s="11">
        <v>0.08</v>
      </c>
      <c r="C9" s="11">
        <f t="shared" si="0"/>
        <v>2.032</v>
      </c>
      <c r="D9" s="9">
        <f t="shared" si="1"/>
        <v>7.0757142857142838</v>
      </c>
      <c r="E9" s="9">
        <f>_xlfn.STDEV.S($C$4:$C120)</f>
        <v>18.475707768038383</v>
      </c>
      <c r="F9" s="9">
        <f t="shared" si="2"/>
        <v>-5.0437142857142838</v>
      </c>
      <c r="G9" s="9">
        <f t="shared" si="3"/>
        <v>-0.27299166825097432</v>
      </c>
      <c r="I9" s="43">
        <v>44986</v>
      </c>
      <c r="J9" s="44">
        <v>36.547256202863643</v>
      </c>
      <c r="K9" s="44">
        <f t="shared" si="4"/>
        <v>12.191109085153315</v>
      </c>
      <c r="L9" s="44">
        <f t="shared" si="5"/>
        <v>18.30332203200313</v>
      </c>
      <c r="M9" s="44">
        <f t="shared" si="6"/>
        <v>24.356147117710329</v>
      </c>
      <c r="N9" s="45">
        <f t="shared" si="7"/>
        <v>1.3306954374251794</v>
      </c>
      <c r="P9" s="10">
        <v>44630</v>
      </c>
      <c r="Q9" s="4">
        <v>659.71</v>
      </c>
      <c r="R9" s="2">
        <f t="shared" si="8"/>
        <v>659.75000010630254</v>
      </c>
      <c r="S9" s="2">
        <f t="shared" si="9"/>
        <v>0.50524739363767157</v>
      </c>
      <c r="T9" s="2">
        <f t="shared" si="10"/>
        <v>-4.0000106302500171E-2</v>
      </c>
      <c r="U9" s="2">
        <f t="shared" si="11"/>
        <v>-7.9169347147954761E-2</v>
      </c>
      <c r="X9" s="175" t="s">
        <v>27</v>
      </c>
      <c r="Y9" s="175"/>
      <c r="Z9" s="175" t="s">
        <v>27</v>
      </c>
      <c r="AA9" s="175"/>
      <c r="AB9" s="176" t="s">
        <v>28</v>
      </c>
      <c r="AC9" s="176"/>
      <c r="AD9" s="175" t="s">
        <v>27</v>
      </c>
      <c r="AE9" s="175"/>
    </row>
    <row r="10" spans="1:31" x14ac:dyDescent="0.3">
      <c r="A10" s="10">
        <v>44387</v>
      </c>
      <c r="B10" s="11">
        <v>0.01</v>
      </c>
      <c r="C10" s="11">
        <f t="shared" si="0"/>
        <v>0.254</v>
      </c>
      <c r="D10" s="9">
        <f t="shared" si="1"/>
        <v>7.0757142857142838</v>
      </c>
      <c r="E10" s="9">
        <f>_xlfn.STDEV.S($C$4:$C121)</f>
        <v>18.475707768038383</v>
      </c>
      <c r="F10" s="9">
        <f t="shared" si="2"/>
        <v>-6.8217142857142843</v>
      </c>
      <c r="G10" s="9">
        <f t="shared" si="3"/>
        <v>-0.36922614123153369</v>
      </c>
      <c r="I10" s="43">
        <v>45017</v>
      </c>
      <c r="J10" s="44">
        <v>32.240046804571428</v>
      </c>
      <c r="K10" s="44">
        <f t="shared" si="4"/>
        <v>12.191109085153315</v>
      </c>
      <c r="L10" s="44">
        <f t="shared" si="5"/>
        <v>18.30332203200313</v>
      </c>
      <c r="M10" s="44">
        <f t="shared" si="6"/>
        <v>20.048937719418113</v>
      </c>
      <c r="N10" s="45">
        <f t="shared" si="7"/>
        <v>1.0953715224134064</v>
      </c>
      <c r="P10" s="10">
        <v>44661</v>
      </c>
      <c r="Q10" s="4">
        <v>659.7</v>
      </c>
      <c r="R10" s="2">
        <f t="shared" si="8"/>
        <v>659.75000010630254</v>
      </c>
      <c r="S10" s="2">
        <f t="shared" si="9"/>
        <v>0.50524739363767157</v>
      </c>
      <c r="T10" s="2">
        <f t="shared" si="10"/>
        <v>-5.0000106302491076E-2</v>
      </c>
      <c r="U10" s="2">
        <f t="shared" si="11"/>
        <v>-9.896163133569312E-2</v>
      </c>
      <c r="X10" s="51"/>
    </row>
    <row r="11" spans="1:31" x14ac:dyDescent="0.3">
      <c r="A11" s="10">
        <v>44418</v>
      </c>
      <c r="B11" s="11">
        <v>0.01</v>
      </c>
      <c r="C11" s="11">
        <f t="shared" si="0"/>
        <v>0.254</v>
      </c>
      <c r="D11" s="9">
        <f t="shared" si="1"/>
        <v>7.0757142857142838</v>
      </c>
      <c r="E11" s="9">
        <f>_xlfn.STDEV.S($C$4:$C122)</f>
        <v>18.475707768038383</v>
      </c>
      <c r="F11" s="9">
        <f t="shared" si="2"/>
        <v>-6.8217142857142843</v>
      </c>
      <c r="G11" s="9">
        <f t="shared" si="3"/>
        <v>-0.36922614123153369</v>
      </c>
      <c r="I11" s="43">
        <v>45047</v>
      </c>
      <c r="J11" s="44">
        <v>27.110274192903226</v>
      </c>
      <c r="K11" s="44">
        <f t="shared" si="4"/>
        <v>12.191109085153315</v>
      </c>
      <c r="L11" s="44">
        <f t="shared" si="5"/>
        <v>18.30332203200313</v>
      </c>
      <c r="M11" s="44">
        <f t="shared" si="6"/>
        <v>14.919165107749912</v>
      </c>
      <c r="N11" s="45">
        <f t="shared" si="7"/>
        <v>0.8151069560850176</v>
      </c>
      <c r="P11" s="10">
        <v>44691</v>
      </c>
      <c r="Q11" s="4">
        <v>659.77</v>
      </c>
      <c r="R11" s="2">
        <f t="shared" si="8"/>
        <v>659.75000010630254</v>
      </c>
      <c r="S11" s="2">
        <f t="shared" si="9"/>
        <v>0.50524739363767157</v>
      </c>
      <c r="T11" s="2">
        <f t="shared" si="10"/>
        <v>1.9999893697445259E-2</v>
      </c>
      <c r="U11" s="2">
        <f t="shared" si="11"/>
        <v>3.9584357978475385E-2</v>
      </c>
      <c r="X11" s="51"/>
    </row>
    <row r="12" spans="1:31" x14ac:dyDescent="0.3">
      <c r="A12" s="10">
        <v>44449</v>
      </c>
      <c r="B12" s="11">
        <v>0.01</v>
      </c>
      <c r="C12" s="11">
        <f t="shared" si="0"/>
        <v>0.254</v>
      </c>
      <c r="D12" s="9">
        <f t="shared" si="1"/>
        <v>7.0757142857142838</v>
      </c>
      <c r="E12" s="9">
        <f>_xlfn.STDEV.S($C$4:$C123)</f>
        <v>18.475707768038383</v>
      </c>
      <c r="F12" s="9">
        <f t="shared" si="2"/>
        <v>-6.8217142857142843</v>
      </c>
      <c r="G12" s="9">
        <f t="shared" si="3"/>
        <v>-0.36922614123153369</v>
      </c>
      <c r="I12" s="43">
        <v>45078</v>
      </c>
      <c r="J12" s="44">
        <v>14.956819390645162</v>
      </c>
      <c r="K12" s="44">
        <f t="shared" si="4"/>
        <v>12.191109085153315</v>
      </c>
      <c r="L12" s="44">
        <f t="shared" si="5"/>
        <v>18.30332203200313</v>
      </c>
      <c r="M12" s="44">
        <f t="shared" si="6"/>
        <v>2.7657103054918473</v>
      </c>
      <c r="N12" s="45">
        <f t="shared" si="7"/>
        <v>0.15110428045007551</v>
      </c>
      <c r="P12" s="10">
        <v>44722</v>
      </c>
      <c r="Q12" s="4">
        <v>659.95</v>
      </c>
      <c r="R12" s="2">
        <f t="shared" si="8"/>
        <v>659.75000010630254</v>
      </c>
      <c r="S12" s="2">
        <f t="shared" si="9"/>
        <v>0.50524739363767157</v>
      </c>
      <c r="T12" s="2">
        <f t="shared" si="10"/>
        <v>0.19999989369750892</v>
      </c>
      <c r="U12" s="2">
        <f t="shared" si="11"/>
        <v>0.39584547335821585</v>
      </c>
      <c r="X12" s="51"/>
    </row>
    <row r="13" spans="1:31" x14ac:dyDescent="0.3">
      <c r="A13" s="10">
        <v>44479</v>
      </c>
      <c r="B13" s="11">
        <v>0.04</v>
      </c>
      <c r="C13" s="11">
        <f t="shared" si="0"/>
        <v>1.016</v>
      </c>
      <c r="D13" s="9">
        <f t="shared" si="1"/>
        <v>7.0757142857142838</v>
      </c>
      <c r="E13" s="9">
        <f>_xlfn.STDEV.S($C$4:$C124)</f>
        <v>18.475707768038383</v>
      </c>
      <c r="F13" s="9">
        <f t="shared" si="2"/>
        <v>-6.0597142857142838</v>
      </c>
      <c r="G13" s="9">
        <f t="shared" si="3"/>
        <v>-0.3279827956684368</v>
      </c>
      <c r="I13" s="43">
        <v>45108</v>
      </c>
      <c r="J13" s="44">
        <v>13.539577956677418</v>
      </c>
      <c r="K13" s="44">
        <f t="shared" si="4"/>
        <v>12.191109085153315</v>
      </c>
      <c r="L13" s="44">
        <f t="shared" si="5"/>
        <v>18.30332203200313</v>
      </c>
      <c r="M13" s="44">
        <f t="shared" si="6"/>
        <v>1.3484688715241031</v>
      </c>
      <c r="N13" s="45">
        <f t="shared" si="7"/>
        <v>7.3673449506396815E-2</v>
      </c>
      <c r="P13" s="10">
        <v>44752</v>
      </c>
      <c r="Q13" s="4">
        <v>659.86</v>
      </c>
      <c r="R13" s="2">
        <f t="shared" si="8"/>
        <v>659.75000010630254</v>
      </c>
      <c r="S13" s="2">
        <f t="shared" si="9"/>
        <v>0.50524739363767157</v>
      </c>
      <c r="T13" s="2">
        <f t="shared" si="10"/>
        <v>0.10999989369747709</v>
      </c>
      <c r="U13" s="2">
        <f t="shared" si="11"/>
        <v>0.21771491566834561</v>
      </c>
      <c r="X13" s="51"/>
    </row>
    <row r="14" spans="1:31" x14ac:dyDescent="0.3">
      <c r="A14" s="10">
        <v>44510</v>
      </c>
      <c r="B14" s="11">
        <v>0.1</v>
      </c>
      <c r="C14" s="11">
        <f t="shared" si="0"/>
        <v>2.54</v>
      </c>
      <c r="D14" s="9">
        <f t="shared" si="1"/>
        <v>7.0757142857142838</v>
      </c>
      <c r="E14" s="9">
        <f>_xlfn.STDEV.S($C$4:$C125)</f>
        <v>18.475707768038383</v>
      </c>
      <c r="F14" s="9">
        <f t="shared" si="2"/>
        <v>-4.5357142857142838</v>
      </c>
      <c r="G14" s="9">
        <f t="shared" si="3"/>
        <v>-0.2454961045422431</v>
      </c>
      <c r="I14" s="43">
        <v>45139</v>
      </c>
      <c r="J14" s="44">
        <v>7.7173709677096793</v>
      </c>
      <c r="K14" s="44">
        <f t="shared" si="4"/>
        <v>12.191109085153315</v>
      </c>
      <c r="L14" s="44">
        <f t="shared" si="5"/>
        <v>18.30332203200313</v>
      </c>
      <c r="M14" s="44">
        <f t="shared" si="6"/>
        <v>-4.4737381174436353</v>
      </c>
      <c r="N14" s="45">
        <f t="shared" si="7"/>
        <v>-0.24442219339316437</v>
      </c>
      <c r="P14" s="10">
        <v>44783</v>
      </c>
      <c r="Q14" s="4">
        <v>659.71</v>
      </c>
      <c r="R14" s="2">
        <f t="shared" si="8"/>
        <v>659.75000010630254</v>
      </c>
      <c r="S14" s="2">
        <f t="shared" si="9"/>
        <v>0.50524739363767157</v>
      </c>
      <c r="T14" s="2">
        <f t="shared" si="10"/>
        <v>-4.0000106302500171E-2</v>
      </c>
      <c r="U14" s="2">
        <f t="shared" si="11"/>
        <v>-7.9169347147954761E-2</v>
      </c>
      <c r="X14" s="51"/>
    </row>
    <row r="15" spans="1:31" x14ac:dyDescent="0.3">
      <c r="A15" s="10">
        <v>44540</v>
      </c>
      <c r="B15" s="11">
        <v>0.25</v>
      </c>
      <c r="C15" s="11">
        <f t="shared" si="0"/>
        <v>6.35</v>
      </c>
      <c r="D15" s="9">
        <f t="shared" si="1"/>
        <v>7.0757142857142838</v>
      </c>
      <c r="E15" s="9">
        <f>_xlfn.STDEV.S($C$4:$C126)</f>
        <v>18.475707768038383</v>
      </c>
      <c r="F15" s="9">
        <f t="shared" si="2"/>
        <v>-0.7257142857142842</v>
      </c>
      <c r="G15" s="9">
        <f t="shared" si="3"/>
        <v>-3.9279376726758831E-2</v>
      </c>
      <c r="I15" s="43">
        <v>45170</v>
      </c>
      <c r="J15" s="61">
        <v>0.92</v>
      </c>
      <c r="K15" s="44">
        <f t="shared" si="4"/>
        <v>12.191109085153315</v>
      </c>
      <c r="L15" s="44">
        <f t="shared" si="5"/>
        <v>18.30332203200313</v>
      </c>
      <c r="M15" s="44">
        <f t="shared" si="6"/>
        <v>-11.271109085153315</v>
      </c>
      <c r="N15" s="45">
        <f t="shared" si="7"/>
        <v>-0.61579581375697379</v>
      </c>
      <c r="P15" s="10">
        <v>44814</v>
      </c>
      <c r="Q15" s="4">
        <v>659.79</v>
      </c>
      <c r="R15" s="2">
        <f t="shared" si="8"/>
        <v>659.75000010630254</v>
      </c>
      <c r="S15" s="2">
        <f t="shared" si="9"/>
        <v>0.50524739363767157</v>
      </c>
      <c r="T15" s="2">
        <f t="shared" si="10"/>
        <v>3.9999893697427069E-2</v>
      </c>
      <c r="U15" s="2">
        <f t="shared" si="11"/>
        <v>7.9168926353952104E-2</v>
      </c>
      <c r="X15" s="51"/>
    </row>
    <row r="16" spans="1:31" x14ac:dyDescent="0.3">
      <c r="A16" s="10">
        <v>44571</v>
      </c>
      <c r="B16" s="11">
        <v>0.95</v>
      </c>
      <c r="C16" s="11">
        <f t="shared" si="0"/>
        <v>24.13</v>
      </c>
      <c r="D16" s="9">
        <f t="shared" si="1"/>
        <v>7.0757142857142838</v>
      </c>
      <c r="E16" s="9">
        <f>_xlfn.STDEV.S($C$4:$C127)</f>
        <v>18.475707768038383</v>
      </c>
      <c r="F16" s="9">
        <f t="shared" si="2"/>
        <v>17.054285714285715</v>
      </c>
      <c r="G16" s="9">
        <f t="shared" si="3"/>
        <v>0.92306535307883453</v>
      </c>
      <c r="I16" s="43">
        <v>45200</v>
      </c>
      <c r="J16" s="63">
        <v>1.23</v>
      </c>
      <c r="K16" s="44">
        <f t="shared" si="4"/>
        <v>12.191109085153315</v>
      </c>
      <c r="L16" s="44">
        <f t="shared" si="5"/>
        <v>18.30332203200313</v>
      </c>
      <c r="M16" s="44">
        <f t="shared" si="6"/>
        <v>-10.961109085153314</v>
      </c>
      <c r="N16" s="45">
        <f t="shared" si="7"/>
        <v>-0.59885899761736971</v>
      </c>
      <c r="P16" s="10">
        <v>44844</v>
      </c>
      <c r="Q16" s="4">
        <v>659.68</v>
      </c>
      <c r="R16" s="2">
        <f t="shared" si="8"/>
        <v>659.75000010630254</v>
      </c>
      <c r="S16" s="2">
        <f t="shared" si="9"/>
        <v>0.50524739363767157</v>
      </c>
      <c r="T16" s="2">
        <f t="shared" si="10"/>
        <v>-7.0000106302586573E-2</v>
      </c>
      <c r="U16" s="2">
        <f t="shared" si="11"/>
        <v>-0.13854619971139484</v>
      </c>
      <c r="X16" s="51"/>
    </row>
    <row r="17" spans="1:24" x14ac:dyDescent="0.3">
      <c r="A17" s="10">
        <v>44602</v>
      </c>
      <c r="B17" s="11">
        <v>0.26</v>
      </c>
      <c r="C17" s="11">
        <f t="shared" si="0"/>
        <v>6.6040000000000001</v>
      </c>
      <c r="D17" s="9">
        <f t="shared" si="1"/>
        <v>7.0757142857142838</v>
      </c>
      <c r="E17" s="9">
        <f>_xlfn.STDEV.S($C$4:$C128)</f>
        <v>18.475707768038383</v>
      </c>
      <c r="F17" s="9">
        <f t="shared" si="2"/>
        <v>-0.47171428571428375</v>
      </c>
      <c r="G17" s="9">
        <f t="shared" si="3"/>
        <v>-2.5531594872393187E-2</v>
      </c>
      <c r="I17" s="43">
        <v>45231</v>
      </c>
      <c r="J17" s="63">
        <v>1.32</v>
      </c>
      <c r="K17" s="44">
        <f t="shared" si="4"/>
        <v>12.191109085153315</v>
      </c>
      <c r="L17" s="44">
        <f t="shared" si="5"/>
        <v>18.30332203200313</v>
      </c>
      <c r="M17" s="44">
        <f t="shared" si="6"/>
        <v>-10.871109085153314</v>
      </c>
      <c r="N17" s="45">
        <f t="shared" si="7"/>
        <v>-0.59394185744780736</v>
      </c>
      <c r="P17" s="10">
        <v>44875</v>
      </c>
      <c r="Q17" s="4">
        <v>659.75</v>
      </c>
      <c r="R17" s="2">
        <f t="shared" si="8"/>
        <v>659.75000010630254</v>
      </c>
      <c r="S17" s="2">
        <f t="shared" si="9"/>
        <v>0.50524739363767157</v>
      </c>
      <c r="T17" s="2">
        <f t="shared" si="10"/>
        <v>-1.063025365510839E-7</v>
      </c>
      <c r="U17" s="2">
        <f t="shared" si="11"/>
        <v>-2.1039700132984104E-7</v>
      </c>
      <c r="X17" s="51"/>
    </row>
    <row r="18" spans="1:24" x14ac:dyDescent="0.3">
      <c r="A18" s="10">
        <v>44630</v>
      </c>
      <c r="B18" s="11">
        <v>0.2</v>
      </c>
      <c r="C18" s="11">
        <f t="shared" si="0"/>
        <v>5.08</v>
      </c>
      <c r="D18" s="9">
        <f t="shared" si="1"/>
        <v>7.0757142857142838</v>
      </c>
      <c r="E18" s="9">
        <f>_xlfn.STDEV.S($C$4:$C129)</f>
        <v>18.475707768038383</v>
      </c>
      <c r="F18" s="9">
        <f t="shared" si="2"/>
        <v>-1.9957142857142838</v>
      </c>
      <c r="G18" s="9">
        <f t="shared" si="3"/>
        <v>-0.1080182859985869</v>
      </c>
      <c r="I18" s="43">
        <v>45261</v>
      </c>
      <c r="J18" s="64">
        <v>3.8780407852687659</v>
      </c>
      <c r="K18" s="44">
        <f t="shared" si="4"/>
        <v>12.191109085153315</v>
      </c>
      <c r="L18" s="44">
        <f t="shared" si="5"/>
        <v>18.30332203200313</v>
      </c>
      <c r="M18" s="45">
        <f t="shared" si="6"/>
        <v>-8.3130682998845487</v>
      </c>
      <c r="N18" s="45">
        <f t="shared" si="7"/>
        <v>-0.45418357855198377</v>
      </c>
      <c r="P18" s="10">
        <v>44905</v>
      </c>
      <c r="Q18" s="4">
        <v>660.03</v>
      </c>
      <c r="R18" s="2">
        <f t="shared" si="8"/>
        <v>659.75000010630254</v>
      </c>
      <c r="S18" s="2">
        <f t="shared" si="9"/>
        <v>0.50524739363767157</v>
      </c>
      <c r="T18" s="2">
        <f t="shared" si="10"/>
        <v>0.27999989369743616</v>
      </c>
      <c r="U18" s="2">
        <f t="shared" si="11"/>
        <v>0.55418374686012273</v>
      </c>
      <c r="X18" s="51"/>
    </row>
    <row r="19" spans="1:24" x14ac:dyDescent="0.3">
      <c r="A19" s="10">
        <v>44661</v>
      </c>
      <c r="B19" s="11">
        <v>0.35</v>
      </c>
      <c r="C19" s="11">
        <f t="shared" si="0"/>
        <v>8.8899999999999988</v>
      </c>
      <c r="D19" s="9">
        <f t="shared" si="1"/>
        <v>7.0757142857142838</v>
      </c>
      <c r="E19" s="9">
        <f>_xlfn.STDEV.S($C$4:$C130)</f>
        <v>18.475707768038383</v>
      </c>
      <c r="F19" s="9">
        <f t="shared" si="2"/>
        <v>1.8142857142857149</v>
      </c>
      <c r="G19" s="9">
        <f t="shared" si="3"/>
        <v>9.8198441816897311E-2</v>
      </c>
      <c r="I19" s="43">
        <v>45292</v>
      </c>
      <c r="J19" s="65">
        <v>19.278204529800266</v>
      </c>
      <c r="K19" s="44">
        <f t="shared" si="4"/>
        <v>12.191109085153315</v>
      </c>
      <c r="L19" s="44">
        <f t="shared" si="5"/>
        <v>18.30332203200313</v>
      </c>
      <c r="M19" s="44">
        <f t="shared" si="6"/>
        <v>7.0870954446469518</v>
      </c>
      <c r="N19" s="45">
        <f t="shared" si="7"/>
        <v>0.38720268551551756</v>
      </c>
      <c r="P19" s="10">
        <v>44936</v>
      </c>
      <c r="Q19" s="4">
        <f>AVERAGE(Q18,Q20)</f>
        <v>660.125</v>
      </c>
      <c r="R19" s="2">
        <f t="shared" si="8"/>
        <v>659.75000010630254</v>
      </c>
      <c r="S19" s="2">
        <f t="shared" si="9"/>
        <v>0.50524739363767157</v>
      </c>
      <c r="T19" s="2">
        <f t="shared" si="10"/>
        <v>0.37499989369746345</v>
      </c>
      <c r="U19" s="2">
        <f t="shared" si="11"/>
        <v>0.74221044664386215</v>
      </c>
      <c r="V19" s="96"/>
      <c r="W19" s="96"/>
      <c r="X19" s="51"/>
    </row>
    <row r="20" spans="1:24" x14ac:dyDescent="0.3">
      <c r="A20" s="10">
        <v>44691</v>
      </c>
      <c r="B20" s="11">
        <v>0.36</v>
      </c>
      <c r="C20" s="11">
        <f t="shared" si="0"/>
        <v>9.1439999999999984</v>
      </c>
      <c r="D20" s="9">
        <f t="shared" si="1"/>
        <v>7.0757142857142838</v>
      </c>
      <c r="E20" s="9">
        <f>_xlfn.STDEV.S($C$4:$C131)</f>
        <v>18.475707768038383</v>
      </c>
      <c r="F20" s="9">
        <f t="shared" si="2"/>
        <v>2.0682857142857145</v>
      </c>
      <c r="G20" s="9">
        <f t="shared" si="3"/>
        <v>0.11194622367126292</v>
      </c>
      <c r="I20" s="43">
        <v>45323</v>
      </c>
      <c r="J20" s="63">
        <v>13.630342203299291</v>
      </c>
      <c r="K20" s="44">
        <f t="shared" si="4"/>
        <v>12.191109085153315</v>
      </c>
      <c r="L20" s="44">
        <f t="shared" si="5"/>
        <v>18.30332203200313</v>
      </c>
      <c r="M20" s="44">
        <f t="shared" si="6"/>
        <v>1.4392331181459763</v>
      </c>
      <c r="N20" s="45">
        <f t="shared" si="7"/>
        <v>7.8632344206668883E-2</v>
      </c>
      <c r="P20" s="10">
        <v>44967</v>
      </c>
      <c r="Q20" s="4">
        <v>660.22</v>
      </c>
      <c r="R20" s="2">
        <f t="shared" si="8"/>
        <v>659.75000010630254</v>
      </c>
      <c r="S20" s="2">
        <f t="shared" si="9"/>
        <v>0.50524739363767157</v>
      </c>
      <c r="T20" s="2">
        <f t="shared" si="10"/>
        <v>0.46999989369749073</v>
      </c>
      <c r="U20" s="2">
        <f t="shared" si="11"/>
        <v>0.93023714642760158</v>
      </c>
      <c r="X20" s="51"/>
    </row>
    <row r="21" spans="1:24" x14ac:dyDescent="0.3">
      <c r="A21" s="10">
        <v>44722</v>
      </c>
      <c r="B21" s="11">
        <v>0.18</v>
      </c>
      <c r="C21" s="11">
        <f t="shared" si="0"/>
        <v>4.5719999999999992</v>
      </c>
      <c r="D21" s="9">
        <f t="shared" si="1"/>
        <v>7.0757142857142838</v>
      </c>
      <c r="E21" s="9">
        <f>_xlfn.STDEV.S($C$4:$C132)</f>
        <v>18.475707768038383</v>
      </c>
      <c r="F21" s="9">
        <f t="shared" si="2"/>
        <v>-2.5037142857142847</v>
      </c>
      <c r="G21" s="9">
        <f t="shared" si="3"/>
        <v>-0.1355138497073182</v>
      </c>
      <c r="I21" s="43">
        <v>45352</v>
      </c>
      <c r="J21" s="63">
        <v>9.4355191514021168</v>
      </c>
      <c r="K21" s="44">
        <f t="shared" si="4"/>
        <v>12.191109085153315</v>
      </c>
      <c r="L21" s="44">
        <f t="shared" si="5"/>
        <v>18.30332203200313</v>
      </c>
      <c r="M21" s="44">
        <f t="shared" si="6"/>
        <v>-2.7555899337511978</v>
      </c>
      <c r="N21" s="45">
        <f t="shared" si="7"/>
        <v>-0.15055135504544384</v>
      </c>
      <c r="P21" s="10">
        <v>44995</v>
      </c>
      <c r="Q21" s="4">
        <v>660.94</v>
      </c>
      <c r="R21" s="2">
        <f t="shared" si="8"/>
        <v>659.75000010630254</v>
      </c>
      <c r="S21" s="2">
        <f t="shared" si="9"/>
        <v>0.50524739363767157</v>
      </c>
      <c r="T21" s="2">
        <f t="shared" si="10"/>
        <v>1.189999893697518</v>
      </c>
      <c r="U21" s="2">
        <f t="shared" si="11"/>
        <v>2.3552816079461136</v>
      </c>
      <c r="X21" s="51"/>
    </row>
    <row r="22" spans="1:24" x14ac:dyDescent="0.3">
      <c r="A22" s="10">
        <v>44752</v>
      </c>
      <c r="B22" s="11">
        <v>0.08</v>
      </c>
      <c r="C22" s="11">
        <f t="shared" si="0"/>
        <v>2.032</v>
      </c>
      <c r="D22" s="9">
        <f t="shared" si="1"/>
        <v>7.0757142857142838</v>
      </c>
      <c r="E22" s="9">
        <f>_xlfn.STDEV.S($C$4:$C133)</f>
        <v>18.475707768038383</v>
      </c>
      <c r="F22" s="9">
        <f t="shared" si="2"/>
        <v>-5.0437142857142838</v>
      </c>
      <c r="G22" s="9">
        <f t="shared" si="3"/>
        <v>-0.27299166825097432</v>
      </c>
      <c r="I22" s="43">
        <v>45383</v>
      </c>
      <c r="J22" s="63">
        <v>5.68</v>
      </c>
      <c r="K22" s="44">
        <f t="shared" si="4"/>
        <v>12.191109085153315</v>
      </c>
      <c r="L22" s="44">
        <f t="shared" si="5"/>
        <v>18.30332203200313</v>
      </c>
      <c r="M22" s="44">
        <f t="shared" si="6"/>
        <v>-6.5111090851533149</v>
      </c>
      <c r="N22" s="45">
        <f t="shared" si="7"/>
        <v>-0.35573373367789313</v>
      </c>
      <c r="P22" s="10">
        <v>45026</v>
      </c>
      <c r="Q22" s="4">
        <v>660.91</v>
      </c>
      <c r="R22" s="2">
        <f t="shared" si="8"/>
        <v>659.75000010630254</v>
      </c>
      <c r="S22" s="2">
        <f t="shared" si="9"/>
        <v>0.50524739363767157</v>
      </c>
      <c r="T22" s="2">
        <f t="shared" si="10"/>
        <v>1.1599998936974316</v>
      </c>
      <c r="U22" s="2">
        <f t="shared" si="11"/>
        <v>2.2959047553826735</v>
      </c>
      <c r="X22" s="51"/>
    </row>
    <row r="23" spans="1:24" x14ac:dyDescent="0.3">
      <c r="A23" s="10">
        <v>44783</v>
      </c>
      <c r="B23" s="11">
        <v>0.03</v>
      </c>
      <c r="C23" s="11">
        <f t="shared" si="0"/>
        <v>0.7619999999999999</v>
      </c>
      <c r="D23" s="9">
        <f t="shared" si="1"/>
        <v>7.0757142857142838</v>
      </c>
      <c r="E23" s="9">
        <f>_xlfn.STDEV.S($C$4:$C134)</f>
        <v>18.475707768038383</v>
      </c>
      <c r="F23" s="9">
        <f t="shared" si="2"/>
        <v>-6.3137142857142843</v>
      </c>
      <c r="G23" s="9">
        <f t="shared" si="3"/>
        <v>-0.34173057752280245</v>
      </c>
      <c r="I23" s="43">
        <v>45413</v>
      </c>
      <c r="J23" s="61">
        <v>4.67</v>
      </c>
      <c r="K23" s="44">
        <f t="shared" si="4"/>
        <v>12.191109085153315</v>
      </c>
      <c r="L23" s="44">
        <f t="shared" si="5"/>
        <v>18.30332203200313</v>
      </c>
      <c r="M23" s="44">
        <f t="shared" si="6"/>
        <v>-7.5211090851533147</v>
      </c>
      <c r="N23" s="45">
        <f t="shared" si="7"/>
        <v>-0.41091497335853838</v>
      </c>
      <c r="P23" s="10">
        <v>45056</v>
      </c>
      <c r="Q23" s="4">
        <v>660.73</v>
      </c>
      <c r="R23" s="2">
        <f t="shared" si="8"/>
        <v>659.75000010630254</v>
      </c>
      <c r="S23" s="2">
        <f t="shared" si="9"/>
        <v>0.50524739363767157</v>
      </c>
      <c r="T23" s="2">
        <f t="shared" si="10"/>
        <v>0.97999989369748164</v>
      </c>
      <c r="U23" s="2">
        <f t="shared" si="11"/>
        <v>1.9396436400031578</v>
      </c>
      <c r="X23" s="51"/>
    </row>
    <row r="24" spans="1:24" s="38" customFormat="1" x14ac:dyDescent="0.3">
      <c r="A24" s="36">
        <v>44814</v>
      </c>
      <c r="B24" s="37">
        <v>0.05</v>
      </c>
      <c r="C24" s="37">
        <f t="shared" si="0"/>
        <v>1.27</v>
      </c>
      <c r="D24" s="9">
        <f t="shared" si="1"/>
        <v>7.0757142857142838</v>
      </c>
      <c r="E24" s="9">
        <f>_xlfn.STDEV.S($C$4:$C135)</f>
        <v>18.475707768038383</v>
      </c>
      <c r="F24" s="9">
        <f t="shared" si="2"/>
        <v>-5.8057142857142843</v>
      </c>
      <c r="G24" s="9">
        <f t="shared" si="3"/>
        <v>-0.31423501381407121</v>
      </c>
      <c r="H24" s="18"/>
      <c r="I24" s="60">
        <v>45444</v>
      </c>
      <c r="J24" s="61">
        <v>3.05</v>
      </c>
      <c r="K24" s="44">
        <f t="shared" si="4"/>
        <v>12.191109085153315</v>
      </c>
      <c r="L24" s="44">
        <f t="shared" si="5"/>
        <v>18.30332203200313</v>
      </c>
      <c r="M24" s="61">
        <f t="shared" si="6"/>
        <v>-9.1411090851533139</v>
      </c>
      <c r="N24" s="62">
        <f t="shared" si="7"/>
        <v>-0.49942349641066242</v>
      </c>
      <c r="O24" s="47"/>
      <c r="P24" s="10">
        <v>45087</v>
      </c>
      <c r="Q24" s="4">
        <v>660.65</v>
      </c>
      <c r="R24" s="2">
        <f t="shared" si="8"/>
        <v>659.75000010630254</v>
      </c>
      <c r="S24" s="2">
        <f t="shared" si="9"/>
        <v>0.50524739363767157</v>
      </c>
      <c r="T24" s="2">
        <f t="shared" si="10"/>
        <v>0.89999989369744071</v>
      </c>
      <c r="U24" s="2">
        <f t="shared" si="11"/>
        <v>1.7813053665010261</v>
      </c>
      <c r="V24"/>
      <c r="W24"/>
      <c r="X24" s="51"/>
    </row>
    <row r="25" spans="1:24" x14ac:dyDescent="0.3">
      <c r="A25" s="32">
        <v>44844</v>
      </c>
      <c r="B25" s="33">
        <v>0.03</v>
      </c>
      <c r="C25" s="33">
        <f t="shared" si="0"/>
        <v>0.7619999999999999</v>
      </c>
      <c r="D25" s="9">
        <f t="shared" si="1"/>
        <v>7.0757142857142838</v>
      </c>
      <c r="E25" s="9">
        <f>_xlfn.STDEV.S($C$4:$C136)</f>
        <v>18.475707768038383</v>
      </c>
      <c r="F25" s="9">
        <f t="shared" si="2"/>
        <v>-6.3137142857142843</v>
      </c>
      <c r="G25" s="9">
        <f t="shared" si="3"/>
        <v>-0.34173057752280245</v>
      </c>
      <c r="I25" s="60">
        <v>45474</v>
      </c>
      <c r="J25" s="61">
        <v>2.09</v>
      </c>
      <c r="K25" s="44">
        <f t="shared" si="4"/>
        <v>12.191109085153315</v>
      </c>
      <c r="L25" s="44">
        <f t="shared" si="5"/>
        <v>18.30332203200313</v>
      </c>
      <c r="M25" s="61">
        <f t="shared" ref="M25:M30" si="18">J25-K25</f>
        <v>-10.101109085153315</v>
      </c>
      <c r="N25" s="62">
        <f t="shared" ref="N25" si="19">M25/L25</f>
        <v>-0.5518729915526619</v>
      </c>
      <c r="P25" s="32">
        <v>45117</v>
      </c>
      <c r="Q25" s="34">
        <v>660.34</v>
      </c>
      <c r="R25" s="2">
        <f t="shared" si="8"/>
        <v>659.75000010630254</v>
      </c>
      <c r="S25" s="2">
        <f t="shared" si="9"/>
        <v>0.50524739363767157</v>
      </c>
      <c r="T25" s="2">
        <f t="shared" si="10"/>
        <v>0.58999989369749528</v>
      </c>
      <c r="U25" s="2">
        <f t="shared" si="11"/>
        <v>1.1677445566806868</v>
      </c>
    </row>
    <row r="26" spans="1:24" x14ac:dyDescent="0.3">
      <c r="A26" s="10">
        <v>44875</v>
      </c>
      <c r="B26" s="11">
        <v>0.2</v>
      </c>
      <c r="C26" s="11">
        <f t="shared" si="0"/>
        <v>5.08</v>
      </c>
      <c r="D26" s="9">
        <f t="shared" si="1"/>
        <v>7.0757142857142838</v>
      </c>
      <c r="E26" s="9">
        <f>_xlfn.STDEV.S($C$4:$C137)</f>
        <v>18.475707768038383</v>
      </c>
      <c r="F26" s="9">
        <f t="shared" si="2"/>
        <v>-1.9957142857142838</v>
      </c>
      <c r="G26" s="9">
        <f t="shared" si="3"/>
        <v>-0.1080182859985869</v>
      </c>
      <c r="I26" s="60">
        <v>45505</v>
      </c>
      <c r="J26" s="61">
        <v>1.73</v>
      </c>
      <c r="K26" s="44">
        <f t="shared" si="4"/>
        <v>12.191109085153315</v>
      </c>
      <c r="L26" s="44">
        <f t="shared" si="5"/>
        <v>18.30332203200313</v>
      </c>
      <c r="M26" s="61">
        <f t="shared" si="18"/>
        <v>-10.461109085153314</v>
      </c>
      <c r="N26" s="62">
        <f t="shared" ref="N26:N31" si="20">M26/L26</f>
        <v>-0.57154155223091174</v>
      </c>
      <c r="P26" s="10">
        <v>45148</v>
      </c>
      <c r="Q26" s="4">
        <v>660.13</v>
      </c>
      <c r="R26" s="2">
        <f t="shared" si="8"/>
        <v>659.75000010630254</v>
      </c>
      <c r="S26" s="2">
        <f t="shared" si="9"/>
        <v>0.50524739363767157</v>
      </c>
      <c r="T26" s="2">
        <f t="shared" si="10"/>
        <v>0.3799998936974589</v>
      </c>
      <c r="U26" s="2">
        <f t="shared" si="11"/>
        <v>0.75210658873773129</v>
      </c>
    </row>
    <row r="27" spans="1:24" x14ac:dyDescent="0.3">
      <c r="A27" s="10">
        <v>44905</v>
      </c>
      <c r="B27" s="11">
        <v>0.48</v>
      </c>
      <c r="C27" s="11">
        <f t="shared" si="0"/>
        <v>12.191999999999998</v>
      </c>
      <c r="D27" s="9">
        <f t="shared" si="1"/>
        <v>7.0757142857142838</v>
      </c>
      <c r="E27" s="9">
        <f>_xlfn.STDEV.S($C$4:$C138)</f>
        <v>18.475707768038383</v>
      </c>
      <c r="F27" s="9">
        <f t="shared" si="2"/>
        <v>5.1162857142857145</v>
      </c>
      <c r="G27" s="9">
        <f t="shared" si="3"/>
        <v>0.27691960592365034</v>
      </c>
      <c r="I27" s="60">
        <v>45536</v>
      </c>
      <c r="J27" s="61">
        <v>1.4159999999999999</v>
      </c>
      <c r="K27" s="44">
        <f t="shared" si="4"/>
        <v>12.191109085153315</v>
      </c>
      <c r="L27" s="44">
        <f t="shared" si="5"/>
        <v>18.30332203200313</v>
      </c>
      <c r="M27" s="61">
        <f t="shared" si="18"/>
        <v>-10.775109085153314</v>
      </c>
      <c r="N27" s="62">
        <f t="shared" si="20"/>
        <v>-0.58869690793360741</v>
      </c>
      <c r="P27" s="10">
        <v>45179</v>
      </c>
      <c r="Q27" s="4">
        <v>659.98</v>
      </c>
      <c r="R27" s="2">
        <f t="shared" si="8"/>
        <v>659.75000010630254</v>
      </c>
      <c r="S27" s="2">
        <f t="shared" si="9"/>
        <v>0.50524739363767157</v>
      </c>
      <c r="T27" s="2">
        <f t="shared" si="10"/>
        <v>0.22999989369748164</v>
      </c>
      <c r="U27" s="2">
        <f t="shared" si="11"/>
        <v>0.45522232592143091</v>
      </c>
    </row>
    <row r="28" spans="1:24" x14ac:dyDescent="0.3">
      <c r="A28" s="10">
        <v>44936</v>
      </c>
      <c r="B28" s="11">
        <v>0.22</v>
      </c>
      <c r="C28" s="11">
        <f>AVERAGE(C27,C29)</f>
        <v>12.7</v>
      </c>
      <c r="D28" s="9">
        <f t="shared" si="1"/>
        <v>7.0757142857142838</v>
      </c>
      <c r="E28" s="9">
        <f>_xlfn.STDEV.S($C$4:$C139)</f>
        <v>18.475707768038383</v>
      </c>
      <c r="F28" s="9">
        <f t="shared" si="2"/>
        <v>5.6242857142857154</v>
      </c>
      <c r="G28" s="9">
        <f t="shared" si="3"/>
        <v>0.30441516963238163</v>
      </c>
      <c r="I28" s="60">
        <v>45566</v>
      </c>
      <c r="J28" s="61">
        <v>1.165516</v>
      </c>
      <c r="K28" s="44">
        <f t="shared" si="4"/>
        <v>12.191109085153315</v>
      </c>
      <c r="L28" s="44">
        <f t="shared" si="5"/>
        <v>18.30332203200313</v>
      </c>
      <c r="M28" s="61">
        <f t="shared" si="18"/>
        <v>-11.025593085153314</v>
      </c>
      <c r="N28" s="62">
        <f t="shared" si="20"/>
        <v>-0.60238207391397047</v>
      </c>
      <c r="O28" s="59" t="s">
        <v>29</v>
      </c>
      <c r="P28" s="10">
        <v>45209</v>
      </c>
      <c r="Q28" s="4">
        <v>659.82</v>
      </c>
      <c r="R28" s="2">
        <f t="shared" si="8"/>
        <v>659.75000010630254</v>
      </c>
      <c r="S28" s="2">
        <f t="shared" si="9"/>
        <v>0.50524739363767157</v>
      </c>
      <c r="T28" s="2">
        <f t="shared" si="10"/>
        <v>6.9999893697513471E-2</v>
      </c>
      <c r="U28" s="2">
        <f t="shared" si="11"/>
        <v>0.1385457789173922</v>
      </c>
    </row>
    <row r="29" spans="1:24" x14ac:dyDescent="0.3">
      <c r="A29" s="10">
        <v>44967</v>
      </c>
      <c r="B29" s="11">
        <v>0.52</v>
      </c>
      <c r="C29" s="11">
        <f t="shared" si="0"/>
        <v>13.208</v>
      </c>
      <c r="D29" s="9">
        <f t="shared" si="1"/>
        <v>7.0757142857142838</v>
      </c>
      <c r="E29" s="9">
        <f>_xlfn.STDEV.S($C$4:$C140)</f>
        <v>18.475707768038383</v>
      </c>
      <c r="F29" s="9">
        <f t="shared" si="2"/>
        <v>6.1322857142857163</v>
      </c>
      <c r="G29" s="9">
        <f t="shared" si="3"/>
        <v>0.33191073334111293</v>
      </c>
      <c r="I29" s="60">
        <v>45597</v>
      </c>
      <c r="J29" s="61">
        <v>1.05</v>
      </c>
      <c r="K29" s="44">
        <f t="shared" si="4"/>
        <v>12.191109085153315</v>
      </c>
      <c r="L29" s="44">
        <f t="shared" si="5"/>
        <v>18.30332203200313</v>
      </c>
      <c r="M29" s="61">
        <f t="shared" si="18"/>
        <v>-11.141109085153314</v>
      </c>
      <c r="N29" s="62">
        <f t="shared" si="20"/>
        <v>-0.60869327795649464</v>
      </c>
      <c r="P29" s="10">
        <v>45240</v>
      </c>
      <c r="Q29" s="4">
        <v>659.67</v>
      </c>
      <c r="R29" s="2">
        <f t="shared" si="8"/>
        <v>659.75000010630254</v>
      </c>
      <c r="S29" s="2">
        <f t="shared" si="9"/>
        <v>0.50524739363767157</v>
      </c>
      <c r="T29" s="2">
        <f t="shared" si="10"/>
        <v>-8.0000106302577478E-2</v>
      </c>
      <c r="U29" s="2">
        <f t="shared" si="11"/>
        <v>-0.15833848389913321</v>
      </c>
    </row>
    <row r="30" spans="1:24" x14ac:dyDescent="0.3">
      <c r="A30" s="10">
        <v>44995</v>
      </c>
      <c r="B30" s="11">
        <v>0.16</v>
      </c>
      <c r="C30" s="11">
        <f t="shared" si="0"/>
        <v>4.0640000000000001</v>
      </c>
      <c r="D30" s="9">
        <f t="shared" si="1"/>
        <v>7.0757142857142838</v>
      </c>
      <c r="E30" s="9">
        <f>_xlfn.STDEV.S($C$4:$C141)</f>
        <v>18.475707768038383</v>
      </c>
      <c r="F30" s="9">
        <f t="shared" si="2"/>
        <v>-3.0117142857142838</v>
      </c>
      <c r="G30" s="9">
        <f t="shared" si="3"/>
        <v>-0.16300941341604938</v>
      </c>
      <c r="I30" s="60">
        <v>45627</v>
      </c>
      <c r="J30" s="61">
        <v>1.2566999999999999</v>
      </c>
      <c r="K30" s="44">
        <f t="shared" si="4"/>
        <v>12.191109085153315</v>
      </c>
      <c r="L30" s="44">
        <f t="shared" si="5"/>
        <v>18.30332203200313</v>
      </c>
      <c r="M30" s="61">
        <f t="shared" si="18"/>
        <v>-10.934409085153314</v>
      </c>
      <c r="N30" s="62">
        <f t="shared" si="20"/>
        <v>-0.59740024603373287</v>
      </c>
      <c r="P30" s="10">
        <v>45270</v>
      </c>
      <c r="Q30" s="4">
        <v>659.72</v>
      </c>
      <c r="R30" s="2">
        <f t="shared" si="8"/>
        <v>659.75000010630254</v>
      </c>
      <c r="S30" s="2">
        <f t="shared" si="9"/>
        <v>0.50524739363767157</v>
      </c>
      <c r="T30" s="2">
        <f t="shared" si="10"/>
        <v>-3.0000106302509266E-2</v>
      </c>
      <c r="U30" s="2">
        <f t="shared" si="11"/>
        <v>-5.9377062960216408E-2</v>
      </c>
    </row>
    <row r="31" spans="1:24" x14ac:dyDescent="0.3">
      <c r="A31" s="10">
        <v>45026</v>
      </c>
      <c r="B31" s="11">
        <v>0.13</v>
      </c>
      <c r="C31" s="11">
        <f t="shared" si="0"/>
        <v>3.302</v>
      </c>
      <c r="D31" s="9">
        <f t="shared" si="1"/>
        <v>7.0757142857142838</v>
      </c>
      <c r="E31" s="9">
        <f>_xlfn.STDEV.S($C$4:$C142)</f>
        <v>18.475707768038383</v>
      </c>
      <c r="F31" s="9">
        <f t="shared" si="2"/>
        <v>-3.7737142857142838</v>
      </c>
      <c r="G31" s="9">
        <f t="shared" si="3"/>
        <v>-0.20425275897914624</v>
      </c>
      <c r="I31" s="60">
        <v>45658</v>
      </c>
      <c r="J31" s="61">
        <v>4.899</v>
      </c>
      <c r="K31" s="44">
        <f t="shared" si="4"/>
        <v>12.191109085153315</v>
      </c>
      <c r="L31" s="44">
        <f t="shared" si="5"/>
        <v>18.30332203200313</v>
      </c>
      <c r="M31" s="61">
        <f t="shared" ref="M31" si="21">J31-K31</f>
        <v>-7.2921090851533146</v>
      </c>
      <c r="N31" s="62">
        <f t="shared" si="20"/>
        <v>-0.39840358337154058</v>
      </c>
      <c r="P31" s="10">
        <v>45301</v>
      </c>
      <c r="Q31" s="4">
        <v>659.9</v>
      </c>
      <c r="R31" s="2">
        <f t="shared" si="8"/>
        <v>659.75000010630254</v>
      </c>
      <c r="S31" s="2">
        <f t="shared" si="9"/>
        <v>0.50524739363767157</v>
      </c>
      <c r="T31" s="2">
        <f t="shared" si="10"/>
        <v>0.14999989369744071</v>
      </c>
      <c r="U31" s="2">
        <f t="shared" si="11"/>
        <v>0.29688405241929905</v>
      </c>
    </row>
    <row r="32" spans="1:24" x14ac:dyDescent="0.3">
      <c r="A32" s="10">
        <v>45056</v>
      </c>
      <c r="B32" s="11">
        <v>0.32</v>
      </c>
      <c r="C32" s="11">
        <f t="shared" si="0"/>
        <v>8.1280000000000001</v>
      </c>
      <c r="D32" s="9">
        <f t="shared" si="1"/>
        <v>7.0757142857142838</v>
      </c>
      <c r="E32" s="9">
        <f>_xlfn.STDEV.S($C$4:$C143)</f>
        <v>18.475707768038383</v>
      </c>
      <c r="F32" s="9">
        <f t="shared" si="2"/>
        <v>1.0522857142857163</v>
      </c>
      <c r="G32" s="9">
        <f t="shared" si="3"/>
        <v>5.6955096253800533E-2</v>
      </c>
      <c r="I32" s="60">
        <v>45689</v>
      </c>
      <c r="J32" s="61">
        <v>5.13</v>
      </c>
      <c r="K32" s="44">
        <f t="shared" si="4"/>
        <v>12.191109085153315</v>
      </c>
      <c r="L32" s="44">
        <f t="shared" si="5"/>
        <v>18.30332203200313</v>
      </c>
      <c r="M32" s="61">
        <f t="shared" ref="M32:M33" si="22">J32-K32</f>
        <v>-7.0611090851533147</v>
      </c>
      <c r="N32" s="62">
        <f t="shared" ref="N32:N33" si="23">M32/L32</f>
        <v>-0.38578292360299693</v>
      </c>
      <c r="P32" s="10">
        <v>45332</v>
      </c>
      <c r="Q32" s="4">
        <v>660.09</v>
      </c>
      <c r="R32" s="2">
        <f t="shared" si="8"/>
        <v>659.75000010630254</v>
      </c>
      <c r="S32" s="2">
        <f t="shared" si="9"/>
        <v>0.50524739363767157</v>
      </c>
      <c r="T32" s="2">
        <f t="shared" si="10"/>
        <v>0.33999989369749528</v>
      </c>
      <c r="U32" s="2">
        <f t="shared" si="11"/>
        <v>0.6729374519867779</v>
      </c>
    </row>
    <row r="33" spans="1:21" x14ac:dyDescent="0.3">
      <c r="A33" s="10">
        <v>45087</v>
      </c>
      <c r="B33" s="11">
        <v>0.13</v>
      </c>
      <c r="C33" s="11">
        <f t="shared" si="0"/>
        <v>3.302</v>
      </c>
      <c r="D33" s="9">
        <f t="shared" si="1"/>
        <v>7.0757142857142838</v>
      </c>
      <c r="E33" s="9">
        <f>_xlfn.STDEV.S($C$4:$C144)</f>
        <v>18.475707768038383</v>
      </c>
      <c r="F33" s="9">
        <f t="shared" si="2"/>
        <v>-3.7737142857142838</v>
      </c>
      <c r="G33" s="9">
        <f t="shared" si="3"/>
        <v>-0.20425275897914624</v>
      </c>
      <c r="I33" s="60">
        <v>45717</v>
      </c>
      <c r="J33" s="61">
        <v>5.94</v>
      </c>
      <c r="K33" s="44">
        <f t="shared" si="4"/>
        <v>12.191109085153315</v>
      </c>
      <c r="L33" s="44">
        <f t="shared" si="5"/>
        <v>18.30332203200313</v>
      </c>
      <c r="M33" s="61">
        <f t="shared" si="22"/>
        <v>-6.2511090851533142</v>
      </c>
      <c r="N33" s="62">
        <f t="shared" si="23"/>
        <v>-0.34152866207693489</v>
      </c>
      <c r="P33" s="10">
        <v>45361</v>
      </c>
      <c r="Q33" s="4">
        <v>659.96</v>
      </c>
      <c r="R33" s="2">
        <f t="shared" si="8"/>
        <v>659.75000010630254</v>
      </c>
      <c r="S33" s="2">
        <f t="shared" si="9"/>
        <v>0.50524739363767157</v>
      </c>
      <c r="T33" s="2">
        <f t="shared" si="10"/>
        <v>0.20999989369749983</v>
      </c>
      <c r="U33" s="2">
        <f t="shared" si="11"/>
        <v>0.41563775754595422</v>
      </c>
    </row>
    <row r="34" spans="1:21" x14ac:dyDescent="0.3">
      <c r="A34" s="10">
        <v>45117</v>
      </c>
      <c r="B34" s="11">
        <v>0.14000000000000001</v>
      </c>
      <c r="C34" s="11">
        <f t="shared" si="0"/>
        <v>3.556</v>
      </c>
      <c r="D34" s="9">
        <f t="shared" si="1"/>
        <v>7.0757142857142838</v>
      </c>
      <c r="E34" s="9">
        <f>_xlfn.STDEV.S($C$4:$C145)</f>
        <v>18.475707768038383</v>
      </c>
      <c r="F34" s="9">
        <f t="shared" si="2"/>
        <v>-3.5197142857142838</v>
      </c>
      <c r="G34" s="9">
        <f t="shared" si="3"/>
        <v>-0.19050497712478062</v>
      </c>
      <c r="I34" s="60">
        <v>45748</v>
      </c>
      <c r="J34" s="61">
        <v>6.54</v>
      </c>
      <c r="K34" s="44">
        <f t="shared" si="4"/>
        <v>12.191109085153315</v>
      </c>
      <c r="L34" s="44">
        <f t="shared" si="5"/>
        <v>18.30332203200313</v>
      </c>
      <c r="M34" s="61">
        <f t="shared" ref="M34" si="24">J34-K34</f>
        <v>-5.6511090851533146</v>
      </c>
      <c r="N34" s="62">
        <f t="shared" ref="N34" si="25">M34/L34</f>
        <v>-0.30874772761318525</v>
      </c>
      <c r="P34" s="10">
        <v>45392</v>
      </c>
      <c r="Q34" s="4">
        <v>659.94</v>
      </c>
      <c r="R34" s="2">
        <f t="shared" si="8"/>
        <v>659.75000010630254</v>
      </c>
      <c r="S34" s="2">
        <f t="shared" si="9"/>
        <v>0.50524739363767157</v>
      </c>
      <c r="T34" s="2">
        <f t="shared" si="10"/>
        <v>0.18999989369751802</v>
      </c>
      <c r="U34" s="2">
        <f t="shared" si="11"/>
        <v>0.37605318917047748</v>
      </c>
    </row>
    <row r="35" spans="1:21" x14ac:dyDescent="0.3">
      <c r="A35" s="10">
        <v>45148</v>
      </c>
      <c r="B35" s="11">
        <v>7.0000000000000007E-2</v>
      </c>
      <c r="C35" s="11">
        <f t="shared" si="0"/>
        <v>1.778</v>
      </c>
      <c r="D35" s="9">
        <f t="shared" si="1"/>
        <v>7.0757142857142838</v>
      </c>
      <c r="E35" s="9">
        <f>_xlfn.STDEV.S($C$4:$C146)</f>
        <v>18.475707768038383</v>
      </c>
      <c r="F35" s="9">
        <f t="shared" si="2"/>
        <v>-5.2977142857142834</v>
      </c>
      <c r="G35" s="9">
        <f t="shared" si="3"/>
        <v>-0.28673945010533991</v>
      </c>
      <c r="I35" s="60">
        <v>45778</v>
      </c>
      <c r="J35" s="61">
        <v>6.74</v>
      </c>
      <c r="K35" s="44">
        <f t="shared" si="4"/>
        <v>12.191109085153315</v>
      </c>
      <c r="L35" s="44">
        <f t="shared" si="5"/>
        <v>18.30332203200313</v>
      </c>
      <c r="M35" s="61">
        <f t="shared" ref="M35" si="26">J35-K35</f>
        <v>-5.4511090851533144</v>
      </c>
      <c r="N35" s="62">
        <f t="shared" ref="N35" si="27">M35/L35</f>
        <v>-0.29782074945860199</v>
      </c>
      <c r="P35" s="10">
        <v>45422</v>
      </c>
      <c r="Q35" s="4">
        <v>659.83</v>
      </c>
      <c r="R35" s="2">
        <f t="shared" si="8"/>
        <v>659.75000010630254</v>
      </c>
      <c r="S35" s="2">
        <f t="shared" si="9"/>
        <v>0.50524739363767157</v>
      </c>
      <c r="T35" s="2">
        <f t="shared" si="10"/>
        <v>7.9999893697504376E-2</v>
      </c>
      <c r="U35" s="2">
        <f t="shared" si="11"/>
        <v>0.15833806310513054</v>
      </c>
    </row>
    <row r="36" spans="1:21" x14ac:dyDescent="0.3">
      <c r="A36" s="10">
        <v>45179</v>
      </c>
      <c r="B36" s="11">
        <v>7.0000000000000007E-2</v>
      </c>
      <c r="C36" s="11">
        <f t="shared" si="0"/>
        <v>1.778</v>
      </c>
      <c r="D36" s="9">
        <f t="shared" si="1"/>
        <v>7.0757142857142838</v>
      </c>
      <c r="E36" s="9">
        <f>_xlfn.STDEV.S($C$4:$C147)</f>
        <v>18.475707768038383</v>
      </c>
      <c r="F36" s="9">
        <f t="shared" si="2"/>
        <v>-5.2977142857142834</v>
      </c>
      <c r="G36" s="9">
        <f t="shared" si="3"/>
        <v>-0.28673945010533991</v>
      </c>
      <c r="I36" s="60">
        <v>45809</v>
      </c>
      <c r="J36" s="102">
        <v>4.4740000000000002</v>
      </c>
      <c r="K36" s="103">
        <f t="shared" ref="K36:K46" si="28">AVERAGE($J$4:$J$370)</f>
        <v>12.191109085153315</v>
      </c>
      <c r="L36" s="103">
        <f t="shared" ref="L36:L46" si="29">_xlfn.STDEV.S($J$4:$J$320)</f>
        <v>18.30332203200313</v>
      </c>
      <c r="M36" s="102">
        <f t="shared" ref="M36:M41" si="30">J36-K36</f>
        <v>-7.7171090851533144</v>
      </c>
      <c r="N36" s="104">
        <f t="shared" ref="N36:N41" si="31">M36/L36</f>
        <v>-0.42162341195002989</v>
      </c>
      <c r="P36" s="10">
        <v>45454</v>
      </c>
      <c r="Q36" s="4">
        <v>659.78</v>
      </c>
      <c r="R36" s="2">
        <f t="shared" si="8"/>
        <v>659.75000010630254</v>
      </c>
      <c r="S36" s="2">
        <f t="shared" si="9"/>
        <v>0.50524739363767157</v>
      </c>
      <c r="T36" s="2">
        <f t="shared" si="10"/>
        <v>2.9999893697436164E-2</v>
      </c>
      <c r="U36" s="2">
        <f t="shared" si="11"/>
        <v>5.9376642166213744E-2</v>
      </c>
    </row>
    <row r="37" spans="1:21" x14ac:dyDescent="0.3">
      <c r="A37" s="10">
        <v>45209</v>
      </c>
      <c r="B37" s="11">
        <v>0.02</v>
      </c>
      <c r="C37" s="11">
        <f>B37*$H$4</f>
        <v>0.50800000000000001</v>
      </c>
      <c r="D37" s="9">
        <f t="shared" si="1"/>
        <v>7.0757142857142838</v>
      </c>
      <c r="E37" s="9">
        <f>_xlfn.STDEV.S($C$4:$C148)</f>
        <v>18.475707768038383</v>
      </c>
      <c r="F37" s="9">
        <f t="shared" si="2"/>
        <v>-6.5677142857142838</v>
      </c>
      <c r="G37" s="9">
        <f t="shared" si="3"/>
        <v>-0.35547835937716804</v>
      </c>
      <c r="I37" s="60">
        <v>45839</v>
      </c>
      <c r="J37" s="102">
        <v>2.73</v>
      </c>
      <c r="K37" s="103">
        <f t="shared" si="28"/>
        <v>12.191109085153315</v>
      </c>
      <c r="L37" s="103">
        <f t="shared" si="29"/>
        <v>18.30332203200313</v>
      </c>
      <c r="M37" s="102">
        <f t="shared" si="30"/>
        <v>-9.4611090851533142</v>
      </c>
      <c r="N37" s="104">
        <f t="shared" si="31"/>
        <v>-0.51690666145799558</v>
      </c>
      <c r="P37" s="10">
        <v>45485</v>
      </c>
      <c r="Q37" s="79">
        <v>659.56</v>
      </c>
      <c r="R37" s="2">
        <f t="shared" si="8"/>
        <v>659.75000010630254</v>
      </c>
      <c r="S37" s="2">
        <f t="shared" si="9"/>
        <v>0.50524739363767157</v>
      </c>
      <c r="T37" s="2">
        <f t="shared" si="10"/>
        <v>-0.19000010630259112</v>
      </c>
      <c r="U37" s="2">
        <f t="shared" si="11"/>
        <v>-0.37605360996448017</v>
      </c>
    </row>
    <row r="38" spans="1:21" x14ac:dyDescent="0.3">
      <c r="A38" s="10">
        <v>45240</v>
      </c>
      <c r="B38" s="11">
        <v>0.11</v>
      </c>
      <c r="C38" s="11">
        <f t="shared" si="0"/>
        <v>2.794</v>
      </c>
      <c r="D38" s="9">
        <f t="shared" si="1"/>
        <v>7.0757142857142838</v>
      </c>
      <c r="E38" s="9">
        <f>_xlfn.STDEV.S($C$4:$C149)</f>
        <v>18.475707768038383</v>
      </c>
      <c r="F38" s="9">
        <f t="shared" si="2"/>
        <v>-4.2817142857142834</v>
      </c>
      <c r="G38" s="9">
        <f t="shared" si="3"/>
        <v>-0.23174832268787746</v>
      </c>
      <c r="I38" s="60">
        <v>45870</v>
      </c>
      <c r="J38" s="102">
        <v>2.21</v>
      </c>
      <c r="K38" s="103">
        <f t="shared" si="28"/>
        <v>12.191109085153315</v>
      </c>
      <c r="L38" s="103">
        <f t="shared" si="29"/>
        <v>18.30332203200313</v>
      </c>
      <c r="M38" s="102">
        <f t="shared" si="30"/>
        <v>-9.9811090851533137</v>
      </c>
      <c r="N38" s="104">
        <f t="shared" si="31"/>
        <v>-0.54531680465991195</v>
      </c>
      <c r="P38" s="78">
        <v>45517</v>
      </c>
      <c r="Q38" s="100">
        <v>659.4764705882352</v>
      </c>
      <c r="R38" s="2">
        <f t="shared" si="8"/>
        <v>659.75000010630254</v>
      </c>
      <c r="S38" s="2">
        <f t="shared" si="9"/>
        <v>0.50524739363767157</v>
      </c>
      <c r="T38" s="2">
        <f t="shared" si="10"/>
        <v>-0.27352951806733472</v>
      </c>
      <c r="U38" s="2">
        <f t="shared" si="11"/>
        <v>-0.54137739553287267</v>
      </c>
    </row>
    <row r="39" spans="1:21" x14ac:dyDescent="0.3">
      <c r="A39" s="10">
        <v>45270</v>
      </c>
      <c r="B39" s="11">
        <v>0.67</v>
      </c>
      <c r="C39" s="11">
        <f t="shared" si="0"/>
        <v>17.018000000000001</v>
      </c>
      <c r="D39" s="9">
        <f t="shared" si="1"/>
        <v>7.0757142857142838</v>
      </c>
      <c r="E39" s="9">
        <f>_xlfn.STDEV.S($C$4:$C150)</f>
        <v>18.475707768038383</v>
      </c>
      <c r="F39" s="9">
        <f t="shared" si="2"/>
        <v>9.9422857142857168</v>
      </c>
      <c r="G39" s="9">
        <f t="shared" si="3"/>
        <v>0.53812746115659726</v>
      </c>
      <c r="I39" s="60">
        <v>45901</v>
      </c>
      <c r="J39" s="102">
        <v>1.92</v>
      </c>
      <c r="K39" s="103">
        <f t="shared" si="28"/>
        <v>12.191109085153315</v>
      </c>
      <c r="L39" s="103">
        <f t="shared" si="29"/>
        <v>18.30332203200313</v>
      </c>
      <c r="M39" s="102">
        <f t="shared" si="30"/>
        <v>-10.271109085153315</v>
      </c>
      <c r="N39" s="104">
        <f t="shared" si="31"/>
        <v>-0.56116092298405762</v>
      </c>
      <c r="P39" s="78">
        <v>45549</v>
      </c>
      <c r="Q39" s="94">
        <v>659.29294117647055</v>
      </c>
      <c r="R39" s="2">
        <f t="shared" si="8"/>
        <v>659.75000010630254</v>
      </c>
      <c r="S39" s="2">
        <f t="shared" si="9"/>
        <v>0.50524739363767157</v>
      </c>
      <c r="T39" s="2">
        <f t="shared" si="10"/>
        <v>-0.45705892983198737</v>
      </c>
      <c r="U39" s="2">
        <f t="shared" si="11"/>
        <v>-0.90462402297864875</v>
      </c>
    </row>
    <row r="40" spans="1:21" x14ac:dyDescent="0.3">
      <c r="A40" s="10">
        <v>45301</v>
      </c>
      <c r="B40" s="11">
        <v>0.2</v>
      </c>
      <c r="C40" s="11">
        <f t="shared" si="0"/>
        <v>5.08</v>
      </c>
      <c r="D40" s="9">
        <f t="shared" si="1"/>
        <v>7.0757142857142838</v>
      </c>
      <c r="E40" s="9">
        <f>_xlfn.STDEV.S($C$4:$C151)</f>
        <v>18.475707768038383</v>
      </c>
      <c r="F40" s="9">
        <f t="shared" si="2"/>
        <v>-1.9957142857142838</v>
      </c>
      <c r="G40" s="9">
        <f t="shared" si="3"/>
        <v>-0.1080182859985869</v>
      </c>
      <c r="I40" s="60">
        <v>45931</v>
      </c>
      <c r="J40" s="102">
        <v>1.55</v>
      </c>
      <c r="K40" s="103">
        <f t="shared" si="28"/>
        <v>12.191109085153315</v>
      </c>
      <c r="L40" s="103">
        <f t="shared" si="29"/>
        <v>18.30332203200313</v>
      </c>
      <c r="M40" s="102">
        <f t="shared" si="30"/>
        <v>-10.641109085153314</v>
      </c>
      <c r="N40" s="104">
        <f t="shared" si="31"/>
        <v>-0.58137583257003655</v>
      </c>
      <c r="O40" s="59" t="s">
        <v>29</v>
      </c>
      <c r="P40" s="78">
        <v>45566</v>
      </c>
      <c r="Q40" s="94">
        <v>659.48647058823531</v>
      </c>
      <c r="R40" s="2">
        <f t="shared" si="8"/>
        <v>659.75000010630254</v>
      </c>
      <c r="S40" s="2">
        <f t="shared" si="9"/>
        <v>0.50524739363767157</v>
      </c>
      <c r="T40" s="2">
        <f t="shared" si="10"/>
        <v>-0.26352951806723013</v>
      </c>
      <c r="U40" s="2">
        <f t="shared" si="11"/>
        <v>-0.52158511134490926</v>
      </c>
    </row>
    <row r="41" spans="1:21" x14ac:dyDescent="0.3">
      <c r="A41" s="10">
        <v>45332</v>
      </c>
      <c r="B41" s="11">
        <v>0.13</v>
      </c>
      <c r="C41" s="11">
        <f t="shared" si="0"/>
        <v>3.302</v>
      </c>
      <c r="D41" s="9">
        <f t="shared" si="1"/>
        <v>7.0757142857142838</v>
      </c>
      <c r="E41" s="9">
        <f>_xlfn.STDEV.S($C$4:$C152)</f>
        <v>18.475707768038383</v>
      </c>
      <c r="F41" s="9">
        <f t="shared" si="2"/>
        <v>-3.7737142857142838</v>
      </c>
      <c r="G41" s="9">
        <f t="shared" si="3"/>
        <v>-0.20425275897914624</v>
      </c>
      <c r="I41" s="60">
        <v>45962</v>
      </c>
      <c r="J41" s="102">
        <v>2.4700000000000002</v>
      </c>
      <c r="K41" s="103">
        <f t="shared" si="28"/>
        <v>12.191109085153315</v>
      </c>
      <c r="L41" s="103">
        <f t="shared" si="29"/>
        <v>18.30332203200313</v>
      </c>
      <c r="M41" s="102">
        <f t="shared" si="30"/>
        <v>-9.721109085153314</v>
      </c>
      <c r="N41" s="104">
        <f t="shared" si="31"/>
        <v>-0.53111173305895376</v>
      </c>
      <c r="P41" s="78">
        <v>45608</v>
      </c>
      <c r="Q41" s="93">
        <v>659.52</v>
      </c>
      <c r="R41" s="2">
        <f t="shared" si="8"/>
        <v>659.75000010630254</v>
      </c>
      <c r="S41" s="2">
        <f t="shared" si="9"/>
        <v>0.50524739363767157</v>
      </c>
      <c r="T41" s="2">
        <f>Q41-R41</f>
        <v>-0.23000010630255474</v>
      </c>
      <c r="U41" s="2">
        <f t="shared" si="11"/>
        <v>-0.45522274671543361</v>
      </c>
    </row>
    <row r="42" spans="1:21" x14ac:dyDescent="0.3">
      <c r="A42" s="10">
        <v>45361</v>
      </c>
      <c r="B42" s="11">
        <v>0.21</v>
      </c>
      <c r="C42" s="11">
        <f t="shared" si="0"/>
        <v>5.3339999999999996</v>
      </c>
      <c r="D42" s="9">
        <f t="shared" si="1"/>
        <v>7.0757142857142838</v>
      </c>
      <c r="E42" s="9">
        <f>_xlfn.STDEV.S($C$4:$C153)</f>
        <v>18.475707768038383</v>
      </c>
      <c r="F42" s="9">
        <f t="shared" si="2"/>
        <v>-1.7417142857142842</v>
      </c>
      <c r="G42" s="9">
        <f t="shared" si="3"/>
        <v>-9.4270504144221307E-2</v>
      </c>
      <c r="I42" s="60">
        <v>45992</v>
      </c>
      <c r="J42" s="102">
        <v>9.2883800000000001</v>
      </c>
      <c r="K42" s="103">
        <f t="shared" si="28"/>
        <v>12.191109085153315</v>
      </c>
      <c r="L42" s="103">
        <f t="shared" si="29"/>
        <v>18.30332203200313</v>
      </c>
      <c r="M42" s="102">
        <f t="shared" ref="M42" si="32">J42-K42</f>
        <v>-2.9027290851533145</v>
      </c>
      <c r="N42" s="104">
        <f t="shared" ref="N42" si="33">M42/L42</f>
        <v>-0.15859028651071805</v>
      </c>
      <c r="P42" s="78">
        <v>45639</v>
      </c>
      <c r="Q42" s="95">
        <v>659.48</v>
      </c>
      <c r="R42" s="2">
        <f t="shared" si="8"/>
        <v>659.75000010630254</v>
      </c>
      <c r="S42" s="2">
        <f t="shared" si="9"/>
        <v>0.50524739363767157</v>
      </c>
      <c r="T42" s="2">
        <f t="shared" si="10"/>
        <v>-0.27000010630251836</v>
      </c>
      <c r="U42" s="2">
        <f t="shared" si="11"/>
        <v>-0.534391883466387</v>
      </c>
    </row>
    <row r="43" spans="1:21" x14ac:dyDescent="0.3">
      <c r="A43" s="10">
        <v>45392</v>
      </c>
      <c r="B43" s="11">
        <v>0.19</v>
      </c>
      <c r="C43" s="11">
        <f t="shared" si="0"/>
        <v>4.8259999999999996</v>
      </c>
      <c r="D43" s="9">
        <f t="shared" si="1"/>
        <v>7.0757142857142838</v>
      </c>
      <c r="E43" s="9">
        <f>_xlfn.STDEV.S($C$4:$C154)</f>
        <v>18.475707768038383</v>
      </c>
      <c r="F43" s="9">
        <f t="shared" si="2"/>
        <v>-2.2497142857142842</v>
      </c>
      <c r="G43" s="9">
        <f t="shared" si="3"/>
        <v>-0.12176606785295255</v>
      </c>
      <c r="I43" s="60">
        <v>46023</v>
      </c>
      <c r="J43" s="102">
        <v>33.817799999999998</v>
      </c>
      <c r="K43" s="103">
        <f t="shared" si="28"/>
        <v>12.191109085153315</v>
      </c>
      <c r="L43" s="103">
        <f t="shared" si="29"/>
        <v>18.30332203200313</v>
      </c>
      <c r="M43" s="102">
        <f t="shared" ref="M43" si="34">J43-K43</f>
        <v>21.626690914846684</v>
      </c>
      <c r="N43" s="104">
        <f t="shared" ref="N43" si="35">M43/L43</f>
        <v>1.1815718959122659</v>
      </c>
      <c r="P43" s="78">
        <v>45668</v>
      </c>
      <c r="Q43" s="95">
        <v>659.45647059999999</v>
      </c>
      <c r="R43" s="2">
        <f t="shared" si="8"/>
        <v>659.75000010630254</v>
      </c>
      <c r="S43" s="2">
        <f t="shared" si="9"/>
        <v>0.50524739363767157</v>
      </c>
      <c r="T43" s="2">
        <f t="shared" ref="T43" si="36">Q43-R43</f>
        <v>-0.29352950630254782</v>
      </c>
      <c r="U43" s="2">
        <f t="shared" ref="U43" si="37">T43/S43</f>
        <v>-0.58096194062318474</v>
      </c>
    </row>
    <row r="44" spans="1:21" x14ac:dyDescent="0.3">
      <c r="A44" s="10">
        <v>45422</v>
      </c>
      <c r="B44" s="11">
        <v>0.03</v>
      </c>
      <c r="C44" s="11">
        <f t="shared" si="0"/>
        <v>0.7619999999999999</v>
      </c>
      <c r="D44" s="9">
        <f t="shared" si="1"/>
        <v>7.0757142857142838</v>
      </c>
      <c r="E44" s="9">
        <f>_xlfn.STDEV.S($C$4:$C155)</f>
        <v>18.475707768038383</v>
      </c>
      <c r="F44" s="9">
        <f t="shared" si="2"/>
        <v>-6.3137142857142843</v>
      </c>
      <c r="G44" s="9">
        <f t="shared" si="3"/>
        <v>-0.34173057752280245</v>
      </c>
      <c r="I44" s="60">
        <v>46054</v>
      </c>
      <c r="J44" s="102">
        <v>52.4039</v>
      </c>
      <c r="K44" s="103">
        <f t="shared" si="28"/>
        <v>12.191109085153315</v>
      </c>
      <c r="L44" s="103">
        <f t="shared" si="29"/>
        <v>18.30332203200313</v>
      </c>
      <c r="M44" s="102">
        <f>J44-K44</f>
        <v>40.212790914846686</v>
      </c>
      <c r="N44" s="104">
        <f>M44/L44</f>
        <v>2.197021439306762</v>
      </c>
      <c r="P44" s="78">
        <v>45700</v>
      </c>
      <c r="Q44" s="95">
        <v>659.58</v>
      </c>
      <c r="R44" s="2">
        <f t="shared" si="8"/>
        <v>659.75000010630254</v>
      </c>
      <c r="S44" s="2">
        <f t="shared" si="9"/>
        <v>0.50524739363767157</v>
      </c>
      <c r="T44" s="2">
        <f t="shared" ref="T44" si="38">Q44-R44</f>
        <v>-0.17000010630249562</v>
      </c>
      <c r="U44" s="2">
        <f t="shared" ref="U44" si="39">T44/S44</f>
        <v>-0.33646904158877844</v>
      </c>
    </row>
    <row r="45" spans="1:21" x14ac:dyDescent="0.3">
      <c r="A45" s="10">
        <v>45453</v>
      </c>
      <c r="B45" s="8">
        <v>0.06</v>
      </c>
      <c r="C45" s="8">
        <f t="shared" si="0"/>
        <v>1.5239999999999998</v>
      </c>
      <c r="D45" s="9">
        <f t="shared" si="1"/>
        <v>7.0757142857142838</v>
      </c>
      <c r="E45" s="9">
        <f>_xlfn.STDEV.S($C$4:$C156)</f>
        <v>18.475707768038383</v>
      </c>
      <c r="F45" s="9">
        <f t="shared" si="2"/>
        <v>-5.5517142857142838</v>
      </c>
      <c r="G45" s="9">
        <f t="shared" si="3"/>
        <v>-0.30048723195970556</v>
      </c>
      <c r="I45" s="60">
        <v>46082</v>
      </c>
      <c r="J45" s="102">
        <v>65.387799999999999</v>
      </c>
      <c r="K45" s="103">
        <f t="shared" si="28"/>
        <v>12.191109085153315</v>
      </c>
      <c r="L45" s="103">
        <f t="shared" si="29"/>
        <v>18.30332203200313</v>
      </c>
      <c r="M45" s="102">
        <f>J45-K45</f>
        <v>53.196690914846684</v>
      </c>
      <c r="N45" s="104">
        <f>M45/L45</f>
        <v>2.9063953976132275</v>
      </c>
      <c r="P45" s="78">
        <v>45729</v>
      </c>
      <c r="Q45" s="95">
        <v>659.52</v>
      </c>
      <c r="R45" s="2">
        <f t="shared" si="8"/>
        <v>659.75000010630254</v>
      </c>
      <c r="S45" s="2">
        <f t="shared" si="9"/>
        <v>0.50524739363767157</v>
      </c>
      <c r="T45" s="2">
        <f t="shared" ref="T45" si="40">Q45-R45</f>
        <v>-0.23000010630255474</v>
      </c>
      <c r="U45" s="2">
        <f t="shared" ref="U45" si="41">T45/S45</f>
        <v>-0.45522274671543361</v>
      </c>
    </row>
    <row r="46" spans="1:21" x14ac:dyDescent="0.3">
      <c r="A46" s="10">
        <v>45484</v>
      </c>
      <c r="B46" s="8">
        <v>0.04</v>
      </c>
      <c r="C46" s="8">
        <f t="shared" si="0"/>
        <v>1.016</v>
      </c>
      <c r="D46" s="9">
        <f t="shared" si="1"/>
        <v>7.0757142857142838</v>
      </c>
      <c r="E46" s="9">
        <f>_xlfn.STDEV.S($C$4:$C157)</f>
        <v>18.475707768038383</v>
      </c>
      <c r="F46" s="9">
        <f t="shared" si="2"/>
        <v>-6.0597142857142838</v>
      </c>
      <c r="G46" s="9">
        <f t="shared" si="3"/>
        <v>-0.3279827956684368</v>
      </c>
      <c r="I46" s="60">
        <v>46113</v>
      </c>
      <c r="J46" s="102">
        <v>86.298166670000001</v>
      </c>
      <c r="K46" s="103">
        <f t="shared" si="28"/>
        <v>12.191109085153315</v>
      </c>
      <c r="L46" s="103">
        <f t="shared" si="29"/>
        <v>18.30332203200313</v>
      </c>
      <c r="M46" s="102">
        <f>J46-K46</f>
        <v>74.107057584846686</v>
      </c>
      <c r="N46" s="104">
        <f>M46/L46</f>
        <v>4.0488309966503033</v>
      </c>
      <c r="P46" s="78">
        <v>45761</v>
      </c>
      <c r="Q46" s="95">
        <f>AVERAGE(Q44:Q45)</f>
        <v>659.55</v>
      </c>
      <c r="R46" s="2">
        <f t="shared" si="8"/>
        <v>659.75000010630254</v>
      </c>
      <c r="S46" s="2">
        <f t="shared" si="9"/>
        <v>0.50524739363767157</v>
      </c>
      <c r="T46" s="2">
        <f t="shared" ref="T46" si="42">Q46-R46</f>
        <v>-0.20000010630258203</v>
      </c>
      <c r="U46" s="2">
        <f t="shared" ref="U46" si="43">T46/S46</f>
        <v>-0.39584589415221855</v>
      </c>
    </row>
    <row r="47" spans="1:21" x14ac:dyDescent="0.3">
      <c r="A47" s="10">
        <v>45516</v>
      </c>
      <c r="B47" s="8">
        <v>0.04</v>
      </c>
      <c r="C47" s="8">
        <f t="shared" si="0"/>
        <v>1.016</v>
      </c>
      <c r="D47" s="9">
        <f t="shared" si="1"/>
        <v>7.0757142857142838</v>
      </c>
      <c r="E47" s="9">
        <f>_xlfn.STDEV.S($C$4:$C158)</f>
        <v>18.475707768038383</v>
      </c>
      <c r="F47" s="9">
        <f t="shared" si="2"/>
        <v>-6.0597142857142838</v>
      </c>
      <c r="G47" s="9">
        <f t="shared" si="3"/>
        <v>-0.3279827956684368</v>
      </c>
      <c r="I47" s="108">
        <v>46143</v>
      </c>
      <c r="J47" s="106"/>
      <c r="K47" s="106"/>
      <c r="L47" s="106"/>
      <c r="M47" s="106"/>
      <c r="N47" s="107"/>
      <c r="P47" s="78">
        <v>45792</v>
      </c>
      <c r="Q47" s="95">
        <v>659.35</v>
      </c>
      <c r="R47" s="2">
        <f t="shared" si="8"/>
        <v>659.75000010630254</v>
      </c>
      <c r="S47" s="2">
        <f t="shared" si="9"/>
        <v>0.50524739363767157</v>
      </c>
      <c r="T47" s="2">
        <f t="shared" ref="T47" si="44">Q47-R47</f>
        <v>-0.40000010630251381</v>
      </c>
      <c r="U47" s="2">
        <f t="shared" ref="U47" si="45">T47/S47</f>
        <v>-0.79169157790721068</v>
      </c>
    </row>
    <row r="48" spans="1:21" x14ac:dyDescent="0.3">
      <c r="A48" s="10">
        <v>45548</v>
      </c>
      <c r="B48" s="8">
        <v>0.02</v>
      </c>
      <c r="C48" s="8">
        <f t="shared" si="0"/>
        <v>0.50800000000000001</v>
      </c>
      <c r="D48" s="9">
        <f t="shared" si="1"/>
        <v>7.0757142857142838</v>
      </c>
      <c r="E48" s="9">
        <f>_xlfn.STDEV.S($C$4:$C159)</f>
        <v>18.475707768038383</v>
      </c>
      <c r="F48" s="9">
        <f t="shared" si="2"/>
        <v>-6.5677142857142838</v>
      </c>
      <c r="G48" s="9">
        <f t="shared" si="3"/>
        <v>-0.35547835937716804</v>
      </c>
      <c r="I48" s="112"/>
      <c r="J48" s="113"/>
      <c r="K48" s="113"/>
      <c r="L48" s="113"/>
      <c r="M48" s="113"/>
      <c r="N48" s="114"/>
      <c r="P48" s="78">
        <v>45809</v>
      </c>
      <c r="Q48" s="95">
        <v>659.13</v>
      </c>
      <c r="R48" s="2">
        <f t="shared" si="8"/>
        <v>659.75000010630254</v>
      </c>
      <c r="S48" s="2">
        <f t="shared" si="9"/>
        <v>0.50524739363767157</v>
      </c>
      <c r="T48" s="2">
        <f t="shared" ref="T48" si="46">Q48-R48</f>
        <v>-0.6200001063025411</v>
      </c>
      <c r="U48" s="2">
        <f t="shared" ref="U48" si="47">T48/S48</f>
        <v>-1.2271218300379045</v>
      </c>
    </row>
    <row r="49" spans="1:21" x14ac:dyDescent="0.3">
      <c r="A49" s="10">
        <v>45579</v>
      </c>
      <c r="B49" s="8">
        <v>0.05</v>
      </c>
      <c r="C49" s="8">
        <f t="shared" ref="C49" si="48">B49*$H$4</f>
        <v>1.27</v>
      </c>
      <c r="D49" s="9">
        <f t="shared" si="1"/>
        <v>7.0757142857142838</v>
      </c>
      <c r="E49" s="9">
        <f>_xlfn.STDEV.S($C$4:$C160)</f>
        <v>18.475707768038383</v>
      </c>
      <c r="F49" s="9">
        <f t="shared" si="2"/>
        <v>-5.8057142857142843</v>
      </c>
      <c r="G49" s="9">
        <f t="shared" si="3"/>
        <v>-0.31423501381407121</v>
      </c>
      <c r="H49" s="59" t="s">
        <v>29</v>
      </c>
      <c r="I49" s="82"/>
      <c r="J49" s="83"/>
      <c r="K49" s="83"/>
      <c r="L49" s="84"/>
      <c r="M49" s="83"/>
      <c r="N49" s="85"/>
      <c r="P49" s="78">
        <v>45839</v>
      </c>
      <c r="Q49" s="95">
        <v>659.05</v>
      </c>
      <c r="R49" s="2">
        <f t="shared" ref="R49:R59" si="49">AVERAGE($Q$4:$Q$76)</f>
        <v>659.75000010630254</v>
      </c>
      <c r="S49" s="2">
        <f t="shared" ref="S49:S59" si="50">_xlfn.STDEV.S($Q$4:$Q$77)</f>
        <v>0.50524739363767157</v>
      </c>
      <c r="T49" s="2">
        <f t="shared" ref="T49:T54" si="51">Q49-R49</f>
        <v>-0.70000010630258203</v>
      </c>
      <c r="U49" s="2">
        <f t="shared" ref="U49:U54" si="52">T49/S49</f>
        <v>-1.3854601035400365</v>
      </c>
    </row>
    <row r="50" spans="1:21" x14ac:dyDescent="0.3">
      <c r="A50" s="10">
        <v>45611</v>
      </c>
      <c r="B50" s="8">
        <v>-0.01</v>
      </c>
      <c r="C50" s="8">
        <f t="shared" ref="C50" si="53">B50*$H$4</f>
        <v>-0.254</v>
      </c>
      <c r="D50" s="9">
        <f t="shared" si="1"/>
        <v>7.0757142857142838</v>
      </c>
      <c r="E50" s="9">
        <f>_xlfn.STDEV.S($C$4:$C161)</f>
        <v>18.475707768038383</v>
      </c>
      <c r="F50" s="9">
        <f t="shared" si="2"/>
        <v>-7.3297142857142834</v>
      </c>
      <c r="G50" s="9">
        <f t="shared" si="3"/>
        <v>-0.39672170494026487</v>
      </c>
      <c r="I50" s="82"/>
      <c r="J50" s="83"/>
      <c r="K50" s="83"/>
      <c r="L50" s="84"/>
      <c r="M50" s="83"/>
      <c r="N50" s="85"/>
      <c r="P50" s="78">
        <v>45871</v>
      </c>
      <c r="Q50" s="95">
        <v>658.82</v>
      </c>
      <c r="R50" s="2">
        <f t="shared" si="49"/>
        <v>659.75000010630254</v>
      </c>
      <c r="S50" s="2">
        <f t="shared" si="50"/>
        <v>0.50524739363767157</v>
      </c>
      <c r="T50" s="2">
        <f t="shared" si="51"/>
        <v>-0.93000010630248653</v>
      </c>
      <c r="U50" s="2">
        <f t="shared" si="52"/>
        <v>-1.8406826398582437</v>
      </c>
    </row>
    <row r="51" spans="1:21" x14ac:dyDescent="0.3">
      <c r="A51" s="10">
        <v>45642</v>
      </c>
      <c r="B51" s="8">
        <v>7.0000000000000007E-2</v>
      </c>
      <c r="C51" s="8">
        <f t="shared" ref="C51:C56" si="54">B51*$H$4</f>
        <v>1.778</v>
      </c>
      <c r="D51" s="9">
        <f t="shared" si="1"/>
        <v>7.0757142857142838</v>
      </c>
      <c r="E51" s="9">
        <f>_xlfn.STDEV.S($C$4:$C162)</f>
        <v>18.475707768038383</v>
      </c>
      <c r="F51" s="9">
        <f t="shared" si="2"/>
        <v>-5.2977142857142834</v>
      </c>
      <c r="G51" s="9">
        <f t="shared" si="3"/>
        <v>-0.28673945010533991</v>
      </c>
      <c r="I51" s="82"/>
      <c r="J51" s="83"/>
      <c r="K51" s="83"/>
      <c r="L51" s="84"/>
      <c r="M51" s="83"/>
      <c r="N51" s="85"/>
      <c r="P51" s="78">
        <v>45901</v>
      </c>
      <c r="Q51" s="95">
        <v>658.66117650000001</v>
      </c>
      <c r="R51" s="2">
        <f t="shared" si="49"/>
        <v>659.75000010630254</v>
      </c>
      <c r="S51" s="2">
        <f t="shared" si="50"/>
        <v>0.50524739363767157</v>
      </c>
      <c r="T51" s="2">
        <f t="shared" si="51"/>
        <v>-1.0888236063025261</v>
      </c>
      <c r="U51" s="2">
        <f t="shared" si="52"/>
        <v>-2.155030624627734</v>
      </c>
    </row>
    <row r="52" spans="1:21" x14ac:dyDescent="0.3">
      <c r="A52" s="10">
        <v>45674</v>
      </c>
      <c r="B52" s="8">
        <v>0.34</v>
      </c>
      <c r="C52" s="8">
        <f t="shared" si="54"/>
        <v>8.636000000000001</v>
      </c>
      <c r="D52" s="9">
        <f t="shared" si="1"/>
        <v>7.0757142857142838</v>
      </c>
      <c r="E52" s="9">
        <f>_xlfn.STDEV.S($C$4:$C163)</f>
        <v>18.475707768038383</v>
      </c>
      <c r="F52" s="9">
        <f t="shared" si="2"/>
        <v>1.5602857142857172</v>
      </c>
      <c r="G52" s="9">
        <f t="shared" si="3"/>
        <v>8.4450659962531816E-2</v>
      </c>
      <c r="I52" s="82"/>
      <c r="J52" s="83"/>
      <c r="K52" s="83"/>
      <c r="L52" s="84"/>
      <c r="M52" s="83"/>
      <c r="N52" s="85"/>
      <c r="P52" s="78">
        <v>45931</v>
      </c>
      <c r="Q52" s="95">
        <v>658.6632353</v>
      </c>
      <c r="R52" s="2">
        <f t="shared" si="49"/>
        <v>659.75000010630254</v>
      </c>
      <c r="S52" s="2">
        <f t="shared" si="50"/>
        <v>0.50524739363767157</v>
      </c>
      <c r="T52" s="2">
        <f t="shared" si="51"/>
        <v>-1.0867648063025399</v>
      </c>
      <c r="U52" s="2">
        <f t="shared" si="52"/>
        <v>-2.1509557891591862</v>
      </c>
    </row>
    <row r="53" spans="1:21" x14ac:dyDescent="0.3">
      <c r="A53" s="10">
        <v>45706</v>
      </c>
      <c r="B53" s="8">
        <v>0.21</v>
      </c>
      <c r="C53" s="8">
        <f t="shared" si="54"/>
        <v>5.3339999999999996</v>
      </c>
      <c r="D53" s="9">
        <f t="shared" si="1"/>
        <v>7.0757142857142838</v>
      </c>
      <c r="E53" s="9">
        <f>_xlfn.STDEV.S($C$4:$C164)</f>
        <v>18.475707768038383</v>
      </c>
      <c r="F53" s="9">
        <f t="shared" ref="F53:F58" si="55">C53-D53</f>
        <v>-1.7417142857142842</v>
      </c>
      <c r="G53" s="9">
        <f t="shared" si="3"/>
        <v>-9.4270504144221307E-2</v>
      </c>
      <c r="I53" s="82"/>
      <c r="J53" s="83"/>
      <c r="K53" s="83"/>
      <c r="L53" s="84"/>
      <c r="M53" s="83"/>
      <c r="N53" s="85"/>
      <c r="P53" s="78">
        <v>45962</v>
      </c>
      <c r="Q53" s="95">
        <v>658.70939999999996</v>
      </c>
      <c r="R53" s="2">
        <f t="shared" si="49"/>
        <v>659.75000010630254</v>
      </c>
      <c r="S53" s="2">
        <f t="shared" si="50"/>
        <v>0.50524739363767157</v>
      </c>
      <c r="T53" s="2">
        <f t="shared" si="51"/>
        <v>-1.0406001063025769</v>
      </c>
      <c r="U53" s="2">
        <f t="shared" si="52"/>
        <v>-2.059585302975008</v>
      </c>
    </row>
    <row r="54" spans="1:21" x14ac:dyDescent="0.3">
      <c r="A54" s="10">
        <v>45735</v>
      </c>
      <c r="B54" s="8">
        <v>0.28999999999999998</v>
      </c>
      <c r="C54" s="8">
        <f t="shared" si="54"/>
        <v>7.3659999999999988</v>
      </c>
      <c r="D54" s="9">
        <f t="shared" si="1"/>
        <v>7.0757142857142838</v>
      </c>
      <c r="E54" s="9">
        <f>_xlfn.STDEV.S($C$4:$C165)</f>
        <v>18.475707768038383</v>
      </c>
      <c r="F54" s="9">
        <f t="shared" si="55"/>
        <v>0.29028571428571492</v>
      </c>
      <c r="G54" s="9">
        <f t="shared" ref="G54" si="56">F54/E54</f>
        <v>1.5711750690703599E-2</v>
      </c>
      <c r="I54" s="82"/>
      <c r="J54" s="83"/>
      <c r="K54" s="83"/>
      <c r="L54" s="84"/>
      <c r="M54" s="83"/>
      <c r="N54" s="85"/>
      <c r="P54" s="78">
        <v>45992</v>
      </c>
      <c r="Q54" s="95">
        <v>658.92349999999999</v>
      </c>
      <c r="R54" s="2">
        <f t="shared" si="49"/>
        <v>659.75000010630254</v>
      </c>
      <c r="S54" s="2">
        <f t="shared" si="50"/>
        <v>0.50524739363767157</v>
      </c>
      <c r="T54" s="2">
        <f t="shared" si="51"/>
        <v>-0.82650010630254656</v>
      </c>
      <c r="U54" s="2">
        <f t="shared" si="52"/>
        <v>-1.6358324985150843</v>
      </c>
    </row>
    <row r="55" spans="1:21" x14ac:dyDescent="0.3">
      <c r="A55" s="10">
        <v>45767</v>
      </c>
      <c r="B55" s="8">
        <v>0.44</v>
      </c>
      <c r="C55" s="8">
        <f t="shared" si="54"/>
        <v>11.176</v>
      </c>
      <c r="D55" s="9">
        <f t="shared" si="1"/>
        <v>7.0757142857142838</v>
      </c>
      <c r="E55" s="9">
        <f>_xlfn.STDEV.S($C$4:$C166)</f>
        <v>18.475707768038383</v>
      </c>
      <c r="F55" s="9">
        <f t="shared" si="55"/>
        <v>4.1002857142857163</v>
      </c>
      <c r="G55" s="9">
        <f t="shared" ref="G55" si="57">F55/E55</f>
        <v>0.22192847850618797</v>
      </c>
      <c r="I55" s="82"/>
      <c r="J55" s="83"/>
      <c r="K55" s="83"/>
      <c r="L55" s="84"/>
      <c r="M55" s="83"/>
      <c r="N55" s="85"/>
      <c r="P55" s="78">
        <v>46023</v>
      </c>
      <c r="Q55" s="95">
        <v>660.14</v>
      </c>
      <c r="R55" s="2">
        <f t="shared" si="49"/>
        <v>659.75000010630254</v>
      </c>
      <c r="S55" s="2">
        <f t="shared" si="50"/>
        <v>0.50524739363767157</v>
      </c>
      <c r="T55" s="2">
        <f t="shared" ref="T55" si="58">Q55-R55</f>
        <v>0.38999989369744981</v>
      </c>
      <c r="U55" s="2">
        <f t="shared" ref="U55" si="59">T55/S55</f>
        <v>0.77189887292546966</v>
      </c>
    </row>
    <row r="56" spans="1:21" x14ac:dyDescent="0.3">
      <c r="A56" s="10">
        <v>45798</v>
      </c>
      <c r="B56" s="8">
        <v>0.13</v>
      </c>
      <c r="C56" s="8">
        <f t="shared" si="54"/>
        <v>3.302</v>
      </c>
      <c r="D56" s="9">
        <f t="shared" si="1"/>
        <v>7.0757142857142838</v>
      </c>
      <c r="E56" s="9">
        <f>_xlfn.STDEV.S($C$4:$C167)</f>
        <v>18.475707768038383</v>
      </c>
      <c r="F56" s="9">
        <f t="shared" si="55"/>
        <v>-3.7737142857142838</v>
      </c>
      <c r="G56" s="9">
        <f t="shared" ref="G56" si="60">F56/E56</f>
        <v>-0.20425275897914624</v>
      </c>
      <c r="I56" s="82"/>
      <c r="J56" s="83"/>
      <c r="K56" s="83"/>
      <c r="L56" s="84"/>
      <c r="M56" s="83"/>
      <c r="N56" s="85"/>
      <c r="P56" s="78">
        <v>46055</v>
      </c>
      <c r="Q56" s="95">
        <v>660.24900000000002</v>
      </c>
      <c r="R56" s="2">
        <f t="shared" si="49"/>
        <v>659.75000010630254</v>
      </c>
      <c r="S56" s="2">
        <f t="shared" si="50"/>
        <v>0.50524739363767157</v>
      </c>
      <c r="T56" s="2">
        <f t="shared" ref="T56:T59" si="61">Q56-R56</f>
        <v>0.4989998936974871</v>
      </c>
      <c r="U56" s="2">
        <f t="shared" ref="U56:U59" si="62">T56/S56</f>
        <v>0.98763477057208782</v>
      </c>
    </row>
    <row r="57" spans="1:21" x14ac:dyDescent="0.3">
      <c r="A57" s="10">
        <v>45830</v>
      </c>
      <c r="B57" s="8">
        <v>-0.01</v>
      </c>
      <c r="C57" s="8">
        <f t="shared" ref="C57" si="63">B57*$H$4</f>
        <v>-0.254</v>
      </c>
      <c r="D57" s="9">
        <f t="shared" si="1"/>
        <v>7.0757142857142838</v>
      </c>
      <c r="E57" s="9">
        <f>_xlfn.STDEV.S($C$4:$C168)</f>
        <v>18.475707768038383</v>
      </c>
      <c r="F57" s="9">
        <f t="shared" si="55"/>
        <v>-7.3297142857142834</v>
      </c>
      <c r="G57" s="9">
        <f t="shared" ref="G57" si="64">F57/E57</f>
        <v>-0.39672170494026487</v>
      </c>
      <c r="I57" s="82"/>
      <c r="J57" s="83"/>
      <c r="K57" s="83"/>
      <c r="L57" s="84"/>
      <c r="M57" s="83"/>
      <c r="N57" s="85"/>
      <c r="P57" s="78">
        <v>46082</v>
      </c>
      <c r="Q57" s="105">
        <v>660.29399999999998</v>
      </c>
      <c r="R57" s="2">
        <f t="shared" si="49"/>
        <v>659.75000010630254</v>
      </c>
      <c r="S57" s="2">
        <f t="shared" si="50"/>
        <v>0.50524739363767157</v>
      </c>
      <c r="T57" s="2">
        <f t="shared" si="61"/>
        <v>0.54399989369744617</v>
      </c>
      <c r="U57" s="2">
        <f t="shared" si="62"/>
        <v>1.0767000494169103</v>
      </c>
    </row>
    <row r="58" spans="1:21" x14ac:dyDescent="0.3">
      <c r="A58" s="10">
        <v>45861</v>
      </c>
      <c r="B58" s="8">
        <v>0.01</v>
      </c>
      <c r="C58" s="8">
        <f t="shared" ref="C58" si="65">B58*$H$4</f>
        <v>0.254</v>
      </c>
      <c r="D58" s="9">
        <f t="shared" si="1"/>
        <v>7.0757142857142838</v>
      </c>
      <c r="E58" s="9">
        <f>_xlfn.STDEV.S($C$4:$C169)</f>
        <v>18.475707768038383</v>
      </c>
      <c r="F58" s="9">
        <f t="shared" si="55"/>
        <v>-6.8217142857142843</v>
      </c>
      <c r="G58" s="9">
        <f t="shared" ref="G58" si="66">F58/E58</f>
        <v>-0.36922614123153369</v>
      </c>
      <c r="I58" s="82"/>
      <c r="J58" s="83"/>
      <c r="K58" s="83"/>
      <c r="L58" s="84"/>
      <c r="M58" s="83"/>
      <c r="N58" s="85"/>
      <c r="P58" s="78">
        <v>46114</v>
      </c>
      <c r="Q58" s="105">
        <v>660.22940000000006</v>
      </c>
      <c r="R58" s="2">
        <f t="shared" si="49"/>
        <v>659.75000010630254</v>
      </c>
      <c r="S58" s="2">
        <f t="shared" si="50"/>
        <v>0.50524739363767157</v>
      </c>
      <c r="T58" s="2">
        <f t="shared" si="61"/>
        <v>0.47939989369751856</v>
      </c>
      <c r="U58" s="2">
        <f t="shared" si="62"/>
        <v>0.94884189356414761</v>
      </c>
    </row>
    <row r="59" spans="1:21" x14ac:dyDescent="0.3">
      <c r="A59" s="10">
        <v>45893</v>
      </c>
      <c r="B59" s="8">
        <v>0.05</v>
      </c>
      <c r="C59" s="8">
        <f t="shared" ref="C59" si="67">B59*$H$4</f>
        <v>1.27</v>
      </c>
      <c r="D59" s="9">
        <f t="shared" si="1"/>
        <v>7.0757142857142838</v>
      </c>
      <c r="E59" s="9">
        <f>_xlfn.STDEV.S($C$4:$C170)</f>
        <v>18.475707768038383</v>
      </c>
      <c r="F59" s="9">
        <f t="shared" ref="F59" si="68">C59-D59</f>
        <v>-5.8057142857142843</v>
      </c>
      <c r="G59" s="9">
        <f t="shared" ref="G59" si="69">F59/E59</f>
        <v>-0.31423501381407121</v>
      </c>
      <c r="I59" s="82"/>
      <c r="J59" s="83"/>
      <c r="K59" s="83"/>
      <c r="L59" s="84"/>
      <c r="M59" s="83"/>
      <c r="N59" s="85"/>
      <c r="P59" s="78">
        <v>46145</v>
      </c>
      <c r="Q59" s="105">
        <v>660.32294119999995</v>
      </c>
      <c r="R59" s="2">
        <f t="shared" si="49"/>
        <v>659.75000010630254</v>
      </c>
      <c r="S59" s="2">
        <f t="shared" si="50"/>
        <v>0.50524739363767157</v>
      </c>
      <c r="T59" s="2">
        <f t="shared" si="61"/>
        <v>0.57294109369740909</v>
      </c>
      <c r="U59" s="2">
        <f t="shared" si="62"/>
        <v>1.1339812949303065</v>
      </c>
    </row>
    <row r="60" spans="1:21" x14ac:dyDescent="0.3">
      <c r="A60" s="10">
        <v>45925</v>
      </c>
      <c r="B60" s="8">
        <v>0.02</v>
      </c>
      <c r="C60" s="8">
        <f t="shared" ref="C60" si="70">B60*$H$4</f>
        <v>0.50800000000000001</v>
      </c>
      <c r="D60" s="9">
        <f t="shared" si="1"/>
        <v>7.0757142857142838</v>
      </c>
      <c r="E60" s="9">
        <f>_xlfn.STDEV.S($C$4:$C171)</f>
        <v>18.475707768038383</v>
      </c>
      <c r="F60" s="9">
        <f t="shared" ref="F60" si="71">C60-D60</f>
        <v>-6.5677142857142838</v>
      </c>
      <c r="G60" s="9">
        <f t="shared" ref="G60" si="72">F60/E60</f>
        <v>-0.35547835937716804</v>
      </c>
      <c r="I60" s="82"/>
      <c r="J60" s="83"/>
      <c r="K60" s="83"/>
      <c r="L60" s="84"/>
      <c r="M60" s="83"/>
      <c r="N60" s="85"/>
    </row>
    <row r="61" spans="1:21" x14ac:dyDescent="0.3">
      <c r="A61" s="10">
        <v>45956</v>
      </c>
      <c r="B61" s="8">
        <v>0</v>
      </c>
      <c r="C61" s="8">
        <f t="shared" ref="C61" si="73">B61*$H$4</f>
        <v>0</v>
      </c>
      <c r="D61" s="9">
        <f t="shared" si="1"/>
        <v>7.0757142857142838</v>
      </c>
      <c r="E61" s="9">
        <f>_xlfn.STDEV.S($C$4:$C172)</f>
        <v>18.475707768038383</v>
      </c>
      <c r="F61" s="9">
        <f t="shared" ref="F61" si="74">C61-D61</f>
        <v>-7.0757142857142838</v>
      </c>
      <c r="G61" s="9">
        <f t="shared" ref="G61" si="75">F61/E61</f>
        <v>-0.38297392308589928</v>
      </c>
      <c r="I61" s="82"/>
      <c r="J61" s="83"/>
      <c r="K61" s="83"/>
      <c r="L61" s="84"/>
      <c r="M61" s="83"/>
      <c r="N61" s="85"/>
    </row>
    <row r="62" spans="1:21" x14ac:dyDescent="0.3">
      <c r="A62" s="10">
        <v>45988</v>
      </c>
      <c r="B62" s="8">
        <v>0.79</v>
      </c>
      <c r="C62" s="8">
        <f t="shared" ref="C62" si="76">B62*$H$4</f>
        <v>20.065999999999999</v>
      </c>
      <c r="D62" s="9">
        <f t="shared" si="1"/>
        <v>7.0757142857142838</v>
      </c>
      <c r="E62" s="9">
        <f>_xlfn.STDEV.S($C$4:$C173)</f>
        <v>18.475707768038383</v>
      </c>
      <c r="F62" s="9">
        <f t="shared" ref="F62" si="77">C62-D62</f>
        <v>12.990285714285715</v>
      </c>
      <c r="G62" s="9">
        <f t="shared" ref="G62" si="78">F62/E62</f>
        <v>0.7031008434089846</v>
      </c>
      <c r="I62" s="82"/>
      <c r="J62" s="83"/>
      <c r="K62" s="83"/>
      <c r="L62" s="84"/>
      <c r="M62" s="83"/>
      <c r="N62" s="85"/>
    </row>
    <row r="63" spans="1:21" x14ac:dyDescent="0.3">
      <c r="A63" s="10">
        <v>46019</v>
      </c>
      <c r="B63" s="8">
        <v>0.14000000000000001</v>
      </c>
      <c r="C63" s="8">
        <f t="shared" ref="C63" si="79">B63*$H$4</f>
        <v>3.556</v>
      </c>
      <c r="D63" s="9">
        <f t="shared" si="1"/>
        <v>7.0757142857142838</v>
      </c>
      <c r="E63" s="9">
        <f>_xlfn.STDEV.S($C$4:$C174)</f>
        <v>18.475707768038383</v>
      </c>
      <c r="F63" s="9">
        <f t="shared" ref="F63" si="80">C63-D63</f>
        <v>-3.5197142857142838</v>
      </c>
      <c r="G63" s="9">
        <f t="shared" ref="G63" si="81">F63/E63</f>
        <v>-0.19050497712478062</v>
      </c>
      <c r="I63" s="82"/>
      <c r="J63" s="83"/>
      <c r="K63" s="83"/>
      <c r="L63" s="84"/>
      <c r="M63" s="83"/>
      <c r="N63" s="85"/>
    </row>
    <row r="64" spans="1:21" x14ac:dyDescent="0.3">
      <c r="A64" s="10">
        <v>46051</v>
      </c>
      <c r="B64" s="8">
        <v>5.67</v>
      </c>
      <c r="C64" s="8">
        <f t="shared" ref="C64" si="82">B64*$H$4</f>
        <v>144.018</v>
      </c>
      <c r="D64" s="9">
        <f t="shared" si="1"/>
        <v>7.0757142857142838</v>
      </c>
      <c r="E64" s="9">
        <f>_xlfn.STDEV.S($C$4:$C175)</f>
        <v>18.475707768038383</v>
      </c>
      <c r="F64" s="9">
        <f t="shared" ref="F64" si="83">C64-D64</f>
        <v>136.94228571428573</v>
      </c>
      <c r="G64" s="9">
        <f t="shared" ref="G64" si="84">F64/E64</f>
        <v>7.4120183883394075</v>
      </c>
      <c r="I64" s="82"/>
      <c r="J64" s="83"/>
      <c r="K64" s="83"/>
      <c r="L64" s="84"/>
      <c r="M64" s="83"/>
      <c r="N64" s="85"/>
    </row>
    <row r="65" spans="1:14" x14ac:dyDescent="0.3">
      <c r="A65" s="10" t="s">
        <v>30</v>
      </c>
      <c r="B65" s="8">
        <v>0.46</v>
      </c>
      <c r="C65" s="8">
        <f t="shared" ref="C65" si="85">B65*$H$4</f>
        <v>11.683999999999999</v>
      </c>
      <c r="D65" s="9">
        <f t="shared" si="1"/>
        <v>7.0757142857142838</v>
      </c>
      <c r="E65" s="9">
        <f>_xlfn.STDEV.S($C$4:$C176)</f>
        <v>18.475707768038383</v>
      </c>
      <c r="F65" s="9">
        <f t="shared" ref="F65" si="86">C65-D65</f>
        <v>4.6082857142857154</v>
      </c>
      <c r="G65" s="9">
        <f t="shared" ref="G65" si="87">F65/E65</f>
        <v>0.24942404221491915</v>
      </c>
      <c r="I65" s="82"/>
      <c r="J65" s="83"/>
      <c r="K65" s="83"/>
      <c r="L65" s="84"/>
      <c r="M65" s="83"/>
      <c r="N65" s="85"/>
    </row>
    <row r="66" spans="1:14" x14ac:dyDescent="0.3">
      <c r="A66" s="10">
        <v>46112</v>
      </c>
      <c r="B66" s="8">
        <v>-0.34</v>
      </c>
      <c r="C66" s="8">
        <f t="shared" ref="C66" si="88">B66*$H$4</f>
        <v>-8.636000000000001</v>
      </c>
      <c r="D66" s="9">
        <f t="shared" si="1"/>
        <v>7.0757142857142838</v>
      </c>
      <c r="E66" s="9">
        <f>_xlfn.STDEV.S($C$4:$C177)</f>
        <v>18.475707768038383</v>
      </c>
      <c r="F66" s="9">
        <f t="shared" ref="F66" si="89">C66-D66</f>
        <v>-15.711714285714285</v>
      </c>
      <c r="G66" s="9">
        <f t="shared" ref="G66" si="90">F66/E66</f>
        <v>-0.85039850613433043</v>
      </c>
      <c r="I66" s="82"/>
      <c r="J66" s="83"/>
      <c r="K66" s="83"/>
      <c r="L66" s="84"/>
      <c r="M66" s="83"/>
      <c r="N66" s="85"/>
    </row>
    <row r="67" spans="1:14" x14ac:dyDescent="0.3">
      <c r="A67" s="10">
        <v>46113</v>
      </c>
      <c r="B67" s="109"/>
      <c r="C67" s="109"/>
      <c r="D67" s="110"/>
      <c r="E67" s="110"/>
      <c r="F67" s="111"/>
      <c r="G67" s="110"/>
      <c r="I67" s="82"/>
      <c r="J67" s="83"/>
      <c r="K67" s="83"/>
      <c r="L67" s="84"/>
      <c r="M67" s="83"/>
      <c r="N67" s="85"/>
    </row>
    <row r="68" spans="1:14" x14ac:dyDescent="0.3">
      <c r="A68" s="10">
        <v>46144</v>
      </c>
      <c r="B68" s="109"/>
      <c r="C68" s="109"/>
      <c r="D68" s="110"/>
      <c r="E68" s="110"/>
      <c r="F68" s="111"/>
      <c r="G68" s="110"/>
      <c r="I68" s="82"/>
      <c r="J68" s="83"/>
      <c r="K68" s="83"/>
      <c r="L68" s="84"/>
      <c r="M68" s="83"/>
      <c r="N68" s="85"/>
    </row>
    <row r="69" spans="1:14" x14ac:dyDescent="0.3">
      <c r="I69" s="82"/>
      <c r="J69" s="83"/>
      <c r="K69" s="83"/>
      <c r="L69" s="84"/>
      <c r="M69" s="83"/>
      <c r="N69" s="85"/>
    </row>
    <row r="70" spans="1:14" x14ac:dyDescent="0.3">
      <c r="I70" s="82"/>
      <c r="J70" s="83"/>
      <c r="K70" s="83"/>
      <c r="L70" s="84"/>
      <c r="M70" s="83"/>
      <c r="N70" s="85"/>
    </row>
    <row r="71" spans="1:14" x14ac:dyDescent="0.3">
      <c r="I71" s="82"/>
      <c r="J71" s="83"/>
      <c r="K71" s="83"/>
      <c r="L71" s="84"/>
      <c r="M71" s="83"/>
      <c r="N71" s="85"/>
    </row>
    <row r="72" spans="1:14" x14ac:dyDescent="0.3">
      <c r="I72" s="82"/>
      <c r="J72" s="83"/>
      <c r="K72" s="83"/>
      <c r="L72" s="84"/>
      <c r="M72" s="83"/>
      <c r="N72" s="85"/>
    </row>
    <row r="73" spans="1:14" x14ac:dyDescent="0.3">
      <c r="I73" s="82"/>
      <c r="J73" s="83"/>
      <c r="K73" s="83"/>
      <c r="L73" s="84"/>
      <c r="M73" s="83"/>
      <c r="N73" s="85"/>
    </row>
    <row r="74" spans="1:14" x14ac:dyDescent="0.3">
      <c r="I74" s="82"/>
      <c r="J74" s="83"/>
      <c r="K74" s="83"/>
      <c r="L74" s="84"/>
      <c r="M74" s="83"/>
      <c r="N74" s="85"/>
    </row>
    <row r="75" spans="1:14" x14ac:dyDescent="0.3">
      <c r="I75" s="82"/>
      <c r="J75" s="83"/>
      <c r="K75" s="83"/>
      <c r="L75" s="84"/>
      <c r="M75" s="83"/>
      <c r="N75" s="85"/>
    </row>
    <row r="76" spans="1:14" x14ac:dyDescent="0.3">
      <c r="I76" s="82"/>
      <c r="J76" s="83"/>
      <c r="K76" s="83"/>
      <c r="L76" s="84"/>
      <c r="M76" s="83"/>
      <c r="N76" s="85"/>
    </row>
    <row r="77" spans="1:14" x14ac:dyDescent="0.3">
      <c r="I77" s="82"/>
      <c r="J77" s="83"/>
      <c r="K77" s="83"/>
      <c r="L77" s="84"/>
      <c r="M77" s="83"/>
      <c r="N77" s="85"/>
    </row>
    <row r="78" spans="1:14" x14ac:dyDescent="0.3">
      <c r="I78" s="82"/>
      <c r="J78" s="83"/>
      <c r="K78" s="83"/>
      <c r="L78" s="84"/>
      <c r="M78" s="83"/>
      <c r="N78" s="85"/>
    </row>
    <row r="79" spans="1:14" x14ac:dyDescent="0.3">
      <c r="I79" s="82"/>
      <c r="J79" s="83"/>
      <c r="K79" s="83"/>
      <c r="L79" s="84"/>
      <c r="M79" s="83"/>
      <c r="N79" s="85"/>
    </row>
    <row r="80" spans="1:14" x14ac:dyDescent="0.3">
      <c r="I80" s="82"/>
      <c r="J80" s="83"/>
      <c r="K80" s="83"/>
      <c r="L80" s="84"/>
      <c r="M80" s="83"/>
      <c r="N80" s="85"/>
    </row>
    <row r="81" spans="9:14" x14ac:dyDescent="0.3">
      <c r="I81" s="82"/>
      <c r="J81" s="83"/>
      <c r="K81" s="83"/>
      <c r="L81" s="84"/>
      <c r="M81" s="83"/>
      <c r="N81" s="85"/>
    </row>
    <row r="82" spans="9:14" x14ac:dyDescent="0.3">
      <c r="I82" s="82"/>
      <c r="J82" s="83"/>
      <c r="K82" s="83"/>
      <c r="L82" s="84"/>
      <c r="M82" s="83"/>
      <c r="N82" s="85"/>
    </row>
    <row r="83" spans="9:14" x14ac:dyDescent="0.3">
      <c r="I83" s="82"/>
      <c r="J83" s="83"/>
      <c r="K83" s="83"/>
      <c r="L83" s="84"/>
      <c r="M83" s="83"/>
      <c r="N83" s="85"/>
    </row>
    <row r="84" spans="9:14" x14ac:dyDescent="0.3">
      <c r="I84" s="82"/>
      <c r="J84" s="83"/>
      <c r="K84" s="83"/>
      <c r="L84" s="84"/>
      <c r="M84" s="83"/>
      <c r="N84" s="85"/>
    </row>
    <row r="85" spans="9:14" x14ac:dyDescent="0.3">
      <c r="I85" s="82"/>
      <c r="J85" s="83"/>
      <c r="K85" s="83"/>
      <c r="L85" s="84"/>
      <c r="M85" s="83"/>
      <c r="N85" s="85"/>
    </row>
    <row r="86" spans="9:14" x14ac:dyDescent="0.3">
      <c r="I86" s="82"/>
      <c r="J86" s="83"/>
      <c r="K86" s="83"/>
      <c r="L86" s="84"/>
      <c r="M86" s="83"/>
      <c r="N86" s="85"/>
    </row>
    <row r="87" spans="9:14" x14ac:dyDescent="0.3">
      <c r="I87" s="82"/>
      <c r="J87" s="83"/>
      <c r="K87" s="83"/>
      <c r="L87" s="84"/>
      <c r="M87" s="83"/>
      <c r="N87" s="85"/>
    </row>
    <row r="88" spans="9:14" x14ac:dyDescent="0.3">
      <c r="I88" s="82"/>
      <c r="J88" s="83"/>
      <c r="K88" s="83"/>
      <c r="L88" s="84"/>
      <c r="M88" s="83"/>
      <c r="N88" s="85"/>
    </row>
    <row r="89" spans="9:14" x14ac:dyDescent="0.3">
      <c r="I89" s="82"/>
      <c r="J89" s="83"/>
      <c r="K89" s="83"/>
      <c r="L89" s="84"/>
      <c r="M89" s="83"/>
      <c r="N89" s="85"/>
    </row>
    <row r="90" spans="9:14" x14ac:dyDescent="0.3">
      <c r="I90" s="82"/>
      <c r="J90" s="83"/>
      <c r="K90" s="83"/>
      <c r="L90" s="84"/>
      <c r="M90" s="83"/>
      <c r="N90" s="85"/>
    </row>
    <row r="91" spans="9:14" x14ac:dyDescent="0.3">
      <c r="I91" s="82"/>
      <c r="J91" s="83"/>
      <c r="K91" s="83"/>
      <c r="L91" s="84"/>
      <c r="M91" s="83"/>
      <c r="N91" s="85"/>
    </row>
    <row r="92" spans="9:14" x14ac:dyDescent="0.3">
      <c r="I92" s="82"/>
      <c r="J92" s="83"/>
      <c r="K92" s="83"/>
      <c r="L92" s="84"/>
      <c r="M92" s="83"/>
      <c r="N92" s="85"/>
    </row>
    <row r="93" spans="9:14" x14ac:dyDescent="0.3">
      <c r="I93" s="82"/>
      <c r="J93" s="83"/>
      <c r="K93" s="83"/>
      <c r="L93" s="84"/>
      <c r="M93" s="83"/>
      <c r="N93" s="85"/>
    </row>
    <row r="94" spans="9:14" x14ac:dyDescent="0.3">
      <c r="I94" s="82"/>
      <c r="J94" s="83"/>
      <c r="K94" s="83"/>
      <c r="L94" s="84"/>
      <c r="M94" s="83"/>
      <c r="N94" s="85"/>
    </row>
    <row r="95" spans="9:14" x14ac:dyDescent="0.3">
      <c r="I95" s="82"/>
      <c r="J95" s="83"/>
      <c r="K95" s="83"/>
      <c r="L95" s="84"/>
      <c r="M95" s="83"/>
      <c r="N95" s="85"/>
    </row>
    <row r="96" spans="9:14" x14ac:dyDescent="0.3">
      <c r="I96" s="82"/>
      <c r="J96" s="83"/>
      <c r="K96" s="83"/>
      <c r="L96" s="84"/>
      <c r="M96" s="83"/>
      <c r="N96" s="85"/>
    </row>
    <row r="97" spans="9:14" x14ac:dyDescent="0.3">
      <c r="I97" s="82"/>
      <c r="J97" s="83"/>
      <c r="K97" s="83"/>
      <c r="L97" s="84"/>
      <c r="M97" s="83"/>
      <c r="N97" s="85"/>
    </row>
    <row r="98" spans="9:14" x14ac:dyDescent="0.3">
      <c r="I98" s="82"/>
      <c r="J98" s="83"/>
      <c r="K98" s="83"/>
      <c r="L98" s="84"/>
      <c r="M98" s="83"/>
      <c r="N98" s="85"/>
    </row>
    <row r="99" spans="9:14" x14ac:dyDescent="0.3">
      <c r="I99" s="82"/>
      <c r="J99" s="83"/>
      <c r="K99" s="83"/>
      <c r="L99" s="84"/>
      <c r="M99" s="83"/>
      <c r="N99" s="85"/>
    </row>
    <row r="100" spans="9:14" x14ac:dyDescent="0.3">
      <c r="I100" s="82"/>
      <c r="J100" s="83"/>
      <c r="K100" s="83"/>
      <c r="L100" s="84"/>
      <c r="M100" s="83"/>
      <c r="N100" s="85"/>
    </row>
    <row r="101" spans="9:14" x14ac:dyDescent="0.3">
      <c r="I101" s="82"/>
      <c r="J101" s="83"/>
      <c r="K101" s="83"/>
      <c r="L101" s="84"/>
      <c r="M101" s="83"/>
      <c r="N101" s="85"/>
    </row>
    <row r="102" spans="9:14" x14ac:dyDescent="0.3">
      <c r="I102" s="82"/>
      <c r="J102" s="83"/>
      <c r="K102" s="83"/>
      <c r="L102" s="84"/>
      <c r="M102" s="83"/>
      <c r="N102" s="85"/>
    </row>
    <row r="103" spans="9:14" x14ac:dyDescent="0.3">
      <c r="I103" s="82"/>
      <c r="J103" s="83"/>
      <c r="K103" s="83"/>
      <c r="L103" s="84"/>
      <c r="M103" s="83"/>
      <c r="N103" s="85"/>
    </row>
    <row r="104" spans="9:14" x14ac:dyDescent="0.3">
      <c r="I104" s="82"/>
      <c r="J104" s="83"/>
      <c r="K104" s="83"/>
      <c r="L104" s="84"/>
      <c r="M104" s="83"/>
      <c r="N104" s="85"/>
    </row>
    <row r="105" spans="9:14" x14ac:dyDescent="0.3">
      <c r="I105" s="82"/>
      <c r="J105" s="83"/>
      <c r="K105" s="83"/>
      <c r="L105" s="84"/>
      <c r="M105" s="83"/>
      <c r="N105" s="85"/>
    </row>
    <row r="106" spans="9:14" x14ac:dyDescent="0.3">
      <c r="I106" s="82"/>
      <c r="J106" s="83"/>
      <c r="K106" s="83"/>
      <c r="L106" s="84"/>
      <c r="M106" s="83"/>
      <c r="N106" s="85"/>
    </row>
    <row r="107" spans="9:14" x14ac:dyDescent="0.3">
      <c r="I107" s="82"/>
      <c r="J107" s="83"/>
      <c r="K107" s="83"/>
      <c r="L107" s="84"/>
      <c r="M107" s="83"/>
      <c r="N107" s="85"/>
    </row>
    <row r="108" spans="9:14" x14ac:dyDescent="0.3">
      <c r="I108" s="82"/>
      <c r="J108" s="83"/>
      <c r="K108" s="83"/>
      <c r="L108" s="84"/>
      <c r="M108" s="83"/>
      <c r="N108" s="85"/>
    </row>
    <row r="109" spans="9:14" x14ac:dyDescent="0.3">
      <c r="I109" s="82"/>
      <c r="J109" s="83"/>
      <c r="K109" s="83"/>
      <c r="L109" s="84"/>
      <c r="M109" s="83"/>
      <c r="N109" s="85"/>
    </row>
    <row r="110" spans="9:14" x14ac:dyDescent="0.3">
      <c r="I110" s="82"/>
      <c r="J110" s="83"/>
      <c r="K110" s="83"/>
      <c r="L110" s="84"/>
      <c r="M110" s="83"/>
      <c r="N110" s="85"/>
    </row>
    <row r="111" spans="9:14" x14ac:dyDescent="0.3">
      <c r="I111" s="82"/>
      <c r="J111" s="83"/>
      <c r="K111" s="83"/>
      <c r="L111" s="84"/>
      <c r="M111" s="83"/>
      <c r="N111" s="85"/>
    </row>
    <row r="112" spans="9:14" x14ac:dyDescent="0.3">
      <c r="I112" s="82"/>
      <c r="J112" s="83"/>
      <c r="K112" s="83"/>
      <c r="L112" s="84"/>
      <c r="M112" s="83"/>
      <c r="N112" s="85"/>
    </row>
    <row r="113" spans="9:14" x14ac:dyDescent="0.3">
      <c r="I113" s="82"/>
      <c r="J113" s="83"/>
      <c r="K113" s="83"/>
      <c r="L113" s="84"/>
      <c r="M113" s="83"/>
      <c r="N113" s="85"/>
    </row>
    <row r="114" spans="9:14" x14ac:dyDescent="0.3">
      <c r="I114" s="82"/>
      <c r="J114" s="83"/>
      <c r="K114" s="83"/>
      <c r="L114" s="84"/>
      <c r="M114" s="83"/>
      <c r="N114" s="85"/>
    </row>
    <row r="115" spans="9:14" x14ac:dyDescent="0.3">
      <c r="I115" s="82"/>
      <c r="J115" s="83"/>
      <c r="K115" s="83"/>
      <c r="L115" s="84"/>
      <c r="M115" s="83"/>
      <c r="N115" s="85"/>
    </row>
    <row r="116" spans="9:14" x14ac:dyDescent="0.3">
      <c r="I116" s="82"/>
      <c r="J116" s="83"/>
      <c r="K116" s="83"/>
      <c r="L116" s="84"/>
      <c r="M116" s="83"/>
      <c r="N116" s="85"/>
    </row>
    <row r="117" spans="9:14" x14ac:dyDescent="0.3">
      <c r="I117" s="82"/>
      <c r="J117" s="83"/>
      <c r="K117" s="83"/>
      <c r="L117" s="84"/>
      <c r="M117" s="83"/>
      <c r="N117" s="85"/>
    </row>
    <row r="118" spans="9:14" x14ac:dyDescent="0.3">
      <c r="I118" s="82"/>
      <c r="J118" s="83"/>
      <c r="K118" s="83"/>
      <c r="L118" s="84"/>
      <c r="M118" s="83"/>
      <c r="N118" s="85"/>
    </row>
    <row r="119" spans="9:14" x14ac:dyDescent="0.3">
      <c r="I119" s="82"/>
      <c r="J119" s="83"/>
      <c r="K119" s="83"/>
      <c r="L119" s="84"/>
      <c r="M119" s="83"/>
      <c r="N119" s="85"/>
    </row>
    <row r="120" spans="9:14" x14ac:dyDescent="0.3">
      <c r="I120" s="82"/>
      <c r="J120" s="83"/>
      <c r="K120" s="83"/>
      <c r="L120" s="84"/>
      <c r="M120" s="83"/>
      <c r="N120" s="85"/>
    </row>
    <row r="121" spans="9:14" x14ac:dyDescent="0.3">
      <c r="I121" s="82"/>
      <c r="J121" s="83"/>
      <c r="K121" s="83"/>
      <c r="L121" s="84"/>
      <c r="M121" s="83"/>
      <c r="N121" s="85"/>
    </row>
    <row r="122" spans="9:14" x14ac:dyDescent="0.3">
      <c r="I122" s="82"/>
      <c r="J122" s="83"/>
      <c r="K122" s="83"/>
      <c r="L122" s="84"/>
      <c r="M122" s="83"/>
      <c r="N122" s="85"/>
    </row>
    <row r="123" spans="9:14" x14ac:dyDescent="0.3">
      <c r="I123" s="82"/>
      <c r="J123" s="83"/>
      <c r="K123" s="83"/>
      <c r="L123" s="84"/>
      <c r="M123" s="83"/>
      <c r="N123" s="85"/>
    </row>
    <row r="124" spans="9:14" x14ac:dyDescent="0.3">
      <c r="I124" s="82"/>
      <c r="J124" s="83"/>
      <c r="K124" s="83"/>
      <c r="L124" s="84"/>
      <c r="M124" s="83"/>
      <c r="N124" s="85"/>
    </row>
    <row r="125" spans="9:14" x14ac:dyDescent="0.3">
      <c r="I125" s="82"/>
      <c r="J125" s="83"/>
      <c r="K125" s="83"/>
      <c r="L125" s="84"/>
      <c r="M125" s="83"/>
      <c r="N125" s="85"/>
    </row>
    <row r="126" spans="9:14" x14ac:dyDescent="0.3">
      <c r="I126" s="82"/>
      <c r="J126" s="83"/>
      <c r="K126" s="83"/>
      <c r="L126" s="84"/>
      <c r="M126" s="83"/>
      <c r="N126" s="85"/>
    </row>
    <row r="127" spans="9:14" x14ac:dyDescent="0.3">
      <c r="I127" s="82"/>
      <c r="J127" s="83"/>
      <c r="K127" s="83"/>
      <c r="L127" s="84"/>
      <c r="M127" s="83"/>
      <c r="N127" s="85"/>
    </row>
    <row r="128" spans="9:14" x14ac:dyDescent="0.3">
      <c r="I128" s="82"/>
      <c r="J128" s="83"/>
      <c r="K128" s="83"/>
      <c r="L128" s="84"/>
      <c r="M128" s="83"/>
      <c r="N128" s="85"/>
    </row>
    <row r="129" spans="9:14" x14ac:dyDescent="0.3">
      <c r="I129" s="82"/>
      <c r="J129" s="83"/>
      <c r="K129" s="83"/>
      <c r="L129" s="84"/>
      <c r="M129" s="83"/>
      <c r="N129" s="85"/>
    </row>
    <row r="130" spans="9:14" x14ac:dyDescent="0.3">
      <c r="I130" s="82"/>
      <c r="J130" s="83"/>
      <c r="K130" s="83"/>
      <c r="L130" s="84"/>
      <c r="M130" s="83"/>
      <c r="N130" s="85"/>
    </row>
    <row r="131" spans="9:14" x14ac:dyDescent="0.3">
      <c r="I131" s="82"/>
      <c r="J131" s="83"/>
      <c r="K131" s="83"/>
      <c r="L131" s="84"/>
      <c r="M131" s="83"/>
      <c r="N131" s="85"/>
    </row>
    <row r="132" spans="9:14" x14ac:dyDescent="0.3">
      <c r="I132" s="82"/>
      <c r="J132" s="83"/>
      <c r="K132" s="83"/>
      <c r="L132" s="84"/>
      <c r="M132" s="83"/>
      <c r="N132" s="85"/>
    </row>
    <row r="133" spans="9:14" x14ac:dyDescent="0.3">
      <c r="I133" s="82"/>
      <c r="J133" s="83"/>
      <c r="K133" s="83"/>
      <c r="L133" s="84"/>
      <c r="M133" s="83"/>
      <c r="N133" s="85"/>
    </row>
    <row r="134" spans="9:14" x14ac:dyDescent="0.3">
      <c r="I134" s="82"/>
      <c r="J134" s="83"/>
      <c r="K134" s="83"/>
      <c r="L134" s="84"/>
      <c r="M134" s="83"/>
      <c r="N134" s="85"/>
    </row>
    <row r="135" spans="9:14" x14ac:dyDescent="0.3">
      <c r="I135" s="82"/>
      <c r="J135" s="83"/>
      <c r="K135" s="83"/>
      <c r="L135" s="84"/>
      <c r="M135" s="83"/>
      <c r="N135" s="85"/>
    </row>
    <row r="136" spans="9:14" x14ac:dyDescent="0.3">
      <c r="I136" s="82"/>
      <c r="J136" s="83"/>
      <c r="K136" s="83"/>
      <c r="L136" s="84"/>
      <c r="M136" s="83"/>
      <c r="N136" s="85"/>
    </row>
    <row r="137" spans="9:14" x14ac:dyDescent="0.3">
      <c r="I137" s="82"/>
      <c r="J137" s="83"/>
      <c r="K137" s="83"/>
      <c r="L137" s="84"/>
      <c r="M137" s="83"/>
      <c r="N137" s="85"/>
    </row>
    <row r="138" spans="9:14" x14ac:dyDescent="0.3">
      <c r="I138" s="82"/>
      <c r="J138" s="83"/>
      <c r="K138" s="83"/>
      <c r="L138" s="84"/>
      <c r="M138" s="83"/>
      <c r="N138" s="85"/>
    </row>
    <row r="139" spans="9:14" x14ac:dyDescent="0.3">
      <c r="I139" s="82"/>
      <c r="J139" s="83"/>
      <c r="K139" s="83"/>
      <c r="L139" s="84"/>
      <c r="M139" s="83"/>
      <c r="N139" s="85"/>
    </row>
    <row r="140" spans="9:14" x14ac:dyDescent="0.3">
      <c r="I140" s="82"/>
      <c r="J140" s="83"/>
      <c r="K140" s="83"/>
      <c r="L140" s="84"/>
      <c r="M140" s="83"/>
      <c r="N140" s="85"/>
    </row>
    <row r="141" spans="9:14" x14ac:dyDescent="0.3">
      <c r="I141" s="82"/>
      <c r="J141" s="83"/>
      <c r="K141" s="83"/>
      <c r="L141" s="84"/>
      <c r="M141" s="83"/>
      <c r="N141" s="85"/>
    </row>
    <row r="142" spans="9:14" x14ac:dyDescent="0.3">
      <c r="I142" s="82"/>
      <c r="J142" s="83"/>
      <c r="K142" s="83"/>
      <c r="L142" s="84"/>
      <c r="M142" s="83"/>
      <c r="N142" s="85"/>
    </row>
    <row r="143" spans="9:14" x14ac:dyDescent="0.3">
      <c r="I143" s="82"/>
      <c r="J143" s="83"/>
      <c r="K143" s="83"/>
      <c r="L143" s="84"/>
      <c r="M143" s="83"/>
      <c r="N143" s="85"/>
    </row>
    <row r="144" spans="9:14" x14ac:dyDescent="0.3">
      <c r="I144" s="82"/>
      <c r="J144" s="83"/>
      <c r="K144" s="83"/>
      <c r="L144" s="84"/>
      <c r="M144" s="83"/>
      <c r="N144" s="85"/>
    </row>
    <row r="145" spans="9:14" x14ac:dyDescent="0.3">
      <c r="I145" s="82"/>
      <c r="J145" s="83"/>
      <c r="K145" s="83"/>
      <c r="L145" s="84"/>
      <c r="M145" s="83"/>
      <c r="N145" s="85"/>
    </row>
    <row r="146" spans="9:14" x14ac:dyDescent="0.3">
      <c r="I146" s="82"/>
      <c r="J146" s="83"/>
      <c r="K146" s="83"/>
      <c r="L146" s="84"/>
      <c r="M146" s="83"/>
      <c r="N146" s="85"/>
    </row>
    <row r="147" spans="9:14" x14ac:dyDescent="0.3">
      <c r="I147" s="82"/>
      <c r="J147" s="83"/>
      <c r="K147" s="83"/>
      <c r="L147" s="84"/>
      <c r="M147" s="83"/>
      <c r="N147" s="85"/>
    </row>
    <row r="148" spans="9:14" x14ac:dyDescent="0.3">
      <c r="I148" s="82"/>
      <c r="J148" s="83"/>
      <c r="K148" s="83"/>
      <c r="L148" s="84"/>
      <c r="M148" s="83"/>
      <c r="N148" s="85"/>
    </row>
    <row r="149" spans="9:14" x14ac:dyDescent="0.3">
      <c r="I149" s="82"/>
      <c r="J149" s="83"/>
      <c r="K149" s="83"/>
      <c r="L149" s="84"/>
      <c r="M149" s="83"/>
      <c r="N149" s="85"/>
    </row>
    <row r="150" spans="9:14" x14ac:dyDescent="0.3">
      <c r="I150" s="82"/>
      <c r="J150" s="83"/>
      <c r="K150" s="83"/>
      <c r="L150" s="84"/>
      <c r="M150" s="83"/>
      <c r="N150" s="85"/>
    </row>
    <row r="151" spans="9:14" x14ac:dyDescent="0.3">
      <c r="I151" s="82"/>
      <c r="J151" s="83"/>
      <c r="K151" s="83"/>
      <c r="L151" s="84"/>
      <c r="M151" s="83"/>
      <c r="N151" s="85"/>
    </row>
    <row r="152" spans="9:14" x14ac:dyDescent="0.3">
      <c r="I152" s="82"/>
      <c r="J152" s="83"/>
      <c r="K152" s="83"/>
      <c r="L152" s="84"/>
      <c r="M152" s="83"/>
      <c r="N152" s="85"/>
    </row>
    <row r="153" spans="9:14" x14ac:dyDescent="0.3">
      <c r="I153" s="82"/>
      <c r="J153" s="83"/>
      <c r="K153" s="83"/>
      <c r="L153" s="84"/>
      <c r="M153" s="83"/>
      <c r="N153" s="85"/>
    </row>
    <row r="154" spans="9:14" x14ac:dyDescent="0.3">
      <c r="I154" s="82"/>
      <c r="J154" s="83"/>
      <c r="K154" s="83"/>
      <c r="L154" s="84"/>
      <c r="M154" s="83"/>
      <c r="N154" s="85"/>
    </row>
    <row r="155" spans="9:14" x14ac:dyDescent="0.3">
      <c r="I155" s="82"/>
      <c r="J155" s="83"/>
      <c r="K155" s="83"/>
      <c r="L155" s="84"/>
      <c r="M155" s="83"/>
      <c r="N155" s="85"/>
    </row>
    <row r="156" spans="9:14" x14ac:dyDescent="0.3">
      <c r="I156" s="82"/>
      <c r="J156" s="83"/>
      <c r="K156" s="83"/>
      <c r="L156" s="84"/>
      <c r="M156" s="83"/>
      <c r="N156" s="85"/>
    </row>
    <row r="157" spans="9:14" x14ac:dyDescent="0.3">
      <c r="I157" s="82"/>
      <c r="J157" s="83"/>
      <c r="K157" s="83"/>
      <c r="L157" s="84"/>
      <c r="M157" s="83"/>
      <c r="N157" s="85"/>
    </row>
    <row r="158" spans="9:14" x14ac:dyDescent="0.3">
      <c r="I158" s="82"/>
      <c r="J158" s="83"/>
      <c r="K158" s="83"/>
      <c r="L158" s="84"/>
      <c r="M158" s="83"/>
      <c r="N158" s="85"/>
    </row>
    <row r="159" spans="9:14" x14ac:dyDescent="0.3">
      <c r="I159" s="82"/>
      <c r="J159" s="83"/>
      <c r="K159" s="83"/>
      <c r="L159" s="84"/>
      <c r="M159" s="83"/>
      <c r="N159" s="85"/>
    </row>
    <row r="160" spans="9:14" x14ac:dyDescent="0.3">
      <c r="I160" s="82"/>
      <c r="J160" s="83"/>
      <c r="K160" s="83"/>
      <c r="L160" s="84"/>
      <c r="M160" s="83"/>
      <c r="N160" s="85"/>
    </row>
    <row r="161" spans="9:14" x14ac:dyDescent="0.3">
      <c r="I161" s="82"/>
      <c r="J161" s="83"/>
      <c r="K161" s="83"/>
      <c r="L161" s="84"/>
      <c r="M161" s="83"/>
      <c r="N161" s="85"/>
    </row>
    <row r="162" spans="9:14" x14ac:dyDescent="0.3">
      <c r="I162" s="82"/>
      <c r="J162" s="83"/>
      <c r="K162" s="83"/>
      <c r="L162" s="84"/>
      <c r="M162" s="83"/>
      <c r="N162" s="85"/>
    </row>
    <row r="163" spans="9:14" x14ac:dyDescent="0.3">
      <c r="I163" s="82"/>
      <c r="J163" s="83"/>
      <c r="K163" s="83"/>
      <c r="L163" s="84"/>
      <c r="M163" s="83"/>
      <c r="N163" s="85"/>
    </row>
    <row r="164" spans="9:14" x14ac:dyDescent="0.3">
      <c r="I164" s="82"/>
      <c r="J164" s="83"/>
      <c r="K164" s="83"/>
      <c r="L164" s="84"/>
      <c r="M164" s="83"/>
      <c r="N164" s="85"/>
    </row>
    <row r="165" spans="9:14" x14ac:dyDescent="0.3">
      <c r="I165" s="82"/>
      <c r="J165" s="83"/>
      <c r="K165" s="83"/>
      <c r="L165" s="84"/>
      <c r="M165" s="83"/>
      <c r="N165" s="85"/>
    </row>
    <row r="166" spans="9:14" x14ac:dyDescent="0.3">
      <c r="I166" s="82"/>
      <c r="J166" s="83"/>
      <c r="K166" s="83"/>
      <c r="L166" s="84"/>
      <c r="M166" s="83"/>
      <c r="N166" s="85"/>
    </row>
    <row r="167" spans="9:14" x14ac:dyDescent="0.3">
      <c r="I167" s="82"/>
      <c r="J167" s="83"/>
      <c r="K167" s="83"/>
      <c r="L167" s="84"/>
      <c r="M167" s="83"/>
      <c r="N167" s="85"/>
    </row>
    <row r="168" spans="9:14" x14ac:dyDescent="0.3">
      <c r="I168" s="82"/>
      <c r="J168" s="83"/>
      <c r="K168" s="83"/>
      <c r="L168" s="84"/>
      <c r="M168" s="83"/>
      <c r="N168" s="85"/>
    </row>
    <row r="169" spans="9:14" x14ac:dyDescent="0.3">
      <c r="I169" s="82"/>
      <c r="J169" s="83"/>
      <c r="K169" s="83"/>
      <c r="L169" s="84"/>
      <c r="M169" s="83"/>
      <c r="N169" s="85"/>
    </row>
    <row r="170" spans="9:14" x14ac:dyDescent="0.3">
      <c r="I170" s="82"/>
      <c r="J170" s="83"/>
      <c r="K170" s="83"/>
      <c r="L170" s="84"/>
      <c r="M170" s="83"/>
      <c r="N170" s="85"/>
    </row>
    <row r="171" spans="9:14" x14ac:dyDescent="0.3">
      <c r="I171" s="82"/>
      <c r="J171" s="83"/>
      <c r="K171" s="83"/>
      <c r="L171" s="84"/>
      <c r="M171" s="83"/>
      <c r="N171" s="85"/>
    </row>
    <row r="172" spans="9:14" x14ac:dyDescent="0.3">
      <c r="I172" s="82"/>
      <c r="J172" s="83"/>
      <c r="K172" s="83"/>
      <c r="L172" s="84"/>
      <c r="M172" s="83"/>
      <c r="N172" s="85"/>
    </row>
    <row r="173" spans="9:14" x14ac:dyDescent="0.3">
      <c r="I173" s="82"/>
      <c r="J173" s="83"/>
      <c r="K173" s="83"/>
      <c r="L173" s="84"/>
      <c r="M173" s="83"/>
      <c r="N173" s="85"/>
    </row>
    <row r="174" spans="9:14" x14ac:dyDescent="0.3">
      <c r="I174" s="82"/>
      <c r="J174" s="83"/>
      <c r="K174" s="83"/>
      <c r="L174" s="84"/>
      <c r="M174" s="83"/>
      <c r="N174" s="85"/>
    </row>
    <row r="175" spans="9:14" x14ac:dyDescent="0.3">
      <c r="I175" s="82"/>
      <c r="J175" s="83"/>
      <c r="K175" s="83"/>
      <c r="L175" s="84"/>
      <c r="M175" s="83"/>
      <c r="N175" s="85"/>
    </row>
    <row r="176" spans="9:14" x14ac:dyDescent="0.3">
      <c r="I176" s="82"/>
      <c r="J176" s="83"/>
      <c r="K176" s="83"/>
      <c r="L176" s="84"/>
      <c r="M176" s="83"/>
      <c r="N176" s="85"/>
    </row>
    <row r="177" spans="9:14" x14ac:dyDescent="0.3">
      <c r="I177" s="82"/>
      <c r="J177" s="83"/>
      <c r="K177" s="83"/>
      <c r="L177" s="84"/>
      <c r="M177" s="83"/>
      <c r="N177" s="85"/>
    </row>
    <row r="178" spans="9:14" x14ac:dyDescent="0.3">
      <c r="I178" s="82"/>
      <c r="J178" s="83"/>
      <c r="K178" s="83"/>
      <c r="L178" s="84"/>
      <c r="M178" s="83"/>
      <c r="N178" s="85"/>
    </row>
    <row r="179" spans="9:14" x14ac:dyDescent="0.3">
      <c r="I179" s="82"/>
      <c r="J179" s="83"/>
      <c r="K179" s="83"/>
      <c r="L179" s="84"/>
      <c r="M179" s="83"/>
      <c r="N179" s="85"/>
    </row>
    <row r="180" spans="9:14" x14ac:dyDescent="0.3">
      <c r="I180" s="82"/>
      <c r="J180" s="83"/>
      <c r="K180" s="83"/>
      <c r="L180" s="84"/>
      <c r="M180" s="83"/>
      <c r="N180" s="85"/>
    </row>
    <row r="181" spans="9:14" x14ac:dyDescent="0.3">
      <c r="I181" s="82"/>
      <c r="J181" s="83"/>
      <c r="K181" s="83"/>
      <c r="L181" s="84"/>
      <c r="M181" s="83"/>
      <c r="N181" s="85"/>
    </row>
    <row r="182" spans="9:14" x14ac:dyDescent="0.3">
      <c r="I182" s="82"/>
      <c r="J182" s="83"/>
      <c r="K182" s="83"/>
      <c r="L182" s="84"/>
      <c r="M182" s="83"/>
      <c r="N182" s="85"/>
    </row>
    <row r="183" spans="9:14" x14ac:dyDescent="0.3">
      <c r="I183" s="82"/>
      <c r="J183" s="83"/>
      <c r="K183" s="83"/>
      <c r="L183" s="84"/>
      <c r="M183" s="83"/>
      <c r="N183" s="85"/>
    </row>
    <row r="184" spans="9:14" x14ac:dyDescent="0.3">
      <c r="I184" s="82"/>
      <c r="J184" s="83"/>
      <c r="K184" s="83"/>
      <c r="L184" s="84"/>
      <c r="M184" s="83"/>
      <c r="N184" s="85"/>
    </row>
    <row r="185" spans="9:14" x14ac:dyDescent="0.3">
      <c r="I185" s="82"/>
      <c r="J185" s="83"/>
      <c r="K185" s="83"/>
      <c r="L185" s="84"/>
      <c r="M185" s="83"/>
      <c r="N185" s="85"/>
    </row>
    <row r="186" spans="9:14" x14ac:dyDescent="0.3">
      <c r="I186" s="82"/>
      <c r="J186" s="83"/>
      <c r="K186" s="83"/>
      <c r="L186" s="84"/>
      <c r="M186" s="83"/>
      <c r="N186" s="85"/>
    </row>
    <row r="187" spans="9:14" x14ac:dyDescent="0.3">
      <c r="I187" s="82"/>
      <c r="J187" s="83"/>
      <c r="K187" s="83"/>
      <c r="L187" s="84"/>
      <c r="M187" s="83"/>
      <c r="N187" s="85"/>
    </row>
    <row r="188" spans="9:14" x14ac:dyDescent="0.3">
      <c r="I188" s="82"/>
      <c r="J188" s="83"/>
      <c r="K188" s="83"/>
      <c r="L188" s="84"/>
      <c r="M188" s="83"/>
      <c r="N188" s="85"/>
    </row>
    <row r="189" spans="9:14" x14ac:dyDescent="0.3">
      <c r="I189" s="82"/>
      <c r="J189" s="83"/>
      <c r="K189" s="83"/>
      <c r="L189" s="84"/>
      <c r="M189" s="83"/>
      <c r="N189" s="85"/>
    </row>
    <row r="190" spans="9:14" x14ac:dyDescent="0.3">
      <c r="I190" s="82"/>
      <c r="J190" s="83"/>
      <c r="K190" s="83"/>
      <c r="L190" s="84"/>
      <c r="M190" s="83"/>
      <c r="N190" s="85"/>
    </row>
    <row r="191" spans="9:14" x14ac:dyDescent="0.3">
      <c r="I191" s="82"/>
      <c r="J191" s="83"/>
      <c r="K191" s="83"/>
      <c r="L191" s="84"/>
      <c r="M191" s="83"/>
      <c r="N191" s="85"/>
    </row>
    <row r="192" spans="9:14" x14ac:dyDescent="0.3">
      <c r="I192" s="82"/>
      <c r="J192" s="83"/>
      <c r="K192" s="83"/>
      <c r="L192" s="84"/>
      <c r="M192" s="83"/>
      <c r="N192" s="85"/>
    </row>
    <row r="193" spans="9:14" x14ac:dyDescent="0.3">
      <c r="I193" s="82"/>
      <c r="J193" s="83"/>
      <c r="K193" s="83"/>
      <c r="L193" s="84"/>
      <c r="M193" s="83"/>
      <c r="N193" s="85"/>
    </row>
    <row r="194" spans="9:14" x14ac:dyDescent="0.3">
      <c r="I194" s="82"/>
      <c r="J194" s="83"/>
      <c r="K194" s="83"/>
      <c r="L194" s="84"/>
      <c r="M194" s="83"/>
      <c r="N194" s="85"/>
    </row>
    <row r="195" spans="9:14" x14ac:dyDescent="0.3">
      <c r="I195" s="82"/>
      <c r="J195" s="83"/>
      <c r="K195" s="83"/>
      <c r="L195" s="84"/>
      <c r="M195" s="83"/>
      <c r="N195" s="85"/>
    </row>
    <row r="196" spans="9:14" x14ac:dyDescent="0.3">
      <c r="I196" s="82"/>
      <c r="J196" s="83"/>
      <c r="K196" s="83"/>
      <c r="L196" s="84"/>
      <c r="M196" s="83"/>
      <c r="N196" s="85"/>
    </row>
    <row r="197" spans="9:14" x14ac:dyDescent="0.3">
      <c r="I197" s="82"/>
      <c r="J197" s="83"/>
      <c r="K197" s="83"/>
      <c r="L197" s="84"/>
      <c r="M197" s="83"/>
      <c r="N197" s="85"/>
    </row>
    <row r="198" spans="9:14" x14ac:dyDescent="0.3">
      <c r="I198" s="82"/>
      <c r="J198" s="83"/>
      <c r="K198" s="83"/>
      <c r="L198" s="84"/>
      <c r="M198" s="83"/>
      <c r="N198" s="85"/>
    </row>
    <row r="199" spans="9:14" x14ac:dyDescent="0.3">
      <c r="I199" s="82"/>
      <c r="J199" s="83"/>
      <c r="K199" s="83"/>
      <c r="L199" s="84"/>
      <c r="M199" s="83"/>
      <c r="N199" s="85"/>
    </row>
    <row r="200" spans="9:14" x14ac:dyDescent="0.3">
      <c r="I200" s="82"/>
      <c r="J200" s="83"/>
      <c r="K200" s="83"/>
      <c r="L200" s="84"/>
      <c r="M200" s="83"/>
      <c r="N200" s="85"/>
    </row>
    <row r="201" spans="9:14" x14ac:dyDescent="0.3">
      <c r="I201" s="82"/>
      <c r="J201" s="83"/>
      <c r="K201" s="83"/>
      <c r="L201" s="84"/>
      <c r="M201" s="83"/>
      <c r="N201" s="85"/>
    </row>
    <row r="202" spans="9:14" x14ac:dyDescent="0.3">
      <c r="I202" s="82"/>
      <c r="J202" s="83"/>
      <c r="K202" s="83"/>
      <c r="L202" s="84"/>
      <c r="M202" s="83"/>
      <c r="N202" s="85"/>
    </row>
    <row r="203" spans="9:14" x14ac:dyDescent="0.3">
      <c r="I203" s="82"/>
      <c r="J203" s="83"/>
      <c r="K203" s="83"/>
      <c r="L203" s="84"/>
      <c r="M203" s="83"/>
      <c r="N203" s="85"/>
    </row>
    <row r="204" spans="9:14" x14ac:dyDescent="0.3">
      <c r="I204" s="82"/>
      <c r="J204" s="83"/>
      <c r="K204" s="83"/>
      <c r="L204" s="84"/>
      <c r="M204" s="83"/>
      <c r="N204" s="85"/>
    </row>
    <row r="205" spans="9:14" x14ac:dyDescent="0.3">
      <c r="I205" s="82"/>
      <c r="J205" s="83"/>
      <c r="K205" s="83"/>
      <c r="L205" s="84"/>
      <c r="M205" s="83"/>
      <c r="N205" s="85"/>
    </row>
    <row r="206" spans="9:14" x14ac:dyDescent="0.3">
      <c r="I206" s="82"/>
      <c r="J206" s="83"/>
      <c r="K206" s="83"/>
      <c r="L206" s="84"/>
      <c r="M206" s="83"/>
      <c r="N206" s="85"/>
    </row>
    <row r="207" spans="9:14" x14ac:dyDescent="0.3">
      <c r="I207" s="82"/>
      <c r="J207" s="83"/>
      <c r="K207" s="83"/>
      <c r="L207" s="84"/>
      <c r="M207" s="83"/>
      <c r="N207" s="85"/>
    </row>
    <row r="208" spans="9:14" x14ac:dyDescent="0.3">
      <c r="I208" s="82"/>
      <c r="J208" s="83"/>
      <c r="K208" s="83"/>
      <c r="L208" s="84"/>
      <c r="M208" s="83"/>
      <c r="N208" s="85"/>
    </row>
    <row r="209" spans="9:14" x14ac:dyDescent="0.3">
      <c r="I209" s="82"/>
      <c r="J209" s="83"/>
      <c r="K209" s="83"/>
      <c r="L209" s="84"/>
      <c r="M209" s="83"/>
      <c r="N209" s="85"/>
    </row>
    <row r="210" spans="9:14" x14ac:dyDescent="0.3">
      <c r="I210" s="82"/>
      <c r="J210" s="83"/>
      <c r="K210" s="83"/>
      <c r="L210" s="84"/>
      <c r="M210" s="83"/>
      <c r="N210" s="85"/>
    </row>
    <row r="211" spans="9:14" x14ac:dyDescent="0.3">
      <c r="I211" s="82"/>
      <c r="J211" s="83"/>
      <c r="K211" s="83"/>
      <c r="L211" s="84"/>
      <c r="M211" s="83"/>
      <c r="N211" s="85"/>
    </row>
    <row r="212" spans="9:14" x14ac:dyDescent="0.3">
      <c r="I212" s="82"/>
      <c r="J212" s="83"/>
      <c r="K212" s="83"/>
      <c r="L212" s="84"/>
      <c r="M212" s="83"/>
      <c r="N212" s="85"/>
    </row>
    <row r="213" spans="9:14" x14ac:dyDescent="0.3">
      <c r="I213" s="82"/>
      <c r="J213" s="83"/>
      <c r="K213" s="83"/>
      <c r="L213" s="84"/>
      <c r="M213" s="83"/>
      <c r="N213" s="85"/>
    </row>
    <row r="214" spans="9:14" x14ac:dyDescent="0.3">
      <c r="I214" s="82"/>
      <c r="J214" s="83"/>
      <c r="K214" s="83"/>
      <c r="L214" s="84"/>
      <c r="M214" s="83"/>
      <c r="N214" s="85"/>
    </row>
    <row r="215" spans="9:14" x14ac:dyDescent="0.3">
      <c r="I215" s="82"/>
      <c r="J215" s="83"/>
      <c r="K215" s="83"/>
      <c r="L215" s="84"/>
      <c r="M215" s="83"/>
      <c r="N215" s="85"/>
    </row>
    <row r="216" spans="9:14" x14ac:dyDescent="0.3">
      <c r="I216" s="82"/>
      <c r="J216" s="83"/>
      <c r="K216" s="83"/>
      <c r="L216" s="84"/>
      <c r="M216" s="83"/>
      <c r="N216" s="85"/>
    </row>
    <row r="217" spans="9:14" x14ac:dyDescent="0.3">
      <c r="I217" s="82"/>
      <c r="J217" s="83"/>
      <c r="K217" s="83"/>
      <c r="L217" s="84"/>
      <c r="M217" s="83"/>
      <c r="N217" s="85"/>
    </row>
    <row r="218" spans="9:14" x14ac:dyDescent="0.3">
      <c r="I218" s="82"/>
      <c r="J218" s="83"/>
      <c r="K218" s="83"/>
      <c r="L218" s="84"/>
      <c r="M218" s="83"/>
      <c r="N218" s="85"/>
    </row>
    <row r="219" spans="9:14" x14ac:dyDescent="0.3">
      <c r="I219" s="82"/>
      <c r="J219" s="83"/>
      <c r="K219" s="83"/>
      <c r="L219" s="84"/>
      <c r="M219" s="83"/>
      <c r="N219" s="85"/>
    </row>
    <row r="220" spans="9:14" x14ac:dyDescent="0.3">
      <c r="I220" s="82"/>
      <c r="J220" s="83"/>
      <c r="K220" s="83"/>
      <c r="L220" s="84"/>
      <c r="M220" s="83"/>
      <c r="N220" s="85"/>
    </row>
    <row r="221" spans="9:14" x14ac:dyDescent="0.3">
      <c r="I221" s="82"/>
      <c r="J221" s="83"/>
      <c r="K221" s="83"/>
      <c r="L221" s="84"/>
      <c r="M221" s="83"/>
      <c r="N221" s="85"/>
    </row>
    <row r="222" spans="9:14" x14ac:dyDescent="0.3">
      <c r="I222" s="82"/>
      <c r="J222" s="83"/>
      <c r="K222" s="83"/>
      <c r="L222" s="84"/>
      <c r="M222" s="83"/>
      <c r="N222" s="85"/>
    </row>
    <row r="223" spans="9:14" x14ac:dyDescent="0.3">
      <c r="I223" s="82"/>
      <c r="J223" s="83"/>
      <c r="K223" s="83"/>
      <c r="L223" s="84"/>
      <c r="M223" s="83"/>
      <c r="N223" s="85"/>
    </row>
    <row r="224" spans="9:14" x14ac:dyDescent="0.3">
      <c r="I224" s="82"/>
      <c r="J224" s="83"/>
      <c r="K224" s="83"/>
      <c r="L224" s="84"/>
      <c r="M224" s="83"/>
      <c r="N224" s="85"/>
    </row>
    <row r="225" spans="9:14" x14ac:dyDescent="0.3">
      <c r="I225" s="82"/>
      <c r="J225" s="83"/>
      <c r="K225" s="83"/>
      <c r="L225" s="84"/>
      <c r="M225" s="83"/>
      <c r="N225" s="85"/>
    </row>
    <row r="226" spans="9:14" x14ac:dyDescent="0.3">
      <c r="I226" s="82"/>
      <c r="J226" s="83"/>
      <c r="K226" s="83"/>
      <c r="L226" s="84"/>
      <c r="M226" s="83"/>
      <c r="N226" s="85"/>
    </row>
    <row r="227" spans="9:14" x14ac:dyDescent="0.3">
      <c r="I227" s="82"/>
      <c r="J227" s="83"/>
      <c r="K227" s="83"/>
      <c r="L227" s="84"/>
      <c r="M227" s="83"/>
      <c r="N227" s="85"/>
    </row>
    <row r="228" spans="9:14" x14ac:dyDescent="0.3">
      <c r="I228" s="82"/>
      <c r="J228" s="83"/>
      <c r="K228" s="83"/>
      <c r="L228" s="84"/>
      <c r="M228" s="83"/>
      <c r="N228" s="85"/>
    </row>
    <row r="229" spans="9:14" x14ac:dyDescent="0.3">
      <c r="I229" s="82"/>
      <c r="J229" s="83"/>
      <c r="K229" s="83"/>
      <c r="L229" s="84"/>
      <c r="M229" s="83"/>
      <c r="N229" s="85"/>
    </row>
    <row r="230" spans="9:14" x14ac:dyDescent="0.3">
      <c r="I230" s="82"/>
      <c r="J230" s="83"/>
      <c r="K230" s="83"/>
      <c r="L230" s="84"/>
      <c r="M230" s="83"/>
      <c r="N230" s="85"/>
    </row>
    <row r="231" spans="9:14" x14ac:dyDescent="0.3">
      <c r="I231" s="82"/>
      <c r="J231" s="83"/>
      <c r="K231" s="83"/>
      <c r="L231" s="84"/>
      <c r="M231" s="83"/>
      <c r="N231" s="85"/>
    </row>
    <row r="232" spans="9:14" x14ac:dyDescent="0.3">
      <c r="I232" s="82"/>
      <c r="J232" s="83"/>
      <c r="K232" s="83"/>
      <c r="L232" s="84"/>
      <c r="M232" s="83"/>
      <c r="N232" s="85"/>
    </row>
    <row r="233" spans="9:14" x14ac:dyDescent="0.3">
      <c r="I233" s="82"/>
      <c r="J233" s="83"/>
      <c r="K233" s="83"/>
      <c r="L233" s="84"/>
      <c r="M233" s="83"/>
      <c r="N233" s="85"/>
    </row>
    <row r="234" spans="9:14" x14ac:dyDescent="0.3">
      <c r="I234" s="82"/>
      <c r="J234" s="83"/>
      <c r="K234" s="83"/>
      <c r="L234" s="84"/>
      <c r="M234" s="83"/>
      <c r="N234" s="85"/>
    </row>
    <row r="235" spans="9:14" x14ac:dyDescent="0.3">
      <c r="I235" s="82"/>
      <c r="J235" s="83"/>
      <c r="K235" s="83"/>
      <c r="L235" s="84"/>
      <c r="M235" s="83"/>
      <c r="N235" s="85"/>
    </row>
    <row r="236" spans="9:14" x14ac:dyDescent="0.3">
      <c r="I236" s="82"/>
      <c r="J236" s="83"/>
      <c r="K236" s="83"/>
      <c r="L236" s="84"/>
      <c r="M236" s="83"/>
      <c r="N236" s="85"/>
    </row>
    <row r="237" spans="9:14" x14ac:dyDescent="0.3">
      <c r="I237" s="82"/>
      <c r="J237" s="83"/>
      <c r="K237" s="83"/>
      <c r="L237" s="84"/>
      <c r="M237" s="83"/>
      <c r="N237" s="85"/>
    </row>
    <row r="238" spans="9:14" x14ac:dyDescent="0.3">
      <c r="I238" s="82"/>
      <c r="J238" s="83"/>
      <c r="K238" s="83"/>
      <c r="L238" s="84"/>
      <c r="M238" s="83"/>
      <c r="N238" s="85"/>
    </row>
    <row r="239" spans="9:14" x14ac:dyDescent="0.3">
      <c r="I239" s="82"/>
      <c r="J239" s="83"/>
      <c r="K239" s="83"/>
      <c r="L239" s="84"/>
      <c r="M239" s="83"/>
      <c r="N239" s="85"/>
    </row>
    <row r="240" spans="9:14" x14ac:dyDescent="0.3">
      <c r="I240" s="82"/>
      <c r="J240" s="83"/>
      <c r="K240" s="83"/>
      <c r="L240" s="84"/>
      <c r="M240" s="83"/>
      <c r="N240" s="85"/>
    </row>
    <row r="241" spans="9:14" x14ac:dyDescent="0.3">
      <c r="I241" s="82"/>
      <c r="J241" s="83"/>
      <c r="K241" s="83"/>
      <c r="L241" s="84"/>
      <c r="M241" s="83"/>
      <c r="N241" s="85"/>
    </row>
    <row r="242" spans="9:14" x14ac:dyDescent="0.3">
      <c r="I242" s="82"/>
      <c r="J242" s="83"/>
      <c r="K242" s="83"/>
      <c r="L242" s="84"/>
      <c r="M242" s="83"/>
      <c r="N242" s="85"/>
    </row>
    <row r="243" spans="9:14" x14ac:dyDescent="0.3">
      <c r="I243" s="82"/>
      <c r="J243" s="83"/>
      <c r="K243" s="83"/>
      <c r="L243" s="84"/>
      <c r="M243" s="83"/>
      <c r="N243" s="85"/>
    </row>
    <row r="244" spans="9:14" x14ac:dyDescent="0.3">
      <c r="I244" s="82"/>
      <c r="J244" s="83"/>
      <c r="K244" s="83"/>
      <c r="L244" s="84"/>
      <c r="M244" s="83"/>
      <c r="N244" s="85"/>
    </row>
    <row r="245" spans="9:14" x14ac:dyDescent="0.3">
      <c r="I245" s="82"/>
      <c r="J245" s="83"/>
      <c r="K245" s="83"/>
      <c r="L245" s="84"/>
      <c r="M245" s="83"/>
      <c r="N245" s="85"/>
    </row>
    <row r="246" spans="9:14" x14ac:dyDescent="0.3">
      <c r="I246" s="82"/>
      <c r="J246" s="83"/>
      <c r="K246" s="83"/>
      <c r="L246" s="84"/>
      <c r="M246" s="83"/>
      <c r="N246" s="85"/>
    </row>
    <row r="247" spans="9:14" x14ac:dyDescent="0.3">
      <c r="I247" s="82"/>
      <c r="J247" s="83"/>
      <c r="K247" s="83"/>
      <c r="L247" s="84"/>
      <c r="M247" s="83"/>
      <c r="N247" s="85"/>
    </row>
    <row r="248" spans="9:14" x14ac:dyDescent="0.3">
      <c r="I248" s="82"/>
      <c r="J248" s="83"/>
      <c r="K248" s="83"/>
      <c r="L248" s="84"/>
      <c r="M248" s="83"/>
      <c r="N248" s="85"/>
    </row>
    <row r="249" spans="9:14" x14ac:dyDescent="0.3">
      <c r="I249" s="82"/>
      <c r="J249" s="83"/>
      <c r="K249" s="83"/>
      <c r="L249" s="84"/>
      <c r="M249" s="83"/>
      <c r="N249" s="85"/>
    </row>
    <row r="250" spans="9:14" x14ac:dyDescent="0.3">
      <c r="I250" s="82"/>
      <c r="J250" s="83"/>
      <c r="K250" s="83"/>
      <c r="L250" s="84"/>
      <c r="M250" s="83"/>
      <c r="N250" s="85"/>
    </row>
    <row r="251" spans="9:14" x14ac:dyDescent="0.3">
      <c r="I251" s="82"/>
      <c r="J251" s="83"/>
      <c r="K251" s="83"/>
      <c r="L251" s="84"/>
      <c r="M251" s="83"/>
      <c r="N251" s="85"/>
    </row>
    <row r="252" spans="9:14" x14ac:dyDescent="0.3">
      <c r="I252" s="82"/>
      <c r="J252" s="83"/>
      <c r="K252" s="83"/>
      <c r="L252" s="84"/>
      <c r="M252" s="83"/>
      <c r="N252" s="85"/>
    </row>
    <row r="253" spans="9:14" x14ac:dyDescent="0.3">
      <c r="I253" s="82"/>
      <c r="J253" s="83"/>
      <c r="K253" s="83"/>
      <c r="L253" s="84"/>
      <c r="M253" s="83"/>
      <c r="N253" s="85"/>
    </row>
    <row r="254" spans="9:14" x14ac:dyDescent="0.3">
      <c r="I254" s="82"/>
      <c r="J254" s="83"/>
      <c r="K254" s="83"/>
      <c r="L254" s="84"/>
      <c r="M254" s="83"/>
      <c r="N254" s="85"/>
    </row>
    <row r="255" spans="9:14" x14ac:dyDescent="0.3">
      <c r="I255" s="82"/>
      <c r="J255" s="83"/>
      <c r="K255" s="83"/>
      <c r="L255" s="84"/>
      <c r="M255" s="83"/>
      <c r="N255" s="85"/>
    </row>
    <row r="256" spans="9:14" x14ac:dyDescent="0.3">
      <c r="I256" s="82"/>
      <c r="J256" s="83"/>
      <c r="K256" s="83"/>
      <c r="L256" s="84"/>
      <c r="M256" s="83"/>
      <c r="N256" s="85"/>
    </row>
    <row r="257" spans="9:14" x14ac:dyDescent="0.3">
      <c r="I257" s="82"/>
      <c r="J257" s="83"/>
      <c r="K257" s="83"/>
      <c r="L257" s="84"/>
      <c r="M257" s="83"/>
      <c r="N257" s="85"/>
    </row>
    <row r="258" spans="9:14" x14ac:dyDescent="0.3">
      <c r="I258" s="82"/>
      <c r="J258" s="83"/>
      <c r="K258" s="83"/>
      <c r="L258" s="84"/>
      <c r="M258" s="83"/>
      <c r="N258" s="85"/>
    </row>
    <row r="259" spans="9:14" x14ac:dyDescent="0.3">
      <c r="I259" s="82"/>
      <c r="J259" s="83"/>
      <c r="K259" s="83"/>
      <c r="L259" s="84"/>
      <c r="M259" s="83"/>
      <c r="N259" s="85"/>
    </row>
    <row r="260" spans="9:14" x14ac:dyDescent="0.3">
      <c r="I260" s="82"/>
      <c r="J260" s="83"/>
      <c r="K260" s="83"/>
      <c r="L260" s="84"/>
      <c r="M260" s="83"/>
      <c r="N260" s="85"/>
    </row>
    <row r="261" spans="9:14" x14ac:dyDescent="0.3">
      <c r="I261" s="82"/>
      <c r="J261" s="83"/>
      <c r="K261" s="83"/>
      <c r="L261" s="84"/>
      <c r="M261" s="83"/>
      <c r="N261" s="85"/>
    </row>
    <row r="262" spans="9:14" x14ac:dyDescent="0.3">
      <c r="I262" s="82"/>
      <c r="J262" s="83"/>
      <c r="K262" s="83"/>
      <c r="L262" s="84"/>
      <c r="M262" s="83"/>
      <c r="N262" s="85"/>
    </row>
    <row r="263" spans="9:14" x14ac:dyDescent="0.3">
      <c r="I263" s="82"/>
      <c r="J263" s="83"/>
      <c r="K263" s="83"/>
      <c r="L263" s="84"/>
      <c r="M263" s="83"/>
      <c r="N263" s="85"/>
    </row>
    <row r="264" spans="9:14" x14ac:dyDescent="0.3">
      <c r="I264" s="82"/>
      <c r="J264" s="83"/>
      <c r="K264" s="83"/>
      <c r="L264" s="84"/>
      <c r="M264" s="83"/>
      <c r="N264" s="85"/>
    </row>
    <row r="265" spans="9:14" x14ac:dyDescent="0.3">
      <c r="I265" s="82"/>
      <c r="J265" s="83"/>
      <c r="K265" s="83"/>
      <c r="L265" s="84"/>
      <c r="M265" s="83"/>
      <c r="N265" s="85"/>
    </row>
    <row r="266" spans="9:14" x14ac:dyDescent="0.3">
      <c r="I266" s="82"/>
      <c r="J266" s="83"/>
      <c r="K266" s="83"/>
      <c r="L266" s="84"/>
      <c r="M266" s="83"/>
      <c r="N266" s="85"/>
    </row>
    <row r="267" spans="9:14" x14ac:dyDescent="0.3">
      <c r="I267" s="82"/>
      <c r="J267" s="83"/>
      <c r="K267" s="83"/>
      <c r="L267" s="84"/>
      <c r="M267" s="83"/>
      <c r="N267" s="85"/>
    </row>
    <row r="268" spans="9:14" x14ac:dyDescent="0.3">
      <c r="I268" s="82"/>
      <c r="J268" s="83"/>
      <c r="K268" s="83"/>
      <c r="L268" s="84"/>
      <c r="M268" s="83"/>
      <c r="N268" s="85"/>
    </row>
    <row r="269" spans="9:14" x14ac:dyDescent="0.3">
      <c r="I269" s="82"/>
      <c r="J269" s="83"/>
      <c r="K269" s="83"/>
      <c r="L269" s="84"/>
      <c r="M269" s="83"/>
      <c r="N269" s="85"/>
    </row>
    <row r="270" spans="9:14" x14ac:dyDescent="0.3">
      <c r="I270" s="82"/>
      <c r="J270" s="83"/>
      <c r="K270" s="83"/>
      <c r="L270" s="84"/>
      <c r="M270" s="83"/>
      <c r="N270" s="85"/>
    </row>
    <row r="271" spans="9:14" x14ac:dyDescent="0.3">
      <c r="I271" s="82"/>
      <c r="J271" s="83"/>
      <c r="K271" s="83"/>
      <c r="L271" s="84"/>
      <c r="M271" s="83"/>
      <c r="N271" s="85"/>
    </row>
    <row r="272" spans="9:14" x14ac:dyDescent="0.3">
      <c r="I272" s="82"/>
      <c r="J272" s="83"/>
      <c r="K272" s="83"/>
      <c r="L272" s="84"/>
      <c r="M272" s="83"/>
      <c r="N272" s="85"/>
    </row>
    <row r="273" spans="9:14" x14ac:dyDescent="0.3">
      <c r="I273" s="82"/>
      <c r="J273" s="83"/>
      <c r="K273" s="83"/>
      <c r="L273" s="84"/>
      <c r="M273" s="83"/>
      <c r="N273" s="85"/>
    </row>
    <row r="274" spans="9:14" x14ac:dyDescent="0.3">
      <c r="I274" s="82"/>
      <c r="J274" s="83"/>
      <c r="K274" s="83"/>
      <c r="L274" s="84"/>
      <c r="M274" s="83"/>
      <c r="N274" s="85"/>
    </row>
    <row r="275" spans="9:14" x14ac:dyDescent="0.3">
      <c r="I275" s="82"/>
      <c r="J275" s="83"/>
      <c r="K275" s="83"/>
      <c r="L275" s="84"/>
      <c r="M275" s="83"/>
      <c r="N275" s="85"/>
    </row>
    <row r="276" spans="9:14" x14ac:dyDescent="0.3">
      <c r="I276" s="82"/>
      <c r="J276" s="83"/>
      <c r="K276" s="83"/>
      <c r="L276" s="84"/>
      <c r="M276" s="83"/>
      <c r="N276" s="85"/>
    </row>
    <row r="277" spans="9:14" x14ac:dyDescent="0.3">
      <c r="I277" s="82"/>
      <c r="J277" s="83"/>
      <c r="K277" s="83"/>
      <c r="L277" s="84"/>
      <c r="M277" s="83"/>
      <c r="N277" s="85"/>
    </row>
    <row r="278" spans="9:14" x14ac:dyDescent="0.3">
      <c r="I278" s="82"/>
      <c r="J278" s="83"/>
      <c r="K278" s="83"/>
      <c r="L278" s="84"/>
      <c r="M278" s="83"/>
      <c r="N278" s="85"/>
    </row>
    <row r="279" spans="9:14" x14ac:dyDescent="0.3">
      <c r="I279" s="82"/>
      <c r="J279" s="83"/>
      <c r="K279" s="83"/>
      <c r="L279" s="84"/>
      <c r="M279" s="83"/>
      <c r="N279" s="85"/>
    </row>
    <row r="280" spans="9:14" x14ac:dyDescent="0.3">
      <c r="I280" s="82"/>
      <c r="J280" s="83"/>
      <c r="K280" s="83"/>
      <c r="L280" s="84"/>
      <c r="M280" s="83"/>
      <c r="N280" s="85"/>
    </row>
    <row r="281" spans="9:14" x14ac:dyDescent="0.3">
      <c r="I281" s="82"/>
      <c r="J281" s="83"/>
      <c r="K281" s="83"/>
      <c r="L281" s="84"/>
      <c r="M281" s="83"/>
      <c r="N281" s="85"/>
    </row>
    <row r="282" spans="9:14" x14ac:dyDescent="0.3">
      <c r="I282" s="82"/>
      <c r="J282" s="83"/>
      <c r="K282" s="83"/>
      <c r="L282" s="84"/>
      <c r="M282" s="83"/>
      <c r="N282" s="85"/>
    </row>
    <row r="283" spans="9:14" x14ac:dyDescent="0.3">
      <c r="I283" s="82"/>
      <c r="J283" s="83"/>
      <c r="K283" s="83"/>
      <c r="L283" s="84"/>
      <c r="M283" s="83"/>
      <c r="N283" s="85"/>
    </row>
    <row r="284" spans="9:14" x14ac:dyDescent="0.3">
      <c r="I284" s="82"/>
      <c r="J284" s="83"/>
      <c r="K284" s="83"/>
      <c r="L284" s="84"/>
      <c r="M284" s="83"/>
      <c r="N284" s="85"/>
    </row>
    <row r="285" spans="9:14" x14ac:dyDescent="0.3">
      <c r="I285" s="82"/>
      <c r="J285" s="83"/>
      <c r="K285" s="83"/>
      <c r="L285" s="84"/>
      <c r="M285" s="83"/>
      <c r="N285" s="85"/>
    </row>
    <row r="286" spans="9:14" x14ac:dyDescent="0.3">
      <c r="I286" s="82"/>
      <c r="J286" s="83"/>
      <c r="K286" s="83"/>
      <c r="L286" s="84"/>
      <c r="M286" s="83"/>
      <c r="N286" s="85"/>
    </row>
    <row r="287" spans="9:14" x14ac:dyDescent="0.3">
      <c r="I287" s="82"/>
      <c r="J287" s="83"/>
      <c r="K287" s="83"/>
      <c r="L287" s="84"/>
      <c r="M287" s="83"/>
      <c r="N287" s="85"/>
    </row>
    <row r="288" spans="9:14" x14ac:dyDescent="0.3">
      <c r="I288" s="82"/>
      <c r="J288" s="83"/>
      <c r="K288" s="83"/>
      <c r="L288" s="84"/>
      <c r="M288" s="83"/>
      <c r="N288" s="85"/>
    </row>
    <row r="289" spans="9:14" x14ac:dyDescent="0.3">
      <c r="I289" s="82"/>
      <c r="J289" s="83"/>
      <c r="K289" s="83"/>
      <c r="L289" s="84"/>
      <c r="M289" s="83"/>
      <c r="N289" s="85"/>
    </row>
    <row r="290" spans="9:14" x14ac:dyDescent="0.3">
      <c r="I290" s="82"/>
      <c r="J290" s="83"/>
      <c r="K290" s="83"/>
      <c r="L290" s="84"/>
      <c r="M290" s="83"/>
      <c r="N290" s="85"/>
    </row>
    <row r="291" spans="9:14" x14ac:dyDescent="0.3">
      <c r="I291" s="82"/>
      <c r="J291" s="83"/>
      <c r="K291" s="83"/>
      <c r="L291" s="84"/>
      <c r="M291" s="83"/>
      <c r="N291" s="85"/>
    </row>
    <row r="292" spans="9:14" x14ac:dyDescent="0.3">
      <c r="I292" s="82"/>
      <c r="J292" s="83"/>
      <c r="K292" s="83"/>
      <c r="L292" s="84"/>
      <c r="M292" s="83"/>
      <c r="N292" s="85"/>
    </row>
    <row r="293" spans="9:14" x14ac:dyDescent="0.3">
      <c r="I293" s="82"/>
      <c r="J293" s="83"/>
      <c r="K293" s="83"/>
      <c r="L293" s="84"/>
      <c r="M293" s="83"/>
      <c r="N293" s="85"/>
    </row>
    <row r="294" spans="9:14" x14ac:dyDescent="0.3">
      <c r="I294" s="82"/>
      <c r="J294" s="83"/>
      <c r="K294" s="83"/>
      <c r="L294" s="84"/>
      <c r="M294" s="83"/>
      <c r="N294" s="85"/>
    </row>
    <row r="295" spans="9:14" x14ac:dyDescent="0.3">
      <c r="I295" s="82"/>
      <c r="J295" s="83"/>
      <c r="K295" s="83"/>
      <c r="L295" s="84"/>
      <c r="M295" s="83"/>
      <c r="N295" s="85"/>
    </row>
    <row r="296" spans="9:14" x14ac:dyDescent="0.3">
      <c r="I296" s="82"/>
      <c r="J296" s="83"/>
      <c r="K296" s="83"/>
      <c r="L296" s="84"/>
      <c r="M296" s="83"/>
      <c r="N296" s="85"/>
    </row>
    <row r="297" spans="9:14" x14ac:dyDescent="0.3">
      <c r="I297" s="82"/>
      <c r="J297" s="83"/>
      <c r="K297" s="83"/>
      <c r="L297" s="84"/>
      <c r="M297" s="83"/>
      <c r="N297" s="85"/>
    </row>
    <row r="298" spans="9:14" x14ac:dyDescent="0.3">
      <c r="I298" s="82"/>
      <c r="J298" s="83"/>
      <c r="K298" s="83"/>
      <c r="L298" s="84"/>
      <c r="M298" s="83"/>
      <c r="N298" s="85"/>
    </row>
    <row r="299" spans="9:14" x14ac:dyDescent="0.3">
      <c r="I299" s="82"/>
      <c r="J299" s="83"/>
      <c r="K299" s="83"/>
      <c r="L299" s="84"/>
      <c r="M299" s="83"/>
      <c r="N299" s="85"/>
    </row>
    <row r="300" spans="9:14" x14ac:dyDescent="0.3">
      <c r="I300" s="82"/>
      <c r="J300" s="83"/>
      <c r="K300" s="83"/>
      <c r="L300" s="84"/>
      <c r="M300" s="83"/>
      <c r="N300" s="85"/>
    </row>
    <row r="301" spans="9:14" x14ac:dyDescent="0.3">
      <c r="I301" s="82"/>
      <c r="J301" s="83"/>
      <c r="K301" s="83"/>
      <c r="L301" s="84"/>
      <c r="M301" s="83"/>
      <c r="N301" s="85"/>
    </row>
    <row r="302" spans="9:14" x14ac:dyDescent="0.3">
      <c r="I302" s="82"/>
      <c r="J302" s="83"/>
      <c r="K302" s="83"/>
      <c r="L302" s="84"/>
      <c r="M302" s="83"/>
      <c r="N302" s="85"/>
    </row>
    <row r="303" spans="9:14" x14ac:dyDescent="0.3">
      <c r="I303" s="82"/>
      <c r="J303" s="83"/>
      <c r="K303" s="83"/>
      <c r="L303" s="84"/>
      <c r="M303" s="83"/>
      <c r="N303" s="85"/>
    </row>
    <row r="304" spans="9:14" x14ac:dyDescent="0.3">
      <c r="I304" s="82"/>
      <c r="J304" s="83"/>
      <c r="K304" s="83"/>
      <c r="L304" s="84"/>
      <c r="M304" s="83"/>
      <c r="N304" s="85"/>
    </row>
    <row r="305" spans="9:14" x14ac:dyDescent="0.3">
      <c r="I305" s="82"/>
      <c r="J305" s="83"/>
      <c r="K305" s="83"/>
      <c r="L305" s="84"/>
      <c r="M305" s="83"/>
      <c r="N305" s="85"/>
    </row>
    <row r="306" spans="9:14" x14ac:dyDescent="0.3">
      <c r="I306" s="82"/>
      <c r="J306" s="83"/>
      <c r="K306" s="83"/>
      <c r="L306" s="84"/>
      <c r="M306" s="83"/>
      <c r="N306" s="85"/>
    </row>
    <row r="307" spans="9:14" x14ac:dyDescent="0.3">
      <c r="I307" s="82"/>
      <c r="J307" s="83"/>
      <c r="K307" s="83"/>
      <c r="L307" s="84"/>
      <c r="M307" s="83"/>
      <c r="N307" s="85"/>
    </row>
    <row r="308" spans="9:14" x14ac:dyDescent="0.3">
      <c r="I308" s="82"/>
      <c r="J308" s="83"/>
      <c r="K308" s="83"/>
      <c r="L308" s="84"/>
      <c r="M308" s="83"/>
      <c r="N308" s="85"/>
    </row>
    <row r="309" spans="9:14" x14ac:dyDescent="0.3">
      <c r="I309" s="82"/>
      <c r="J309" s="83"/>
      <c r="K309" s="83"/>
      <c r="L309" s="84"/>
      <c r="M309" s="83"/>
      <c r="N309" s="85"/>
    </row>
    <row r="310" spans="9:14" x14ac:dyDescent="0.3">
      <c r="I310" s="82"/>
      <c r="J310" s="83"/>
      <c r="K310" s="83"/>
      <c r="L310" s="84"/>
      <c r="M310" s="83"/>
      <c r="N310" s="85"/>
    </row>
    <row r="311" spans="9:14" x14ac:dyDescent="0.3">
      <c r="I311" s="82"/>
      <c r="J311" s="83"/>
      <c r="K311" s="83"/>
      <c r="L311" s="84"/>
      <c r="M311" s="83"/>
      <c r="N311" s="85"/>
    </row>
    <row r="312" spans="9:14" x14ac:dyDescent="0.3">
      <c r="I312" s="82"/>
      <c r="J312" s="83"/>
      <c r="K312" s="83"/>
      <c r="L312" s="84"/>
      <c r="M312" s="83"/>
      <c r="N312" s="85"/>
    </row>
    <row r="313" spans="9:14" x14ac:dyDescent="0.3">
      <c r="I313" s="82"/>
      <c r="J313" s="83"/>
      <c r="K313" s="83"/>
      <c r="L313" s="84"/>
      <c r="M313" s="83"/>
      <c r="N313" s="85"/>
    </row>
    <row r="314" spans="9:14" x14ac:dyDescent="0.3">
      <c r="I314" s="82"/>
      <c r="J314" s="83"/>
      <c r="K314" s="83"/>
      <c r="L314" s="84"/>
      <c r="M314" s="83"/>
      <c r="N314" s="85"/>
    </row>
    <row r="315" spans="9:14" x14ac:dyDescent="0.3">
      <c r="I315" s="82"/>
      <c r="J315" s="83"/>
      <c r="K315" s="83"/>
      <c r="L315" s="84"/>
      <c r="M315" s="83"/>
      <c r="N315" s="85"/>
    </row>
    <row r="316" spans="9:14" x14ac:dyDescent="0.3">
      <c r="I316" s="82"/>
      <c r="J316" s="83"/>
      <c r="K316" s="83"/>
      <c r="L316" s="84"/>
      <c r="M316" s="83"/>
      <c r="N316" s="85"/>
    </row>
    <row r="317" spans="9:14" x14ac:dyDescent="0.3">
      <c r="I317" s="82"/>
      <c r="J317" s="83"/>
      <c r="K317" s="83"/>
      <c r="L317" s="84"/>
      <c r="M317" s="83"/>
      <c r="N317" s="85"/>
    </row>
    <row r="318" spans="9:14" x14ac:dyDescent="0.3">
      <c r="I318" s="82"/>
      <c r="J318" s="83"/>
      <c r="K318" s="83"/>
      <c r="L318" s="84"/>
      <c r="M318" s="83"/>
      <c r="N318" s="85"/>
    </row>
    <row r="319" spans="9:14" x14ac:dyDescent="0.3">
      <c r="I319" s="82"/>
      <c r="J319" s="83"/>
      <c r="K319" s="83"/>
      <c r="L319" s="84"/>
      <c r="M319" s="83"/>
      <c r="N319" s="85"/>
    </row>
    <row r="320" spans="9:14" x14ac:dyDescent="0.3">
      <c r="I320" s="82"/>
      <c r="J320" s="83"/>
      <c r="K320" s="83"/>
      <c r="L320" s="84"/>
      <c r="M320" s="83"/>
      <c r="N320" s="85"/>
    </row>
    <row r="321" spans="9:14" x14ac:dyDescent="0.3">
      <c r="I321" s="82"/>
      <c r="J321" s="83"/>
      <c r="K321" s="83"/>
      <c r="L321" s="84"/>
      <c r="M321" s="83"/>
      <c r="N321" s="85"/>
    </row>
    <row r="322" spans="9:14" x14ac:dyDescent="0.3">
      <c r="I322" s="82"/>
      <c r="J322" s="83"/>
      <c r="K322" s="83"/>
      <c r="L322" s="84"/>
      <c r="M322" s="83"/>
      <c r="N322" s="85"/>
    </row>
    <row r="323" spans="9:14" x14ac:dyDescent="0.3">
      <c r="I323" s="82"/>
      <c r="J323" s="83"/>
      <c r="K323" s="83"/>
      <c r="L323" s="84"/>
      <c r="M323" s="83"/>
      <c r="N323" s="85"/>
    </row>
    <row r="324" spans="9:14" x14ac:dyDescent="0.3">
      <c r="I324" s="82"/>
      <c r="J324" s="83"/>
      <c r="K324" s="83"/>
      <c r="L324" s="84"/>
      <c r="M324" s="83"/>
      <c r="N324" s="85"/>
    </row>
    <row r="325" spans="9:14" x14ac:dyDescent="0.3">
      <c r="I325" s="82"/>
      <c r="J325" s="83"/>
      <c r="K325" s="83"/>
      <c r="L325" s="84"/>
      <c r="M325" s="83"/>
      <c r="N325" s="85"/>
    </row>
    <row r="326" spans="9:14" x14ac:dyDescent="0.3">
      <c r="I326" s="82"/>
      <c r="J326" s="83"/>
      <c r="K326" s="83"/>
      <c r="L326" s="84"/>
      <c r="M326" s="83"/>
      <c r="N326" s="85"/>
    </row>
    <row r="327" spans="9:14" x14ac:dyDescent="0.3">
      <c r="I327" s="82"/>
      <c r="J327" s="83"/>
      <c r="K327" s="83"/>
      <c r="L327" s="84"/>
      <c r="M327" s="83"/>
      <c r="N327" s="85"/>
    </row>
    <row r="328" spans="9:14" x14ac:dyDescent="0.3">
      <c r="I328" s="82"/>
      <c r="J328" s="83"/>
      <c r="K328" s="83"/>
      <c r="L328" s="84"/>
      <c r="M328" s="83"/>
      <c r="N328" s="85"/>
    </row>
    <row r="329" spans="9:14" x14ac:dyDescent="0.3">
      <c r="I329" s="82"/>
      <c r="J329" s="83"/>
      <c r="K329" s="83"/>
      <c r="L329" s="84"/>
      <c r="M329" s="83"/>
      <c r="N329" s="85"/>
    </row>
    <row r="330" spans="9:14" x14ac:dyDescent="0.3">
      <c r="I330" s="82"/>
      <c r="J330" s="83"/>
      <c r="K330" s="83"/>
      <c r="L330" s="84"/>
      <c r="M330" s="83"/>
      <c r="N330" s="85"/>
    </row>
    <row r="331" spans="9:14" x14ac:dyDescent="0.3">
      <c r="I331" s="82"/>
      <c r="J331" s="83"/>
      <c r="K331" s="83"/>
      <c r="L331" s="84"/>
      <c r="M331" s="83"/>
      <c r="N331" s="85"/>
    </row>
    <row r="332" spans="9:14" x14ac:dyDescent="0.3">
      <c r="I332" s="82"/>
      <c r="J332" s="83"/>
      <c r="K332" s="83"/>
      <c r="L332" s="84"/>
      <c r="M332" s="83"/>
      <c r="N332" s="85"/>
    </row>
    <row r="333" spans="9:14" x14ac:dyDescent="0.3">
      <c r="I333" s="82"/>
      <c r="J333" s="83"/>
      <c r="K333" s="83"/>
      <c r="L333" s="84"/>
      <c r="M333" s="83"/>
      <c r="N333" s="85"/>
    </row>
    <row r="334" spans="9:14" x14ac:dyDescent="0.3">
      <c r="I334" s="82"/>
      <c r="J334" s="83"/>
      <c r="K334" s="83"/>
      <c r="L334" s="84"/>
      <c r="M334" s="83"/>
      <c r="N334" s="85"/>
    </row>
    <row r="335" spans="9:14" x14ac:dyDescent="0.3">
      <c r="I335" s="82"/>
      <c r="J335" s="83"/>
      <c r="K335" s="83"/>
      <c r="L335" s="84"/>
      <c r="M335" s="83"/>
      <c r="N335" s="85"/>
    </row>
    <row r="336" spans="9:14" x14ac:dyDescent="0.3">
      <c r="I336" s="82"/>
      <c r="J336" s="83"/>
      <c r="K336" s="83"/>
      <c r="L336" s="84"/>
      <c r="M336" s="83"/>
      <c r="N336" s="85"/>
    </row>
    <row r="337" spans="9:14" x14ac:dyDescent="0.3">
      <c r="I337" s="82"/>
      <c r="J337" s="83"/>
      <c r="K337" s="83"/>
      <c r="L337" s="84"/>
      <c r="M337" s="83"/>
      <c r="N337" s="85"/>
    </row>
    <row r="338" spans="9:14" x14ac:dyDescent="0.3">
      <c r="I338" s="82"/>
      <c r="J338" s="83"/>
      <c r="K338" s="83"/>
      <c r="L338" s="84"/>
      <c r="M338" s="83"/>
      <c r="N338" s="85"/>
    </row>
    <row r="339" spans="9:14" x14ac:dyDescent="0.3">
      <c r="I339" s="82"/>
      <c r="J339" s="83"/>
      <c r="K339" s="83"/>
      <c r="L339" s="84"/>
      <c r="M339" s="83"/>
      <c r="N339" s="85"/>
    </row>
    <row r="340" spans="9:14" x14ac:dyDescent="0.3">
      <c r="I340" s="82"/>
      <c r="J340" s="83"/>
      <c r="K340" s="83"/>
      <c r="L340" s="84"/>
      <c r="M340" s="83"/>
      <c r="N340" s="85"/>
    </row>
    <row r="341" spans="9:14" x14ac:dyDescent="0.3">
      <c r="I341" s="82"/>
      <c r="J341" s="83"/>
      <c r="K341" s="83"/>
      <c r="L341" s="84"/>
      <c r="M341" s="83"/>
      <c r="N341" s="85"/>
    </row>
    <row r="342" spans="9:14" x14ac:dyDescent="0.3">
      <c r="I342" s="82"/>
      <c r="J342" s="83"/>
      <c r="K342" s="83"/>
      <c r="L342" s="84"/>
      <c r="M342" s="83"/>
      <c r="N342" s="85"/>
    </row>
    <row r="343" spans="9:14" x14ac:dyDescent="0.3">
      <c r="I343" s="82"/>
      <c r="J343" s="83"/>
      <c r="K343" s="83"/>
      <c r="L343" s="84"/>
      <c r="M343" s="83"/>
      <c r="N343" s="85"/>
    </row>
    <row r="344" spans="9:14" x14ac:dyDescent="0.3">
      <c r="I344" s="82"/>
      <c r="J344" s="83"/>
      <c r="K344" s="83"/>
      <c r="L344" s="84"/>
      <c r="M344" s="83"/>
      <c r="N344" s="85"/>
    </row>
    <row r="345" spans="9:14" x14ac:dyDescent="0.3">
      <c r="I345" s="82"/>
      <c r="J345" s="83"/>
      <c r="K345" s="83"/>
      <c r="L345" s="84"/>
      <c r="M345" s="83"/>
      <c r="N345" s="85"/>
    </row>
    <row r="346" spans="9:14" x14ac:dyDescent="0.3">
      <c r="I346" s="82"/>
      <c r="J346" s="83"/>
      <c r="K346" s="83"/>
      <c r="L346" s="84"/>
      <c r="M346" s="83"/>
      <c r="N346" s="85"/>
    </row>
    <row r="347" spans="9:14" x14ac:dyDescent="0.3">
      <c r="I347" s="82"/>
      <c r="J347" s="83"/>
      <c r="K347" s="83"/>
      <c r="L347" s="84"/>
      <c r="M347" s="83"/>
      <c r="N347" s="85"/>
    </row>
    <row r="348" spans="9:14" x14ac:dyDescent="0.3">
      <c r="I348" s="82"/>
      <c r="J348" s="83"/>
      <c r="K348" s="83"/>
      <c r="L348" s="84"/>
      <c r="M348" s="83"/>
      <c r="N348" s="85"/>
    </row>
    <row r="349" spans="9:14" x14ac:dyDescent="0.3">
      <c r="I349" s="82"/>
      <c r="J349" s="83"/>
      <c r="K349" s="83"/>
      <c r="L349" s="84"/>
      <c r="M349" s="83"/>
      <c r="N349" s="85"/>
    </row>
    <row r="350" spans="9:14" x14ac:dyDescent="0.3">
      <c r="I350" s="82"/>
      <c r="J350" s="83"/>
      <c r="K350" s="83"/>
      <c r="L350" s="84"/>
      <c r="M350" s="83"/>
      <c r="N350" s="85"/>
    </row>
    <row r="351" spans="9:14" x14ac:dyDescent="0.3">
      <c r="I351" s="82"/>
      <c r="J351" s="83"/>
      <c r="K351" s="83"/>
      <c r="L351" s="84"/>
      <c r="M351" s="83"/>
      <c r="N351" s="85"/>
    </row>
    <row r="352" spans="9:14" x14ac:dyDescent="0.3">
      <c r="I352" s="82"/>
      <c r="J352" s="83"/>
      <c r="K352" s="83"/>
      <c r="L352" s="84"/>
      <c r="M352" s="83"/>
      <c r="N352" s="85"/>
    </row>
    <row r="353" spans="9:14" x14ac:dyDescent="0.3">
      <c r="I353" s="82"/>
      <c r="J353" s="83"/>
      <c r="K353" s="83"/>
      <c r="L353" s="84"/>
      <c r="M353" s="83"/>
      <c r="N353" s="85"/>
    </row>
    <row r="354" spans="9:14" x14ac:dyDescent="0.3">
      <c r="I354" s="82"/>
      <c r="J354" s="83"/>
      <c r="K354" s="83"/>
      <c r="L354" s="84"/>
      <c r="M354" s="83"/>
      <c r="N354" s="85"/>
    </row>
    <row r="355" spans="9:14" x14ac:dyDescent="0.3">
      <c r="I355" s="82"/>
      <c r="J355" s="83"/>
      <c r="K355" s="83"/>
      <c r="L355" s="84"/>
      <c r="M355" s="83"/>
      <c r="N355" s="85"/>
    </row>
    <row r="356" spans="9:14" x14ac:dyDescent="0.3">
      <c r="I356" s="82"/>
      <c r="J356" s="83"/>
      <c r="K356" s="83"/>
      <c r="L356" s="84"/>
      <c r="M356" s="83"/>
      <c r="N356" s="85"/>
    </row>
    <row r="357" spans="9:14" x14ac:dyDescent="0.3">
      <c r="I357" s="82"/>
      <c r="J357" s="83"/>
      <c r="K357" s="83"/>
      <c r="L357" s="84"/>
      <c r="M357" s="83"/>
      <c r="N357" s="85"/>
    </row>
    <row r="358" spans="9:14" x14ac:dyDescent="0.3">
      <c r="I358" s="82"/>
      <c r="J358" s="83"/>
      <c r="K358" s="83"/>
      <c r="L358" s="84"/>
      <c r="M358" s="83"/>
      <c r="N358" s="85"/>
    </row>
    <row r="359" spans="9:14" x14ac:dyDescent="0.3">
      <c r="I359" s="82"/>
      <c r="J359" s="83"/>
      <c r="K359" s="83"/>
      <c r="L359" s="84"/>
      <c r="M359" s="83"/>
      <c r="N359" s="85"/>
    </row>
    <row r="360" spans="9:14" x14ac:dyDescent="0.3">
      <c r="I360" s="82"/>
      <c r="J360" s="83"/>
      <c r="K360" s="83"/>
      <c r="L360" s="84"/>
      <c r="M360" s="83"/>
      <c r="N360" s="85"/>
    </row>
    <row r="361" spans="9:14" x14ac:dyDescent="0.3">
      <c r="I361" s="82"/>
      <c r="J361" s="83"/>
      <c r="K361" s="83"/>
      <c r="L361" s="84"/>
      <c r="M361" s="83"/>
      <c r="N361" s="85"/>
    </row>
    <row r="362" spans="9:14" x14ac:dyDescent="0.3">
      <c r="I362" s="82"/>
      <c r="J362" s="83"/>
      <c r="K362" s="83"/>
      <c r="L362" s="84"/>
      <c r="M362" s="83"/>
      <c r="N362" s="85"/>
    </row>
    <row r="363" spans="9:14" x14ac:dyDescent="0.3">
      <c r="I363" s="82"/>
      <c r="J363" s="83"/>
      <c r="K363" s="83"/>
      <c r="L363" s="84"/>
      <c r="M363" s="83"/>
      <c r="N363" s="85"/>
    </row>
    <row r="364" spans="9:14" x14ac:dyDescent="0.3">
      <c r="I364" s="82"/>
      <c r="J364" s="83"/>
      <c r="K364" s="83"/>
      <c r="L364" s="84"/>
      <c r="M364" s="83"/>
      <c r="N364" s="85"/>
    </row>
    <row r="365" spans="9:14" x14ac:dyDescent="0.3">
      <c r="I365" s="82"/>
      <c r="J365" s="83"/>
      <c r="K365" s="83"/>
      <c r="L365" s="84"/>
      <c r="M365" s="83"/>
      <c r="N365" s="85"/>
    </row>
    <row r="366" spans="9:14" x14ac:dyDescent="0.3">
      <c r="I366" s="82"/>
      <c r="J366" s="83"/>
      <c r="K366" s="83"/>
      <c r="L366" s="84"/>
      <c r="M366" s="83"/>
      <c r="N366" s="85"/>
    </row>
    <row r="367" spans="9:14" x14ac:dyDescent="0.3">
      <c r="I367" s="82"/>
      <c r="J367" s="83"/>
      <c r="K367" s="83"/>
      <c r="L367" s="84"/>
      <c r="M367" s="83"/>
      <c r="N367" s="85"/>
    </row>
    <row r="368" spans="9:14" x14ac:dyDescent="0.3">
      <c r="I368" s="82"/>
      <c r="J368" s="83"/>
      <c r="K368" s="83"/>
      <c r="L368" s="84"/>
      <c r="M368" s="83"/>
      <c r="N368" s="85"/>
    </row>
    <row r="369" spans="9:14" x14ac:dyDescent="0.3">
      <c r="I369" s="82"/>
      <c r="J369" s="83"/>
      <c r="K369" s="83"/>
      <c r="L369" s="84"/>
      <c r="M369" s="83"/>
      <c r="N369" s="85"/>
    </row>
    <row r="370" spans="9:14" x14ac:dyDescent="0.3">
      <c r="I370" s="82"/>
      <c r="J370" s="83"/>
      <c r="K370" s="83"/>
      <c r="L370" s="84"/>
      <c r="M370" s="83"/>
      <c r="N370" s="85"/>
    </row>
    <row r="371" spans="9:14" x14ac:dyDescent="0.3">
      <c r="I371" s="82"/>
      <c r="J371" s="83"/>
      <c r="K371" s="83"/>
      <c r="L371" s="84"/>
      <c r="M371" s="83"/>
      <c r="N371" s="85"/>
    </row>
    <row r="372" spans="9:14" x14ac:dyDescent="0.3">
      <c r="I372" s="82"/>
      <c r="J372" s="83"/>
      <c r="K372" s="83"/>
      <c r="L372" s="84"/>
      <c r="M372" s="83"/>
      <c r="N372" s="85"/>
    </row>
    <row r="373" spans="9:14" x14ac:dyDescent="0.3">
      <c r="I373" s="82"/>
      <c r="J373" s="83"/>
      <c r="K373" s="83"/>
      <c r="L373" s="84"/>
      <c r="M373" s="83"/>
      <c r="N373" s="85"/>
    </row>
    <row r="374" spans="9:14" x14ac:dyDescent="0.3">
      <c r="I374" s="82"/>
      <c r="J374" s="83"/>
      <c r="K374" s="83"/>
      <c r="L374" s="84"/>
      <c r="M374" s="83"/>
      <c r="N374" s="85"/>
    </row>
    <row r="375" spans="9:14" x14ac:dyDescent="0.3">
      <c r="I375" s="82"/>
      <c r="J375" s="83"/>
      <c r="K375" s="83"/>
      <c r="L375" s="84"/>
      <c r="M375" s="83"/>
      <c r="N375" s="85"/>
    </row>
    <row r="376" spans="9:14" x14ac:dyDescent="0.3">
      <c r="I376" s="82"/>
      <c r="J376" s="83"/>
      <c r="K376" s="83"/>
      <c r="L376" s="84"/>
      <c r="M376" s="83"/>
      <c r="N376" s="85"/>
    </row>
    <row r="377" spans="9:14" x14ac:dyDescent="0.3">
      <c r="I377" s="82"/>
      <c r="J377" s="83"/>
      <c r="K377" s="83"/>
      <c r="L377" s="84"/>
      <c r="M377" s="83"/>
      <c r="N377" s="85"/>
    </row>
    <row r="378" spans="9:14" x14ac:dyDescent="0.3">
      <c r="I378" s="82"/>
      <c r="J378" s="83"/>
      <c r="K378" s="83"/>
      <c r="L378" s="84"/>
      <c r="M378" s="83"/>
      <c r="N378" s="85"/>
    </row>
    <row r="379" spans="9:14" x14ac:dyDescent="0.3">
      <c r="I379" s="82"/>
      <c r="J379" s="83"/>
      <c r="K379" s="83"/>
      <c r="L379" s="84"/>
      <c r="M379" s="83"/>
      <c r="N379" s="85"/>
    </row>
    <row r="380" spans="9:14" x14ac:dyDescent="0.3">
      <c r="I380" s="82"/>
      <c r="J380" s="83"/>
      <c r="K380" s="83"/>
      <c r="L380" s="84"/>
      <c r="M380" s="83"/>
      <c r="N380" s="85"/>
    </row>
    <row r="381" spans="9:14" x14ac:dyDescent="0.3">
      <c r="I381" s="82"/>
      <c r="J381" s="83"/>
      <c r="K381" s="83"/>
      <c r="L381" s="84"/>
      <c r="M381" s="83"/>
      <c r="N381" s="85"/>
    </row>
    <row r="382" spans="9:14" x14ac:dyDescent="0.3">
      <c r="I382" s="82"/>
      <c r="J382" s="83"/>
      <c r="K382" s="83"/>
      <c r="L382" s="84"/>
      <c r="M382" s="83"/>
      <c r="N382" s="85"/>
    </row>
    <row r="383" spans="9:14" x14ac:dyDescent="0.3">
      <c r="I383" s="82"/>
      <c r="J383" s="83"/>
      <c r="K383" s="83"/>
      <c r="L383" s="84"/>
      <c r="M383" s="83"/>
      <c r="N383" s="85"/>
    </row>
    <row r="384" spans="9:14" x14ac:dyDescent="0.3">
      <c r="I384" s="82"/>
      <c r="J384" s="83"/>
      <c r="K384" s="83"/>
      <c r="L384" s="84"/>
      <c r="M384" s="83"/>
      <c r="N384" s="85"/>
    </row>
    <row r="385" spans="9:14" x14ac:dyDescent="0.3">
      <c r="I385" s="82"/>
      <c r="J385" s="83"/>
      <c r="K385" s="83"/>
      <c r="L385" s="84"/>
      <c r="M385" s="83"/>
      <c r="N385" s="85"/>
    </row>
    <row r="386" spans="9:14" x14ac:dyDescent="0.3">
      <c r="I386" s="82"/>
      <c r="J386" s="83"/>
      <c r="K386" s="83"/>
      <c r="L386" s="84"/>
      <c r="M386" s="83"/>
      <c r="N386" s="85"/>
    </row>
    <row r="387" spans="9:14" x14ac:dyDescent="0.3">
      <c r="I387" s="82"/>
      <c r="J387" s="83"/>
      <c r="K387" s="83"/>
      <c r="L387" s="84"/>
      <c r="M387" s="83"/>
      <c r="N387" s="85"/>
    </row>
    <row r="388" spans="9:14" x14ac:dyDescent="0.3">
      <c r="I388" s="82"/>
      <c r="J388" s="83"/>
      <c r="K388" s="83"/>
      <c r="L388" s="84"/>
      <c r="M388" s="83"/>
      <c r="N388" s="85"/>
    </row>
    <row r="389" spans="9:14" x14ac:dyDescent="0.3">
      <c r="I389" s="82"/>
      <c r="J389" s="83"/>
      <c r="K389" s="83"/>
      <c r="L389" s="84"/>
      <c r="M389" s="83"/>
      <c r="N389" s="85"/>
    </row>
    <row r="390" spans="9:14" x14ac:dyDescent="0.3">
      <c r="I390" s="82"/>
      <c r="J390" s="83"/>
      <c r="K390" s="83"/>
      <c r="L390" s="84"/>
      <c r="M390" s="83"/>
      <c r="N390" s="85"/>
    </row>
    <row r="391" spans="9:14" x14ac:dyDescent="0.3">
      <c r="I391" s="82"/>
      <c r="J391" s="83"/>
      <c r="K391" s="83"/>
      <c r="L391" s="84"/>
      <c r="M391" s="83"/>
      <c r="N391" s="85"/>
    </row>
    <row r="392" spans="9:14" x14ac:dyDescent="0.3">
      <c r="I392" s="82"/>
      <c r="J392" s="83"/>
      <c r="K392" s="83"/>
      <c r="L392" s="84"/>
      <c r="M392" s="83"/>
      <c r="N392" s="85"/>
    </row>
    <row r="393" spans="9:14" x14ac:dyDescent="0.3">
      <c r="I393" s="82"/>
      <c r="J393" s="83"/>
      <c r="K393" s="83"/>
      <c r="L393" s="84"/>
      <c r="M393" s="83"/>
      <c r="N393" s="85"/>
    </row>
    <row r="394" spans="9:14" x14ac:dyDescent="0.3">
      <c r="I394" s="82"/>
      <c r="J394" s="83"/>
      <c r="K394" s="83"/>
      <c r="L394" s="84"/>
      <c r="M394" s="83"/>
      <c r="N394" s="85"/>
    </row>
    <row r="395" spans="9:14" x14ac:dyDescent="0.3">
      <c r="I395" s="82"/>
      <c r="J395" s="83"/>
      <c r="K395" s="83"/>
      <c r="L395" s="84"/>
      <c r="M395" s="83"/>
      <c r="N395" s="85"/>
    </row>
    <row r="396" spans="9:14" x14ac:dyDescent="0.3">
      <c r="I396" s="82"/>
      <c r="J396" s="83"/>
      <c r="K396" s="83"/>
      <c r="L396" s="84"/>
      <c r="M396" s="83"/>
      <c r="N396" s="85"/>
    </row>
    <row r="397" spans="9:14" x14ac:dyDescent="0.3">
      <c r="I397" s="82"/>
      <c r="J397" s="83"/>
      <c r="K397" s="83"/>
      <c r="L397" s="84"/>
      <c r="M397" s="83"/>
      <c r="N397" s="85"/>
    </row>
    <row r="398" spans="9:14" x14ac:dyDescent="0.3">
      <c r="I398" s="82"/>
      <c r="J398" s="83"/>
      <c r="K398" s="83"/>
      <c r="L398" s="84"/>
      <c r="M398" s="83"/>
      <c r="N398" s="85"/>
    </row>
    <row r="399" spans="9:14" x14ac:dyDescent="0.3">
      <c r="I399" s="82"/>
      <c r="J399" s="83"/>
      <c r="K399" s="83"/>
      <c r="L399" s="84"/>
      <c r="M399" s="83"/>
      <c r="N399" s="85"/>
    </row>
    <row r="400" spans="9:14" x14ac:dyDescent="0.3">
      <c r="I400" s="82"/>
      <c r="J400" s="83"/>
      <c r="K400" s="83"/>
      <c r="L400" s="84"/>
      <c r="M400" s="83"/>
      <c r="N400" s="85"/>
    </row>
    <row r="401" spans="9:14" x14ac:dyDescent="0.3">
      <c r="I401" s="82"/>
      <c r="J401" s="83"/>
      <c r="K401" s="83"/>
      <c r="L401" s="84"/>
      <c r="M401" s="83"/>
      <c r="N401" s="85"/>
    </row>
    <row r="402" spans="9:14" x14ac:dyDescent="0.3">
      <c r="I402" s="82"/>
      <c r="J402" s="83"/>
      <c r="K402" s="83"/>
      <c r="L402" s="84"/>
      <c r="M402" s="83"/>
      <c r="N402" s="85"/>
    </row>
    <row r="403" spans="9:14" x14ac:dyDescent="0.3">
      <c r="I403" s="82"/>
      <c r="J403" s="83"/>
      <c r="K403" s="83"/>
      <c r="L403" s="84"/>
      <c r="M403" s="83"/>
      <c r="N403" s="85"/>
    </row>
    <row r="404" spans="9:14" x14ac:dyDescent="0.3">
      <c r="I404" s="82"/>
      <c r="J404" s="83"/>
      <c r="K404" s="83"/>
      <c r="L404" s="84"/>
      <c r="M404" s="83"/>
      <c r="N404" s="85"/>
    </row>
    <row r="405" spans="9:14" x14ac:dyDescent="0.3">
      <c r="I405" s="82"/>
      <c r="J405" s="83"/>
      <c r="K405" s="83"/>
      <c r="L405" s="84"/>
      <c r="M405" s="83"/>
      <c r="N405" s="85"/>
    </row>
    <row r="406" spans="9:14" x14ac:dyDescent="0.3">
      <c r="I406" s="82"/>
      <c r="J406" s="83"/>
      <c r="K406" s="83"/>
      <c r="L406" s="84"/>
      <c r="M406" s="83"/>
      <c r="N406" s="85"/>
    </row>
    <row r="407" spans="9:14" x14ac:dyDescent="0.3">
      <c r="I407" s="82"/>
      <c r="J407" s="83"/>
      <c r="K407" s="83"/>
      <c r="L407" s="84"/>
      <c r="M407" s="83"/>
      <c r="N407" s="85"/>
    </row>
    <row r="408" spans="9:14" x14ac:dyDescent="0.3">
      <c r="I408" s="82"/>
      <c r="J408" s="83"/>
      <c r="K408" s="83"/>
      <c r="L408" s="84"/>
      <c r="M408" s="83"/>
      <c r="N408" s="85"/>
    </row>
    <row r="409" spans="9:14" x14ac:dyDescent="0.3">
      <c r="I409" s="82"/>
      <c r="J409" s="83"/>
      <c r="K409" s="83"/>
      <c r="L409" s="84"/>
      <c r="M409" s="83"/>
      <c r="N409" s="85"/>
    </row>
    <row r="410" spans="9:14" x14ac:dyDescent="0.3">
      <c r="I410" s="82"/>
      <c r="J410" s="83"/>
      <c r="K410" s="83"/>
      <c r="L410" s="84"/>
      <c r="M410" s="83"/>
      <c r="N410" s="85"/>
    </row>
    <row r="411" spans="9:14" x14ac:dyDescent="0.3">
      <c r="I411" s="82"/>
      <c r="J411" s="83"/>
      <c r="K411" s="83"/>
      <c r="L411" s="84"/>
      <c r="M411" s="83"/>
      <c r="N411" s="85"/>
    </row>
    <row r="412" spans="9:14" x14ac:dyDescent="0.3">
      <c r="I412" s="82"/>
      <c r="J412" s="83"/>
      <c r="K412" s="83"/>
      <c r="L412" s="84"/>
      <c r="M412" s="83"/>
      <c r="N412" s="85"/>
    </row>
    <row r="413" spans="9:14" x14ac:dyDescent="0.3">
      <c r="I413" s="82"/>
      <c r="J413" s="83"/>
      <c r="K413" s="83"/>
      <c r="L413" s="84"/>
      <c r="M413" s="83"/>
      <c r="N413" s="85"/>
    </row>
    <row r="414" spans="9:14" x14ac:dyDescent="0.3">
      <c r="I414" s="82"/>
      <c r="J414" s="83"/>
      <c r="K414" s="83"/>
      <c r="L414" s="84"/>
      <c r="M414" s="83"/>
      <c r="N414" s="85"/>
    </row>
    <row r="415" spans="9:14" x14ac:dyDescent="0.3">
      <c r="I415" s="82"/>
      <c r="J415" s="83"/>
      <c r="K415" s="83"/>
      <c r="L415" s="84"/>
      <c r="M415" s="83"/>
      <c r="N415" s="85"/>
    </row>
    <row r="416" spans="9:14" x14ac:dyDescent="0.3">
      <c r="I416" s="82"/>
      <c r="J416" s="83"/>
      <c r="K416" s="83"/>
      <c r="L416" s="84"/>
      <c r="M416" s="83"/>
      <c r="N416" s="85"/>
    </row>
    <row r="417" spans="9:14" x14ac:dyDescent="0.3">
      <c r="I417" s="82"/>
      <c r="J417" s="83"/>
      <c r="K417" s="83"/>
      <c r="L417" s="84"/>
      <c r="M417" s="83"/>
      <c r="N417" s="85"/>
    </row>
    <row r="418" spans="9:14" x14ac:dyDescent="0.3">
      <c r="I418" s="82"/>
      <c r="J418" s="83"/>
      <c r="K418" s="83"/>
      <c r="L418" s="84"/>
      <c r="M418" s="83"/>
      <c r="N418" s="85"/>
    </row>
    <row r="419" spans="9:14" x14ac:dyDescent="0.3">
      <c r="I419" s="82"/>
      <c r="J419" s="83"/>
      <c r="K419" s="83"/>
      <c r="L419" s="84"/>
      <c r="M419" s="83"/>
      <c r="N419" s="85"/>
    </row>
    <row r="420" spans="9:14" x14ac:dyDescent="0.3">
      <c r="I420" s="82"/>
      <c r="J420" s="83"/>
      <c r="K420" s="83"/>
      <c r="L420" s="84"/>
      <c r="M420" s="83"/>
      <c r="N420" s="85"/>
    </row>
    <row r="421" spans="9:14" x14ac:dyDescent="0.3">
      <c r="I421" s="82"/>
      <c r="J421" s="83"/>
      <c r="K421" s="83"/>
      <c r="L421" s="84"/>
      <c r="M421" s="83"/>
      <c r="N421" s="85"/>
    </row>
    <row r="422" spans="9:14" x14ac:dyDescent="0.3">
      <c r="I422" s="82"/>
      <c r="J422" s="83"/>
      <c r="K422" s="83"/>
      <c r="L422" s="84"/>
      <c r="M422" s="83"/>
      <c r="N422" s="85"/>
    </row>
    <row r="423" spans="9:14" x14ac:dyDescent="0.3">
      <c r="I423" s="82"/>
      <c r="J423" s="83"/>
      <c r="K423" s="83"/>
      <c r="L423" s="84"/>
      <c r="M423" s="83"/>
      <c r="N423" s="85"/>
    </row>
    <row r="424" spans="9:14" x14ac:dyDescent="0.3">
      <c r="I424" s="82"/>
      <c r="J424" s="83"/>
      <c r="K424" s="83"/>
      <c r="L424" s="84"/>
      <c r="M424" s="83"/>
      <c r="N424" s="85"/>
    </row>
    <row r="425" spans="9:14" x14ac:dyDescent="0.3">
      <c r="I425" s="82"/>
      <c r="J425" s="83"/>
      <c r="K425" s="83"/>
      <c r="L425" s="84"/>
      <c r="M425" s="83"/>
      <c r="N425" s="85"/>
    </row>
    <row r="426" spans="9:14" x14ac:dyDescent="0.3">
      <c r="I426" s="82"/>
      <c r="J426" s="83"/>
      <c r="K426" s="83"/>
      <c r="L426" s="84"/>
      <c r="M426" s="83"/>
      <c r="N426" s="85"/>
    </row>
    <row r="427" spans="9:14" x14ac:dyDescent="0.3">
      <c r="I427" s="82"/>
      <c r="J427" s="83"/>
      <c r="K427" s="83"/>
      <c r="L427" s="84"/>
      <c r="M427" s="83"/>
      <c r="N427" s="85"/>
    </row>
    <row r="428" spans="9:14" x14ac:dyDescent="0.3">
      <c r="I428" s="82"/>
      <c r="J428" s="83"/>
      <c r="K428" s="83"/>
      <c r="L428" s="84"/>
      <c r="M428" s="83"/>
      <c r="N428" s="85"/>
    </row>
    <row r="429" spans="9:14" x14ac:dyDescent="0.3">
      <c r="I429" s="82"/>
      <c r="J429" s="83"/>
      <c r="K429" s="83"/>
      <c r="L429" s="84"/>
      <c r="M429" s="83"/>
      <c r="N429" s="85"/>
    </row>
    <row r="430" spans="9:14" x14ac:dyDescent="0.3">
      <c r="I430" s="82"/>
      <c r="J430" s="83"/>
      <c r="K430" s="83"/>
      <c r="L430" s="84"/>
      <c r="M430" s="83"/>
      <c r="N430" s="85"/>
    </row>
    <row r="431" spans="9:14" x14ac:dyDescent="0.3">
      <c r="I431" s="82"/>
      <c r="J431" s="83"/>
      <c r="K431" s="83"/>
      <c r="L431" s="84"/>
      <c r="M431" s="83"/>
      <c r="N431" s="85"/>
    </row>
    <row r="432" spans="9:14" x14ac:dyDescent="0.3">
      <c r="I432" s="82"/>
      <c r="J432" s="83"/>
      <c r="K432" s="83"/>
      <c r="L432" s="84"/>
      <c r="M432" s="83"/>
      <c r="N432" s="85"/>
    </row>
    <row r="433" spans="9:14" x14ac:dyDescent="0.3">
      <c r="I433" s="82"/>
      <c r="J433" s="83"/>
      <c r="K433" s="83"/>
      <c r="L433" s="84"/>
      <c r="M433" s="83"/>
      <c r="N433" s="85"/>
    </row>
    <row r="434" spans="9:14" x14ac:dyDescent="0.3">
      <c r="I434" s="82"/>
      <c r="J434" s="83"/>
      <c r="K434" s="83"/>
      <c r="L434" s="84"/>
      <c r="M434" s="83"/>
      <c r="N434" s="85"/>
    </row>
    <row r="435" spans="9:14" x14ac:dyDescent="0.3">
      <c r="I435" s="82"/>
      <c r="J435" s="83"/>
      <c r="K435" s="83"/>
      <c r="L435" s="84"/>
      <c r="M435" s="83"/>
      <c r="N435" s="85"/>
    </row>
    <row r="436" spans="9:14" x14ac:dyDescent="0.3">
      <c r="I436" s="82"/>
      <c r="J436" s="83"/>
      <c r="K436" s="83"/>
      <c r="L436" s="84"/>
      <c r="M436" s="83"/>
      <c r="N436" s="85"/>
    </row>
    <row r="437" spans="9:14" x14ac:dyDescent="0.3">
      <c r="I437" s="82"/>
      <c r="J437" s="83"/>
      <c r="K437" s="83"/>
      <c r="L437" s="84"/>
      <c r="M437" s="83"/>
      <c r="N437" s="85"/>
    </row>
    <row r="438" spans="9:14" x14ac:dyDescent="0.3">
      <c r="I438" s="82"/>
      <c r="J438" s="83"/>
      <c r="K438" s="83"/>
      <c r="L438" s="84"/>
      <c r="M438" s="83"/>
      <c r="N438" s="85"/>
    </row>
    <row r="439" spans="9:14" x14ac:dyDescent="0.3">
      <c r="I439" s="82"/>
      <c r="J439" s="83"/>
      <c r="K439" s="83"/>
      <c r="L439" s="84"/>
      <c r="M439" s="83"/>
      <c r="N439" s="85"/>
    </row>
    <row r="440" spans="9:14" x14ac:dyDescent="0.3">
      <c r="I440" s="82"/>
      <c r="J440" s="83"/>
      <c r="K440" s="83"/>
      <c r="L440" s="84"/>
      <c r="M440" s="83"/>
      <c r="N440" s="85"/>
    </row>
    <row r="441" spans="9:14" x14ac:dyDescent="0.3">
      <c r="I441" s="82"/>
      <c r="J441" s="83"/>
      <c r="K441" s="83"/>
      <c r="L441" s="84"/>
      <c r="M441" s="83"/>
      <c r="N441" s="85"/>
    </row>
    <row r="442" spans="9:14" x14ac:dyDescent="0.3">
      <c r="I442" s="82"/>
      <c r="J442" s="83"/>
      <c r="K442" s="83"/>
      <c r="L442" s="84"/>
      <c r="M442" s="83"/>
      <c r="N442" s="85"/>
    </row>
    <row r="443" spans="9:14" x14ac:dyDescent="0.3">
      <c r="I443" s="82"/>
      <c r="J443" s="83"/>
      <c r="K443" s="83"/>
      <c r="L443" s="84"/>
      <c r="M443" s="83"/>
      <c r="N443" s="85"/>
    </row>
    <row r="444" spans="9:14" x14ac:dyDescent="0.3">
      <c r="I444" s="82"/>
      <c r="J444" s="83"/>
      <c r="K444" s="83"/>
      <c r="L444" s="84"/>
      <c r="M444" s="83"/>
      <c r="N444" s="85"/>
    </row>
    <row r="445" spans="9:14" x14ac:dyDescent="0.3">
      <c r="I445" s="82"/>
      <c r="J445" s="83"/>
      <c r="K445" s="83"/>
      <c r="L445" s="84"/>
      <c r="M445" s="83"/>
      <c r="N445" s="85"/>
    </row>
    <row r="446" spans="9:14" x14ac:dyDescent="0.3">
      <c r="I446" s="82"/>
      <c r="J446" s="83"/>
      <c r="K446" s="83"/>
      <c r="L446" s="84"/>
      <c r="M446" s="83"/>
      <c r="N446" s="85"/>
    </row>
    <row r="447" spans="9:14" x14ac:dyDescent="0.3">
      <c r="I447" s="82"/>
      <c r="J447" s="83"/>
      <c r="K447" s="83"/>
      <c r="L447" s="84"/>
      <c r="M447" s="83"/>
      <c r="N447" s="85"/>
    </row>
    <row r="448" spans="9:14" x14ac:dyDescent="0.3">
      <c r="I448" s="82"/>
      <c r="J448" s="83"/>
      <c r="K448" s="83"/>
      <c r="L448" s="84"/>
      <c r="M448" s="83"/>
      <c r="N448" s="85"/>
    </row>
    <row r="449" spans="9:14" x14ac:dyDescent="0.3">
      <c r="I449" s="82"/>
      <c r="J449" s="83"/>
      <c r="K449" s="83"/>
      <c r="L449" s="84"/>
      <c r="M449" s="83"/>
      <c r="N449" s="85"/>
    </row>
    <row r="450" spans="9:14" x14ac:dyDescent="0.3">
      <c r="I450" s="82"/>
      <c r="J450" s="83"/>
      <c r="K450" s="83"/>
      <c r="L450" s="84"/>
      <c r="M450" s="83"/>
      <c r="N450" s="85"/>
    </row>
    <row r="451" spans="9:14" x14ac:dyDescent="0.3">
      <c r="I451" s="82"/>
      <c r="J451" s="83"/>
      <c r="K451" s="83"/>
      <c r="L451" s="84"/>
      <c r="M451" s="83"/>
      <c r="N451" s="85"/>
    </row>
    <row r="452" spans="9:14" x14ac:dyDescent="0.3">
      <c r="I452" s="82"/>
      <c r="J452" s="83"/>
      <c r="K452" s="83"/>
      <c r="L452" s="84"/>
      <c r="M452" s="83"/>
      <c r="N452" s="85"/>
    </row>
    <row r="453" spans="9:14" x14ac:dyDescent="0.3">
      <c r="I453" s="82"/>
      <c r="J453" s="83"/>
      <c r="K453" s="83"/>
      <c r="L453" s="84"/>
      <c r="M453" s="83"/>
      <c r="N453" s="85"/>
    </row>
    <row r="454" spans="9:14" x14ac:dyDescent="0.3">
      <c r="I454" s="82"/>
      <c r="J454" s="83"/>
      <c r="K454" s="83"/>
      <c r="L454" s="84"/>
      <c r="M454" s="83"/>
      <c r="N454" s="85"/>
    </row>
    <row r="455" spans="9:14" x14ac:dyDescent="0.3">
      <c r="I455" s="82"/>
      <c r="J455" s="83"/>
      <c r="K455" s="83"/>
      <c r="L455" s="84"/>
      <c r="M455" s="83"/>
      <c r="N455" s="85"/>
    </row>
    <row r="456" spans="9:14" x14ac:dyDescent="0.3">
      <c r="I456" s="82"/>
      <c r="J456" s="83"/>
      <c r="K456" s="83"/>
      <c r="L456" s="84"/>
      <c r="M456" s="83"/>
      <c r="N456" s="85"/>
    </row>
    <row r="457" spans="9:14" x14ac:dyDescent="0.3">
      <c r="I457" s="82"/>
      <c r="J457" s="83"/>
      <c r="K457" s="83"/>
      <c r="L457" s="84"/>
      <c r="M457" s="83"/>
      <c r="N457" s="85"/>
    </row>
    <row r="458" spans="9:14" x14ac:dyDescent="0.3">
      <c r="I458" s="82"/>
      <c r="J458" s="83"/>
      <c r="K458" s="83"/>
      <c r="L458" s="84"/>
      <c r="M458" s="83"/>
      <c r="N458" s="85"/>
    </row>
    <row r="459" spans="9:14" x14ac:dyDescent="0.3">
      <c r="I459" s="82"/>
      <c r="J459" s="83"/>
      <c r="K459" s="83"/>
      <c r="L459" s="84"/>
      <c r="M459" s="83"/>
      <c r="N459" s="85"/>
    </row>
    <row r="460" spans="9:14" x14ac:dyDescent="0.3">
      <c r="I460" s="82"/>
      <c r="J460" s="83"/>
      <c r="K460" s="83"/>
      <c r="L460" s="84"/>
      <c r="M460" s="83"/>
      <c r="N460" s="85"/>
    </row>
    <row r="461" spans="9:14" x14ac:dyDescent="0.3">
      <c r="I461" s="82"/>
      <c r="J461" s="83"/>
      <c r="K461" s="83"/>
      <c r="L461" s="84"/>
      <c r="M461" s="83"/>
      <c r="N461" s="85"/>
    </row>
    <row r="462" spans="9:14" x14ac:dyDescent="0.3">
      <c r="I462" s="82"/>
      <c r="J462" s="83"/>
      <c r="K462" s="83"/>
      <c r="L462" s="84"/>
      <c r="M462" s="83"/>
      <c r="N462" s="85"/>
    </row>
    <row r="463" spans="9:14" x14ac:dyDescent="0.3">
      <c r="I463" s="82"/>
      <c r="J463" s="83"/>
      <c r="K463" s="83"/>
      <c r="L463" s="84"/>
      <c r="M463" s="83"/>
      <c r="N463" s="85"/>
    </row>
    <row r="464" spans="9:14" x14ac:dyDescent="0.3">
      <c r="I464" s="82"/>
      <c r="J464" s="83"/>
      <c r="K464" s="83"/>
      <c r="L464" s="84"/>
      <c r="M464" s="83"/>
      <c r="N464" s="85"/>
    </row>
    <row r="465" spans="9:14" x14ac:dyDescent="0.3">
      <c r="I465" s="82"/>
      <c r="J465" s="83"/>
      <c r="K465" s="83"/>
      <c r="L465" s="84"/>
      <c r="M465" s="83"/>
      <c r="N465" s="85"/>
    </row>
    <row r="466" spans="9:14" x14ac:dyDescent="0.3">
      <c r="I466" s="82"/>
      <c r="J466" s="83"/>
      <c r="K466" s="83"/>
      <c r="L466" s="84"/>
      <c r="M466" s="83"/>
      <c r="N466" s="85"/>
    </row>
    <row r="467" spans="9:14" x14ac:dyDescent="0.3">
      <c r="I467" s="82"/>
      <c r="J467" s="83"/>
      <c r="K467" s="83"/>
      <c r="L467" s="84"/>
      <c r="M467" s="83"/>
      <c r="N467" s="85"/>
    </row>
    <row r="468" spans="9:14" x14ac:dyDescent="0.3">
      <c r="I468" s="82"/>
      <c r="J468" s="83"/>
      <c r="K468" s="83"/>
      <c r="L468" s="84"/>
      <c r="M468" s="83"/>
      <c r="N468" s="85"/>
    </row>
    <row r="469" spans="9:14" x14ac:dyDescent="0.3">
      <c r="I469" s="82"/>
      <c r="J469" s="83"/>
      <c r="K469" s="83"/>
      <c r="L469" s="84"/>
      <c r="M469" s="83"/>
      <c r="N469" s="85"/>
    </row>
    <row r="470" spans="9:14" x14ac:dyDescent="0.3">
      <c r="I470" s="82"/>
      <c r="J470" s="83"/>
      <c r="K470" s="83"/>
      <c r="L470" s="84"/>
      <c r="M470" s="83"/>
      <c r="N470" s="85"/>
    </row>
    <row r="471" spans="9:14" x14ac:dyDescent="0.3">
      <c r="I471" s="82"/>
      <c r="J471" s="83"/>
      <c r="K471" s="83"/>
      <c r="L471" s="84"/>
      <c r="M471" s="83"/>
      <c r="N471" s="85"/>
    </row>
    <row r="472" spans="9:14" x14ac:dyDescent="0.3">
      <c r="I472" s="82"/>
      <c r="J472" s="83"/>
      <c r="K472" s="83"/>
      <c r="L472" s="84"/>
      <c r="M472" s="83"/>
      <c r="N472" s="85"/>
    </row>
    <row r="473" spans="9:14" x14ac:dyDescent="0.3">
      <c r="I473" s="82"/>
      <c r="J473" s="83"/>
      <c r="K473" s="83"/>
      <c r="L473" s="84"/>
      <c r="M473" s="83"/>
      <c r="N473" s="85"/>
    </row>
    <row r="474" spans="9:14" x14ac:dyDescent="0.3">
      <c r="I474" s="82"/>
      <c r="J474" s="83"/>
      <c r="K474" s="83"/>
      <c r="L474" s="84"/>
      <c r="M474" s="83"/>
      <c r="N474" s="85"/>
    </row>
    <row r="475" spans="9:14" x14ac:dyDescent="0.3">
      <c r="I475" s="82"/>
      <c r="J475" s="83"/>
      <c r="K475" s="83"/>
      <c r="L475" s="84"/>
      <c r="M475" s="83"/>
      <c r="N475" s="85"/>
    </row>
    <row r="476" spans="9:14" x14ac:dyDescent="0.3">
      <c r="I476" s="82"/>
      <c r="J476" s="83"/>
      <c r="K476" s="83"/>
      <c r="L476" s="84"/>
      <c r="M476" s="83"/>
      <c r="N476" s="85"/>
    </row>
    <row r="477" spans="9:14" x14ac:dyDescent="0.3">
      <c r="I477" s="82"/>
      <c r="J477" s="83"/>
      <c r="K477" s="83"/>
      <c r="L477" s="84"/>
      <c r="M477" s="83"/>
      <c r="N477" s="85"/>
    </row>
    <row r="478" spans="9:14" x14ac:dyDescent="0.3">
      <c r="I478" s="82"/>
      <c r="J478" s="83"/>
      <c r="K478" s="83"/>
      <c r="L478" s="84"/>
      <c r="M478" s="83"/>
      <c r="N478" s="85"/>
    </row>
    <row r="479" spans="9:14" x14ac:dyDescent="0.3">
      <c r="I479" s="82"/>
      <c r="J479" s="83"/>
      <c r="K479" s="83"/>
      <c r="L479" s="84"/>
      <c r="M479" s="83"/>
      <c r="N479" s="85"/>
    </row>
    <row r="480" spans="9:14" x14ac:dyDescent="0.3">
      <c r="I480" s="82"/>
      <c r="J480" s="83"/>
      <c r="K480" s="83"/>
      <c r="L480" s="84"/>
      <c r="M480" s="83"/>
      <c r="N480" s="85"/>
    </row>
    <row r="481" spans="9:14" x14ac:dyDescent="0.3">
      <c r="I481" s="82"/>
      <c r="J481" s="83"/>
      <c r="K481" s="83"/>
      <c r="L481" s="84"/>
      <c r="M481" s="83"/>
      <c r="N481" s="85"/>
    </row>
    <row r="482" spans="9:14" x14ac:dyDescent="0.3">
      <c r="I482" s="82"/>
      <c r="J482" s="83"/>
      <c r="K482" s="83"/>
      <c r="L482" s="84"/>
      <c r="M482" s="83"/>
      <c r="N482" s="85"/>
    </row>
    <row r="483" spans="9:14" x14ac:dyDescent="0.3">
      <c r="I483" s="82"/>
      <c r="J483" s="83"/>
      <c r="K483" s="83"/>
      <c r="L483" s="84"/>
      <c r="M483" s="83"/>
      <c r="N483" s="85"/>
    </row>
    <row r="484" spans="9:14" x14ac:dyDescent="0.3">
      <c r="I484" s="82"/>
      <c r="J484" s="83"/>
      <c r="K484" s="83"/>
      <c r="L484" s="84"/>
      <c r="M484" s="83"/>
      <c r="N484" s="85"/>
    </row>
    <row r="485" spans="9:14" x14ac:dyDescent="0.3">
      <c r="I485" s="82"/>
      <c r="J485" s="83"/>
      <c r="K485" s="83"/>
      <c r="L485" s="84"/>
      <c r="M485" s="83"/>
      <c r="N485" s="85"/>
    </row>
    <row r="486" spans="9:14" x14ac:dyDescent="0.3">
      <c r="I486" s="82"/>
      <c r="J486" s="83"/>
      <c r="K486" s="83"/>
      <c r="L486" s="84"/>
      <c r="M486" s="83"/>
      <c r="N486" s="85"/>
    </row>
    <row r="487" spans="9:14" x14ac:dyDescent="0.3">
      <c r="I487" s="82"/>
      <c r="J487" s="83"/>
      <c r="K487" s="83"/>
      <c r="L487" s="84"/>
      <c r="M487" s="83"/>
      <c r="N487" s="85"/>
    </row>
    <row r="488" spans="9:14" x14ac:dyDescent="0.3">
      <c r="I488" s="82"/>
      <c r="J488" s="83"/>
      <c r="K488" s="83"/>
      <c r="L488" s="84"/>
      <c r="M488" s="83"/>
      <c r="N488" s="85"/>
    </row>
    <row r="489" spans="9:14" x14ac:dyDescent="0.3">
      <c r="I489" s="82"/>
      <c r="J489" s="83"/>
      <c r="K489" s="83"/>
      <c r="L489" s="84"/>
      <c r="M489" s="83"/>
      <c r="N489" s="85"/>
    </row>
    <row r="490" spans="9:14" x14ac:dyDescent="0.3">
      <c r="I490" s="82"/>
      <c r="J490" s="83"/>
      <c r="K490" s="83"/>
      <c r="L490" s="84"/>
      <c r="M490" s="83"/>
      <c r="N490" s="85"/>
    </row>
    <row r="491" spans="9:14" x14ac:dyDescent="0.3">
      <c r="I491" s="82"/>
      <c r="J491" s="83"/>
      <c r="K491" s="83"/>
      <c r="L491" s="84"/>
      <c r="M491" s="83"/>
      <c r="N491" s="85"/>
    </row>
    <row r="492" spans="9:14" x14ac:dyDescent="0.3">
      <c r="I492" s="82"/>
      <c r="J492" s="83"/>
      <c r="K492" s="83"/>
      <c r="L492" s="84"/>
      <c r="M492" s="83"/>
      <c r="N492" s="85"/>
    </row>
    <row r="493" spans="9:14" x14ac:dyDescent="0.3">
      <c r="I493" s="82"/>
      <c r="J493" s="83"/>
      <c r="K493" s="83"/>
      <c r="L493" s="84"/>
      <c r="M493" s="83"/>
      <c r="N493" s="85"/>
    </row>
    <row r="494" spans="9:14" x14ac:dyDescent="0.3">
      <c r="I494" s="82"/>
      <c r="J494" s="83"/>
      <c r="K494" s="83"/>
      <c r="L494" s="84"/>
      <c r="M494" s="83"/>
      <c r="N494" s="85"/>
    </row>
    <row r="495" spans="9:14" x14ac:dyDescent="0.3">
      <c r="I495" s="82"/>
      <c r="J495" s="83"/>
      <c r="K495" s="83"/>
      <c r="L495" s="84"/>
      <c r="M495" s="83"/>
      <c r="N495" s="85"/>
    </row>
    <row r="496" spans="9:14" x14ac:dyDescent="0.3">
      <c r="I496" s="82"/>
      <c r="J496" s="83"/>
      <c r="K496" s="83"/>
      <c r="L496" s="84"/>
      <c r="M496" s="83"/>
      <c r="N496" s="85"/>
    </row>
    <row r="497" spans="9:14" x14ac:dyDescent="0.3">
      <c r="I497" s="82"/>
      <c r="J497" s="83"/>
      <c r="K497" s="83"/>
      <c r="L497" s="84"/>
      <c r="M497" s="83"/>
      <c r="N497" s="85"/>
    </row>
    <row r="498" spans="9:14" x14ac:dyDescent="0.3">
      <c r="I498" s="82"/>
      <c r="J498" s="83"/>
      <c r="K498" s="83"/>
      <c r="L498" s="84"/>
      <c r="M498" s="83"/>
      <c r="N498" s="85"/>
    </row>
    <row r="499" spans="9:14" x14ac:dyDescent="0.3">
      <c r="I499" s="82"/>
      <c r="J499" s="83"/>
      <c r="K499" s="83"/>
      <c r="L499" s="84"/>
      <c r="M499" s="83"/>
      <c r="N499" s="85"/>
    </row>
    <row r="500" spans="9:14" x14ac:dyDescent="0.3">
      <c r="I500" s="82"/>
      <c r="J500" s="83"/>
      <c r="K500" s="83"/>
      <c r="L500" s="84"/>
      <c r="M500" s="83"/>
      <c r="N500" s="85"/>
    </row>
    <row r="501" spans="9:14" x14ac:dyDescent="0.3">
      <c r="I501" s="82"/>
      <c r="J501" s="83"/>
      <c r="K501" s="83"/>
      <c r="L501" s="84"/>
      <c r="M501" s="83"/>
      <c r="N501" s="85"/>
    </row>
    <row r="502" spans="9:14" x14ac:dyDescent="0.3">
      <c r="I502" s="82"/>
      <c r="J502" s="83"/>
      <c r="K502" s="83"/>
      <c r="L502" s="84"/>
      <c r="M502" s="83"/>
      <c r="N502" s="85"/>
    </row>
    <row r="503" spans="9:14" x14ac:dyDescent="0.3">
      <c r="I503" s="82"/>
      <c r="J503" s="83"/>
      <c r="K503" s="83"/>
      <c r="L503" s="84"/>
      <c r="M503" s="83"/>
      <c r="N503" s="85"/>
    </row>
    <row r="504" spans="9:14" x14ac:dyDescent="0.3">
      <c r="I504" s="82"/>
      <c r="J504" s="83"/>
      <c r="K504" s="83"/>
      <c r="L504" s="84"/>
      <c r="M504" s="83"/>
      <c r="N504" s="85"/>
    </row>
    <row r="505" spans="9:14" x14ac:dyDescent="0.3">
      <c r="I505" s="82"/>
      <c r="J505" s="83"/>
      <c r="K505" s="83"/>
      <c r="L505" s="84"/>
      <c r="M505" s="83"/>
      <c r="N505" s="85"/>
    </row>
    <row r="506" spans="9:14" x14ac:dyDescent="0.3">
      <c r="I506" s="82"/>
      <c r="J506" s="83"/>
      <c r="K506" s="83"/>
      <c r="L506" s="84"/>
      <c r="M506" s="83"/>
      <c r="N506" s="85"/>
    </row>
    <row r="507" spans="9:14" x14ac:dyDescent="0.3">
      <c r="I507" s="82"/>
      <c r="J507" s="83"/>
      <c r="K507" s="83"/>
      <c r="L507" s="84"/>
      <c r="M507" s="83"/>
      <c r="N507" s="85"/>
    </row>
    <row r="508" spans="9:14" x14ac:dyDescent="0.3">
      <c r="I508" s="82"/>
      <c r="J508" s="83"/>
      <c r="K508" s="83"/>
      <c r="L508" s="84"/>
      <c r="M508" s="83"/>
      <c r="N508" s="85"/>
    </row>
    <row r="509" spans="9:14" x14ac:dyDescent="0.3">
      <c r="I509" s="82"/>
      <c r="J509" s="83"/>
      <c r="K509" s="83"/>
      <c r="L509" s="84"/>
      <c r="M509" s="83"/>
      <c r="N509" s="85"/>
    </row>
    <row r="510" spans="9:14" x14ac:dyDescent="0.3">
      <c r="I510" s="82"/>
      <c r="J510" s="83"/>
      <c r="K510" s="83"/>
      <c r="L510" s="84"/>
      <c r="M510" s="83"/>
      <c r="N510" s="85"/>
    </row>
    <row r="511" spans="9:14" x14ac:dyDescent="0.3">
      <c r="I511" s="82"/>
      <c r="J511" s="83"/>
      <c r="K511" s="83"/>
      <c r="L511" s="84"/>
      <c r="M511" s="83"/>
      <c r="N511" s="85"/>
    </row>
    <row r="512" spans="9:14" x14ac:dyDescent="0.3">
      <c r="I512" s="82"/>
      <c r="J512" s="83"/>
      <c r="K512" s="83"/>
      <c r="L512" s="84"/>
      <c r="M512" s="83"/>
      <c r="N512" s="85"/>
    </row>
    <row r="513" spans="9:14" x14ac:dyDescent="0.3">
      <c r="I513" s="82"/>
      <c r="J513" s="83"/>
      <c r="K513" s="83"/>
      <c r="L513" s="84"/>
      <c r="M513" s="83"/>
      <c r="N513" s="85"/>
    </row>
    <row r="514" spans="9:14" x14ac:dyDescent="0.3">
      <c r="I514" s="82"/>
      <c r="J514" s="83"/>
      <c r="K514" s="83"/>
      <c r="L514" s="84"/>
      <c r="M514" s="83"/>
      <c r="N514" s="85"/>
    </row>
    <row r="515" spans="9:14" x14ac:dyDescent="0.3">
      <c r="I515" s="82"/>
      <c r="J515" s="83"/>
      <c r="K515" s="83"/>
      <c r="L515" s="84"/>
      <c r="M515" s="83"/>
      <c r="N515" s="85"/>
    </row>
    <row r="516" spans="9:14" x14ac:dyDescent="0.3">
      <c r="I516" s="82"/>
      <c r="J516" s="83"/>
      <c r="K516" s="83"/>
      <c r="L516" s="84"/>
      <c r="M516" s="83"/>
      <c r="N516" s="85"/>
    </row>
    <row r="517" spans="9:14" x14ac:dyDescent="0.3">
      <c r="I517" s="82"/>
      <c r="J517" s="83"/>
      <c r="K517" s="83"/>
      <c r="L517" s="84"/>
      <c r="M517" s="83"/>
      <c r="N517" s="85"/>
    </row>
    <row r="518" spans="9:14" x14ac:dyDescent="0.3">
      <c r="I518" s="82"/>
      <c r="J518" s="83"/>
      <c r="K518" s="83"/>
      <c r="L518" s="84"/>
      <c r="M518" s="83"/>
      <c r="N518" s="85"/>
    </row>
    <row r="519" spans="9:14" x14ac:dyDescent="0.3">
      <c r="I519" s="82"/>
      <c r="J519" s="83"/>
      <c r="K519" s="83"/>
      <c r="L519" s="84"/>
      <c r="M519" s="83"/>
      <c r="N519" s="85"/>
    </row>
    <row r="520" spans="9:14" x14ac:dyDescent="0.3">
      <c r="I520" s="82"/>
      <c r="J520" s="83"/>
      <c r="K520" s="83"/>
      <c r="L520" s="84"/>
      <c r="M520" s="83"/>
      <c r="N520" s="85"/>
    </row>
    <row r="521" spans="9:14" x14ac:dyDescent="0.3">
      <c r="I521" s="82"/>
      <c r="J521" s="83"/>
      <c r="K521" s="83"/>
      <c r="L521" s="84"/>
      <c r="M521" s="83"/>
      <c r="N521" s="85"/>
    </row>
    <row r="522" spans="9:14" x14ac:dyDescent="0.3">
      <c r="I522" s="82"/>
      <c r="J522" s="83"/>
      <c r="K522" s="83"/>
      <c r="L522" s="84"/>
      <c r="M522" s="83"/>
      <c r="N522" s="85"/>
    </row>
    <row r="523" spans="9:14" x14ac:dyDescent="0.3">
      <c r="I523" s="82"/>
      <c r="J523" s="83"/>
      <c r="K523" s="83"/>
      <c r="L523" s="84"/>
      <c r="M523" s="83"/>
      <c r="N523" s="85"/>
    </row>
    <row r="524" spans="9:14" x14ac:dyDescent="0.3">
      <c r="I524" s="82"/>
      <c r="J524" s="83"/>
      <c r="K524" s="83"/>
      <c r="L524" s="84"/>
      <c r="M524" s="83"/>
      <c r="N524" s="85"/>
    </row>
    <row r="525" spans="9:14" x14ac:dyDescent="0.3">
      <c r="I525" s="82"/>
      <c r="J525" s="83"/>
      <c r="K525" s="83"/>
      <c r="L525" s="84"/>
      <c r="M525" s="83"/>
      <c r="N525" s="85"/>
    </row>
    <row r="526" spans="9:14" x14ac:dyDescent="0.3">
      <c r="I526" s="82"/>
      <c r="J526" s="83"/>
      <c r="K526" s="83"/>
      <c r="L526" s="84"/>
      <c r="M526" s="83"/>
      <c r="N526" s="85"/>
    </row>
    <row r="527" spans="9:14" x14ac:dyDescent="0.3">
      <c r="I527" s="82"/>
      <c r="J527" s="83"/>
      <c r="K527" s="83"/>
      <c r="L527" s="84"/>
      <c r="M527" s="83"/>
      <c r="N527" s="85"/>
    </row>
    <row r="528" spans="9:14" x14ac:dyDescent="0.3">
      <c r="I528" s="82"/>
      <c r="J528" s="83"/>
      <c r="K528" s="83"/>
      <c r="L528" s="84"/>
      <c r="M528" s="83"/>
      <c r="N528" s="85"/>
    </row>
    <row r="529" spans="9:14" x14ac:dyDescent="0.3">
      <c r="I529" s="82"/>
      <c r="J529" s="83"/>
      <c r="K529" s="83"/>
      <c r="L529" s="84"/>
      <c r="M529" s="83"/>
      <c r="N529" s="85"/>
    </row>
    <row r="530" spans="9:14" x14ac:dyDescent="0.3">
      <c r="I530" s="82"/>
      <c r="J530" s="83"/>
      <c r="K530" s="83"/>
      <c r="L530" s="84"/>
      <c r="M530" s="83"/>
      <c r="N530" s="85"/>
    </row>
    <row r="531" spans="9:14" x14ac:dyDescent="0.3">
      <c r="I531" s="82"/>
      <c r="J531" s="83"/>
      <c r="K531" s="83"/>
      <c r="L531" s="84"/>
      <c r="M531" s="83"/>
      <c r="N531" s="85"/>
    </row>
    <row r="532" spans="9:14" x14ac:dyDescent="0.3">
      <c r="I532" s="82"/>
      <c r="J532" s="83"/>
      <c r="K532" s="83"/>
      <c r="L532" s="84"/>
      <c r="M532" s="83"/>
      <c r="N532" s="85"/>
    </row>
    <row r="533" spans="9:14" x14ac:dyDescent="0.3">
      <c r="I533" s="82"/>
      <c r="J533" s="83"/>
      <c r="K533" s="83"/>
      <c r="L533" s="84"/>
      <c r="M533" s="83"/>
      <c r="N533" s="85"/>
    </row>
    <row r="534" spans="9:14" x14ac:dyDescent="0.3">
      <c r="I534" s="82"/>
      <c r="J534" s="83"/>
      <c r="K534" s="83"/>
      <c r="L534" s="84"/>
      <c r="M534" s="83"/>
      <c r="N534" s="85"/>
    </row>
    <row r="535" spans="9:14" x14ac:dyDescent="0.3">
      <c r="I535" s="82"/>
      <c r="J535" s="83"/>
      <c r="K535" s="83"/>
      <c r="L535" s="84"/>
      <c r="M535" s="83"/>
      <c r="N535" s="85"/>
    </row>
    <row r="536" spans="9:14" x14ac:dyDescent="0.3">
      <c r="I536" s="82"/>
      <c r="J536" s="83"/>
      <c r="K536" s="83"/>
      <c r="L536" s="84"/>
      <c r="M536" s="83"/>
      <c r="N536" s="85"/>
    </row>
    <row r="537" spans="9:14" x14ac:dyDescent="0.3">
      <c r="I537" s="82"/>
      <c r="J537" s="83"/>
      <c r="K537" s="83"/>
      <c r="L537" s="84"/>
      <c r="M537" s="83"/>
      <c r="N537" s="85"/>
    </row>
    <row r="538" spans="9:14" x14ac:dyDescent="0.3">
      <c r="I538" s="82"/>
      <c r="J538" s="83"/>
      <c r="K538" s="83"/>
      <c r="L538" s="84"/>
      <c r="M538" s="83"/>
      <c r="N538" s="85"/>
    </row>
    <row r="539" spans="9:14" x14ac:dyDescent="0.3">
      <c r="I539" s="82"/>
      <c r="J539" s="83"/>
      <c r="K539" s="83"/>
      <c r="L539" s="84"/>
      <c r="M539" s="83"/>
      <c r="N539" s="85"/>
    </row>
    <row r="540" spans="9:14" x14ac:dyDescent="0.3">
      <c r="I540" s="82"/>
      <c r="J540" s="83"/>
      <c r="K540" s="83"/>
      <c r="L540" s="84"/>
      <c r="M540" s="83"/>
      <c r="N540" s="85"/>
    </row>
    <row r="541" spans="9:14" x14ac:dyDescent="0.3">
      <c r="I541" s="82"/>
      <c r="J541" s="83"/>
      <c r="K541" s="83"/>
      <c r="L541" s="84"/>
      <c r="M541" s="83"/>
      <c r="N541" s="85"/>
    </row>
    <row r="542" spans="9:14" x14ac:dyDescent="0.3">
      <c r="I542" s="82"/>
      <c r="J542" s="83"/>
      <c r="K542" s="83"/>
      <c r="L542" s="84"/>
      <c r="M542" s="83"/>
      <c r="N542" s="85"/>
    </row>
    <row r="543" spans="9:14" x14ac:dyDescent="0.3">
      <c r="I543" s="82"/>
      <c r="J543" s="83"/>
      <c r="K543" s="83"/>
      <c r="L543" s="84"/>
      <c r="M543" s="83"/>
      <c r="N543" s="85"/>
    </row>
    <row r="544" spans="9:14" x14ac:dyDescent="0.3">
      <c r="I544" s="82"/>
      <c r="J544" s="83"/>
      <c r="K544" s="83"/>
      <c r="L544" s="84"/>
      <c r="M544" s="83"/>
      <c r="N544" s="85"/>
    </row>
    <row r="545" spans="9:14" x14ac:dyDescent="0.3">
      <c r="I545" s="82"/>
      <c r="J545" s="83"/>
      <c r="K545" s="83"/>
      <c r="L545" s="84"/>
      <c r="M545" s="83"/>
      <c r="N545" s="85"/>
    </row>
    <row r="546" spans="9:14" x14ac:dyDescent="0.3">
      <c r="I546" s="82"/>
      <c r="J546" s="83"/>
      <c r="K546" s="83"/>
      <c r="L546" s="84"/>
      <c r="M546" s="83"/>
      <c r="N546" s="85"/>
    </row>
    <row r="547" spans="9:14" x14ac:dyDescent="0.3">
      <c r="I547" s="82"/>
      <c r="J547" s="83"/>
      <c r="K547" s="83"/>
      <c r="L547" s="84"/>
      <c r="M547" s="83"/>
      <c r="N547" s="85"/>
    </row>
    <row r="548" spans="9:14" x14ac:dyDescent="0.3">
      <c r="I548" s="82"/>
      <c r="J548" s="83"/>
      <c r="K548" s="83"/>
      <c r="L548" s="84"/>
      <c r="M548" s="83"/>
      <c r="N548" s="85"/>
    </row>
    <row r="549" spans="9:14" x14ac:dyDescent="0.3">
      <c r="I549" s="82"/>
      <c r="J549" s="83"/>
      <c r="K549" s="83"/>
      <c r="L549" s="84"/>
      <c r="M549" s="83"/>
      <c r="N549" s="85"/>
    </row>
    <row r="550" spans="9:14" x14ac:dyDescent="0.3">
      <c r="I550" s="82"/>
      <c r="J550" s="83"/>
      <c r="K550" s="83"/>
      <c r="L550" s="84"/>
      <c r="M550" s="83"/>
      <c r="N550" s="85"/>
    </row>
    <row r="551" spans="9:14" x14ac:dyDescent="0.3">
      <c r="I551" s="82"/>
      <c r="J551" s="83"/>
      <c r="K551" s="83"/>
      <c r="L551" s="84"/>
      <c r="M551" s="83"/>
      <c r="N551" s="85"/>
    </row>
    <row r="552" spans="9:14" x14ac:dyDescent="0.3">
      <c r="I552" s="82"/>
      <c r="J552" s="83"/>
      <c r="K552" s="83"/>
      <c r="L552" s="84"/>
      <c r="M552" s="83"/>
      <c r="N552" s="85"/>
    </row>
    <row r="553" spans="9:14" x14ac:dyDescent="0.3">
      <c r="I553" s="82"/>
      <c r="J553" s="83"/>
      <c r="K553" s="83"/>
      <c r="L553" s="84"/>
      <c r="M553" s="83"/>
      <c r="N553" s="85"/>
    </row>
    <row r="554" spans="9:14" x14ac:dyDescent="0.3">
      <c r="I554" s="82"/>
      <c r="J554" s="83"/>
      <c r="K554" s="83"/>
      <c r="L554" s="84"/>
      <c r="M554" s="83"/>
      <c r="N554" s="85"/>
    </row>
    <row r="555" spans="9:14" x14ac:dyDescent="0.3">
      <c r="I555" s="82"/>
      <c r="J555" s="83"/>
      <c r="K555" s="83"/>
      <c r="L555" s="84"/>
      <c r="M555" s="83"/>
      <c r="N555" s="85"/>
    </row>
    <row r="556" spans="9:14" x14ac:dyDescent="0.3">
      <c r="I556" s="82"/>
      <c r="J556" s="83"/>
      <c r="K556" s="83"/>
      <c r="L556" s="84"/>
      <c r="M556" s="83"/>
      <c r="N556" s="85"/>
    </row>
    <row r="557" spans="9:14" x14ac:dyDescent="0.3">
      <c r="I557" s="82"/>
      <c r="J557" s="83"/>
      <c r="K557" s="83"/>
      <c r="L557" s="84"/>
      <c r="M557" s="83"/>
      <c r="N557" s="85"/>
    </row>
    <row r="558" spans="9:14" x14ac:dyDescent="0.3">
      <c r="I558" s="82"/>
      <c r="J558" s="83"/>
      <c r="K558" s="83"/>
      <c r="L558" s="84"/>
      <c r="M558" s="83"/>
      <c r="N558" s="85"/>
    </row>
    <row r="559" spans="9:14" x14ac:dyDescent="0.3">
      <c r="I559" s="82"/>
      <c r="J559" s="83"/>
      <c r="K559" s="83"/>
      <c r="L559" s="84"/>
      <c r="M559" s="83"/>
      <c r="N559" s="85"/>
    </row>
    <row r="560" spans="9:14" x14ac:dyDescent="0.3">
      <c r="I560" s="82"/>
      <c r="J560" s="83"/>
      <c r="K560" s="83"/>
      <c r="L560" s="84"/>
      <c r="M560" s="83"/>
      <c r="N560" s="85"/>
    </row>
    <row r="561" spans="9:14" x14ac:dyDescent="0.3">
      <c r="I561" s="82"/>
      <c r="J561" s="83"/>
      <c r="K561" s="83"/>
      <c r="L561" s="84"/>
      <c r="M561" s="83"/>
      <c r="N561" s="85"/>
    </row>
    <row r="562" spans="9:14" x14ac:dyDescent="0.3">
      <c r="I562" s="82"/>
      <c r="J562" s="83"/>
      <c r="K562" s="83"/>
      <c r="L562" s="84"/>
      <c r="M562" s="83"/>
      <c r="N562" s="85"/>
    </row>
    <row r="563" spans="9:14" x14ac:dyDescent="0.3">
      <c r="I563" s="82"/>
      <c r="J563" s="83"/>
      <c r="K563" s="83"/>
      <c r="L563" s="84"/>
      <c r="M563" s="83"/>
      <c r="N563" s="85"/>
    </row>
    <row r="564" spans="9:14" x14ac:dyDescent="0.3">
      <c r="I564" s="82"/>
      <c r="J564" s="83"/>
      <c r="K564" s="83"/>
      <c r="L564" s="84"/>
      <c r="M564" s="83"/>
      <c r="N564" s="85"/>
    </row>
    <row r="565" spans="9:14" x14ac:dyDescent="0.3">
      <c r="I565" s="82"/>
      <c r="J565" s="83"/>
      <c r="K565" s="83"/>
      <c r="L565" s="84"/>
      <c r="M565" s="83"/>
      <c r="N565" s="85"/>
    </row>
    <row r="566" spans="9:14" x14ac:dyDescent="0.3">
      <c r="I566" s="82"/>
      <c r="J566" s="83"/>
      <c r="K566" s="83"/>
      <c r="L566" s="84"/>
      <c r="M566" s="83"/>
      <c r="N566" s="85"/>
    </row>
    <row r="567" spans="9:14" x14ac:dyDescent="0.3">
      <c r="I567" s="82"/>
      <c r="J567" s="83"/>
      <c r="K567" s="83"/>
      <c r="L567" s="84"/>
      <c r="M567" s="83"/>
      <c r="N567" s="85"/>
    </row>
    <row r="568" spans="9:14" x14ac:dyDescent="0.3">
      <c r="I568" s="82"/>
      <c r="J568" s="83"/>
      <c r="K568" s="83"/>
      <c r="L568" s="84"/>
      <c r="M568" s="83"/>
      <c r="N568" s="85"/>
    </row>
    <row r="569" spans="9:14" x14ac:dyDescent="0.3">
      <c r="I569" s="82"/>
      <c r="J569" s="83"/>
      <c r="K569" s="83"/>
      <c r="L569" s="84"/>
      <c r="M569" s="83"/>
      <c r="N569" s="85"/>
    </row>
    <row r="570" spans="9:14" x14ac:dyDescent="0.3">
      <c r="I570" s="82"/>
      <c r="J570" s="83"/>
      <c r="K570" s="83"/>
      <c r="L570" s="84"/>
      <c r="M570" s="83"/>
      <c r="N570" s="85"/>
    </row>
    <row r="571" spans="9:14" x14ac:dyDescent="0.3">
      <c r="I571" s="82"/>
      <c r="J571" s="83"/>
      <c r="K571" s="83"/>
      <c r="L571" s="84"/>
      <c r="M571" s="83"/>
      <c r="N571" s="85"/>
    </row>
    <row r="572" spans="9:14" x14ac:dyDescent="0.3">
      <c r="I572" s="82"/>
      <c r="J572" s="83"/>
      <c r="K572" s="83"/>
      <c r="L572" s="84"/>
      <c r="M572" s="83"/>
      <c r="N572" s="85"/>
    </row>
    <row r="573" spans="9:14" x14ac:dyDescent="0.3">
      <c r="I573" s="82"/>
      <c r="J573" s="83"/>
      <c r="K573" s="83"/>
      <c r="L573" s="84"/>
      <c r="M573" s="83"/>
      <c r="N573" s="85"/>
    </row>
    <row r="574" spans="9:14" x14ac:dyDescent="0.3">
      <c r="I574" s="82"/>
      <c r="J574" s="83"/>
      <c r="K574" s="83"/>
      <c r="L574" s="84"/>
      <c r="M574" s="83"/>
      <c r="N574" s="85"/>
    </row>
    <row r="575" spans="9:14" x14ac:dyDescent="0.3">
      <c r="I575" s="82"/>
      <c r="J575" s="83"/>
      <c r="K575" s="83"/>
      <c r="L575" s="84"/>
      <c r="M575" s="83"/>
      <c r="N575" s="85"/>
    </row>
    <row r="576" spans="9:14" x14ac:dyDescent="0.3">
      <c r="I576" s="82"/>
      <c r="J576" s="83"/>
      <c r="K576" s="83"/>
      <c r="L576" s="84"/>
      <c r="M576" s="83"/>
      <c r="N576" s="85"/>
    </row>
    <row r="577" spans="9:14" x14ac:dyDescent="0.3">
      <c r="I577" s="82"/>
      <c r="J577" s="83"/>
      <c r="K577" s="83"/>
      <c r="L577" s="84"/>
      <c r="M577" s="83"/>
      <c r="N577" s="85"/>
    </row>
    <row r="578" spans="9:14" x14ac:dyDescent="0.3">
      <c r="I578" s="82"/>
      <c r="J578" s="83"/>
      <c r="K578" s="83"/>
      <c r="L578" s="84"/>
      <c r="M578" s="83"/>
      <c r="N578" s="85"/>
    </row>
    <row r="579" spans="9:14" x14ac:dyDescent="0.3">
      <c r="I579" s="82"/>
      <c r="J579" s="83"/>
      <c r="K579" s="83"/>
      <c r="L579" s="84"/>
      <c r="M579" s="83"/>
      <c r="N579" s="85"/>
    </row>
    <row r="580" spans="9:14" x14ac:dyDescent="0.3">
      <c r="I580" s="82"/>
      <c r="J580" s="83"/>
      <c r="K580" s="83"/>
      <c r="L580" s="84"/>
      <c r="M580" s="83"/>
      <c r="N580" s="85"/>
    </row>
    <row r="581" spans="9:14" x14ac:dyDescent="0.3">
      <c r="I581" s="82"/>
      <c r="J581" s="83"/>
      <c r="K581" s="83"/>
      <c r="L581" s="84"/>
      <c r="M581" s="83"/>
      <c r="N581" s="85"/>
    </row>
    <row r="582" spans="9:14" x14ac:dyDescent="0.3">
      <c r="I582" s="82"/>
      <c r="J582" s="83"/>
      <c r="K582" s="83"/>
      <c r="L582" s="84"/>
      <c r="M582" s="83"/>
      <c r="N582" s="85"/>
    </row>
    <row r="583" spans="9:14" x14ac:dyDescent="0.3">
      <c r="I583" s="82"/>
      <c r="J583" s="83"/>
      <c r="K583" s="83"/>
      <c r="L583" s="84"/>
      <c r="M583" s="83"/>
      <c r="N583" s="85"/>
    </row>
    <row r="584" spans="9:14" x14ac:dyDescent="0.3">
      <c r="I584" s="82"/>
      <c r="J584" s="83"/>
      <c r="K584" s="83"/>
      <c r="L584" s="84"/>
      <c r="M584" s="83"/>
      <c r="N584" s="85"/>
    </row>
    <row r="585" spans="9:14" x14ac:dyDescent="0.3">
      <c r="I585" s="82"/>
      <c r="J585" s="83"/>
      <c r="K585" s="83"/>
      <c r="L585" s="84"/>
      <c r="M585" s="83"/>
      <c r="N585" s="85"/>
    </row>
    <row r="586" spans="9:14" x14ac:dyDescent="0.3">
      <c r="I586" s="82"/>
      <c r="J586" s="83"/>
      <c r="K586" s="83"/>
      <c r="L586" s="84"/>
      <c r="M586" s="83"/>
      <c r="N586" s="85"/>
    </row>
    <row r="587" spans="9:14" x14ac:dyDescent="0.3">
      <c r="I587" s="82"/>
      <c r="J587" s="83"/>
      <c r="K587" s="83"/>
      <c r="L587" s="84"/>
      <c r="M587" s="83"/>
      <c r="N587" s="85"/>
    </row>
    <row r="588" spans="9:14" x14ac:dyDescent="0.3">
      <c r="I588" s="82"/>
      <c r="J588" s="83"/>
      <c r="K588" s="83"/>
      <c r="L588" s="84"/>
      <c r="M588" s="83"/>
      <c r="N588" s="85"/>
    </row>
    <row r="589" spans="9:14" x14ac:dyDescent="0.3">
      <c r="I589" s="82"/>
      <c r="J589" s="83"/>
      <c r="K589" s="83"/>
      <c r="L589" s="84"/>
      <c r="M589" s="83"/>
      <c r="N589" s="85"/>
    </row>
    <row r="590" spans="9:14" x14ac:dyDescent="0.3">
      <c r="I590" s="82"/>
      <c r="J590" s="83"/>
      <c r="K590" s="83"/>
      <c r="L590" s="84"/>
      <c r="M590" s="83"/>
      <c r="N590" s="85"/>
    </row>
    <row r="591" spans="9:14" x14ac:dyDescent="0.3">
      <c r="I591" s="82"/>
      <c r="J591" s="83"/>
      <c r="K591" s="83"/>
      <c r="L591" s="84"/>
      <c r="M591" s="83"/>
      <c r="N591" s="85"/>
    </row>
    <row r="592" spans="9:14" x14ac:dyDescent="0.3">
      <c r="I592" s="82"/>
      <c r="J592" s="83"/>
      <c r="K592" s="83"/>
      <c r="L592" s="84"/>
      <c r="M592" s="83"/>
      <c r="N592" s="85"/>
    </row>
    <row r="593" spans="9:14" x14ac:dyDescent="0.3">
      <c r="I593" s="82"/>
      <c r="J593" s="83"/>
      <c r="K593" s="83"/>
      <c r="L593" s="84"/>
      <c r="M593" s="83"/>
      <c r="N593" s="85"/>
    </row>
    <row r="594" spans="9:14" x14ac:dyDescent="0.3">
      <c r="I594" s="82"/>
      <c r="J594" s="83"/>
      <c r="K594" s="83"/>
      <c r="L594" s="84"/>
      <c r="M594" s="83"/>
      <c r="N594" s="85"/>
    </row>
    <row r="595" spans="9:14" x14ac:dyDescent="0.3">
      <c r="I595" s="82"/>
      <c r="J595" s="83"/>
      <c r="K595" s="83"/>
      <c r="L595" s="84"/>
      <c r="M595" s="83"/>
      <c r="N595" s="85"/>
    </row>
    <row r="596" spans="9:14" x14ac:dyDescent="0.3">
      <c r="I596" s="82"/>
      <c r="J596" s="83"/>
      <c r="K596" s="83"/>
      <c r="L596" s="84"/>
      <c r="M596" s="83"/>
      <c r="N596" s="85"/>
    </row>
    <row r="597" spans="9:14" x14ac:dyDescent="0.3">
      <c r="I597" s="82"/>
      <c r="J597" s="83"/>
      <c r="K597" s="83"/>
      <c r="L597" s="84"/>
      <c r="M597" s="83"/>
      <c r="N597" s="85"/>
    </row>
    <row r="598" spans="9:14" x14ac:dyDescent="0.3">
      <c r="I598" s="82"/>
      <c r="J598" s="83"/>
      <c r="K598" s="83"/>
      <c r="L598" s="84"/>
      <c r="M598" s="83"/>
      <c r="N598" s="85"/>
    </row>
    <row r="599" spans="9:14" x14ac:dyDescent="0.3">
      <c r="I599" s="82"/>
      <c r="J599" s="83"/>
      <c r="K599" s="83"/>
      <c r="L599" s="84"/>
      <c r="M599" s="83"/>
      <c r="N599" s="85"/>
    </row>
    <row r="600" spans="9:14" x14ac:dyDescent="0.3">
      <c r="I600" s="82"/>
      <c r="J600" s="83"/>
      <c r="K600" s="83"/>
      <c r="L600" s="84"/>
      <c r="M600" s="83"/>
      <c r="N600" s="85"/>
    </row>
    <row r="601" spans="9:14" x14ac:dyDescent="0.3">
      <c r="I601" s="82"/>
      <c r="J601" s="83"/>
      <c r="K601" s="83"/>
      <c r="L601" s="84"/>
      <c r="M601" s="83"/>
      <c r="N601" s="85"/>
    </row>
    <row r="602" spans="9:14" x14ac:dyDescent="0.3">
      <c r="I602" s="82"/>
      <c r="J602" s="83"/>
      <c r="K602" s="83"/>
      <c r="L602" s="84"/>
      <c r="M602" s="83"/>
      <c r="N602" s="85"/>
    </row>
    <row r="603" spans="9:14" x14ac:dyDescent="0.3">
      <c r="I603" s="82"/>
      <c r="J603" s="83"/>
      <c r="K603" s="83"/>
      <c r="L603" s="84"/>
      <c r="M603" s="83"/>
      <c r="N603" s="85"/>
    </row>
    <row r="604" spans="9:14" x14ac:dyDescent="0.3">
      <c r="I604" s="82"/>
      <c r="J604" s="83"/>
      <c r="K604" s="83"/>
      <c r="L604" s="84"/>
      <c r="M604" s="83"/>
      <c r="N604" s="85"/>
    </row>
    <row r="605" spans="9:14" x14ac:dyDescent="0.3">
      <c r="I605" s="82"/>
      <c r="J605" s="83"/>
      <c r="K605" s="83"/>
      <c r="L605" s="84"/>
      <c r="M605" s="83"/>
      <c r="N605" s="85"/>
    </row>
    <row r="606" spans="9:14" x14ac:dyDescent="0.3">
      <c r="I606" s="82"/>
      <c r="J606" s="83"/>
      <c r="K606" s="83"/>
      <c r="L606" s="84"/>
      <c r="M606" s="83"/>
      <c r="N606" s="85"/>
    </row>
    <row r="607" spans="9:14" x14ac:dyDescent="0.3">
      <c r="I607" s="82"/>
      <c r="J607" s="83"/>
      <c r="K607" s="83"/>
      <c r="L607" s="84"/>
      <c r="M607" s="83"/>
      <c r="N607" s="85"/>
    </row>
    <row r="608" spans="9:14" x14ac:dyDescent="0.3">
      <c r="I608" s="82"/>
      <c r="J608" s="83"/>
      <c r="K608" s="83"/>
      <c r="L608" s="84"/>
      <c r="M608" s="83"/>
      <c r="N608" s="85"/>
    </row>
    <row r="609" spans="9:14" x14ac:dyDescent="0.3">
      <c r="I609" s="82"/>
      <c r="J609" s="83"/>
      <c r="K609" s="83"/>
      <c r="L609" s="84"/>
      <c r="M609" s="83"/>
      <c r="N609" s="85"/>
    </row>
    <row r="610" spans="9:14" x14ac:dyDescent="0.3">
      <c r="I610" s="82"/>
      <c r="J610" s="83"/>
      <c r="K610" s="83"/>
      <c r="L610" s="84"/>
      <c r="M610" s="83"/>
      <c r="N610" s="85"/>
    </row>
    <row r="611" spans="9:14" x14ac:dyDescent="0.3">
      <c r="I611" s="82"/>
      <c r="J611" s="83"/>
      <c r="K611" s="83"/>
      <c r="L611" s="84"/>
      <c r="M611" s="83"/>
      <c r="N611" s="85"/>
    </row>
    <row r="612" spans="9:14" x14ac:dyDescent="0.3">
      <c r="I612" s="82"/>
      <c r="J612" s="83"/>
      <c r="K612" s="83"/>
      <c r="L612" s="84"/>
      <c r="M612" s="83"/>
      <c r="N612" s="85"/>
    </row>
    <row r="613" spans="9:14" x14ac:dyDescent="0.3">
      <c r="I613" s="82"/>
      <c r="J613" s="83"/>
      <c r="K613" s="83"/>
      <c r="L613" s="84"/>
      <c r="M613" s="83"/>
      <c r="N613" s="85"/>
    </row>
    <row r="614" spans="9:14" x14ac:dyDescent="0.3">
      <c r="I614" s="82"/>
      <c r="J614" s="83"/>
      <c r="K614" s="83"/>
      <c r="L614" s="84"/>
      <c r="M614" s="83"/>
      <c r="N614" s="85"/>
    </row>
    <row r="615" spans="9:14" x14ac:dyDescent="0.3">
      <c r="I615" s="82"/>
      <c r="J615" s="83"/>
      <c r="K615" s="83"/>
      <c r="L615" s="84"/>
      <c r="M615" s="83"/>
      <c r="N615" s="85"/>
    </row>
    <row r="616" spans="9:14" x14ac:dyDescent="0.3">
      <c r="I616" s="82"/>
      <c r="J616" s="83"/>
      <c r="K616" s="83"/>
      <c r="L616" s="84"/>
      <c r="M616" s="83"/>
      <c r="N616" s="85"/>
    </row>
    <row r="617" spans="9:14" x14ac:dyDescent="0.3">
      <c r="I617" s="82"/>
      <c r="J617" s="83"/>
      <c r="K617" s="83"/>
      <c r="L617" s="84"/>
      <c r="M617" s="83"/>
      <c r="N617" s="85"/>
    </row>
    <row r="618" spans="9:14" x14ac:dyDescent="0.3">
      <c r="I618" s="82"/>
      <c r="J618" s="83"/>
      <c r="K618" s="83"/>
      <c r="L618" s="84"/>
      <c r="M618" s="83"/>
      <c r="N618" s="85"/>
    </row>
    <row r="619" spans="9:14" x14ac:dyDescent="0.3">
      <c r="I619" s="82"/>
      <c r="J619" s="83"/>
      <c r="K619" s="83"/>
      <c r="L619" s="84"/>
      <c r="M619" s="83"/>
      <c r="N619" s="85"/>
    </row>
    <row r="620" spans="9:14" x14ac:dyDescent="0.3">
      <c r="I620" s="82"/>
      <c r="J620" s="83"/>
      <c r="K620" s="83"/>
      <c r="L620" s="84"/>
      <c r="M620" s="83"/>
      <c r="N620" s="85"/>
    </row>
    <row r="621" spans="9:14" x14ac:dyDescent="0.3">
      <c r="I621" s="82"/>
      <c r="J621" s="83"/>
      <c r="K621" s="83"/>
      <c r="L621" s="84"/>
      <c r="M621" s="83"/>
      <c r="N621" s="85"/>
    </row>
    <row r="622" spans="9:14" x14ac:dyDescent="0.3">
      <c r="I622" s="82"/>
      <c r="J622" s="83"/>
      <c r="K622" s="83"/>
      <c r="L622" s="84"/>
      <c r="M622" s="83"/>
      <c r="N622" s="85"/>
    </row>
    <row r="623" spans="9:14" x14ac:dyDescent="0.3">
      <c r="I623" s="82"/>
      <c r="J623" s="83"/>
      <c r="K623" s="83"/>
      <c r="L623" s="84"/>
      <c r="M623" s="83"/>
      <c r="N623" s="85"/>
    </row>
    <row r="624" spans="9:14" x14ac:dyDescent="0.3">
      <c r="I624" s="82"/>
      <c r="J624" s="83"/>
      <c r="K624" s="83"/>
      <c r="L624" s="84"/>
      <c r="M624" s="83"/>
      <c r="N624" s="85"/>
    </row>
    <row r="625" spans="9:14" x14ac:dyDescent="0.3">
      <c r="I625" s="82"/>
      <c r="J625" s="83"/>
      <c r="K625" s="83"/>
      <c r="L625" s="84"/>
      <c r="M625" s="83"/>
      <c r="N625" s="85"/>
    </row>
    <row r="626" spans="9:14" x14ac:dyDescent="0.3">
      <c r="I626" s="82"/>
      <c r="J626" s="83"/>
      <c r="K626" s="83"/>
      <c r="L626" s="84"/>
      <c r="M626" s="83"/>
      <c r="N626" s="85"/>
    </row>
    <row r="627" spans="9:14" x14ac:dyDescent="0.3">
      <c r="I627" s="82"/>
      <c r="J627" s="83"/>
      <c r="K627" s="83"/>
      <c r="L627" s="84"/>
      <c r="M627" s="83"/>
      <c r="N627" s="85"/>
    </row>
    <row r="628" spans="9:14" x14ac:dyDescent="0.3">
      <c r="I628" s="82"/>
      <c r="J628" s="83"/>
      <c r="K628" s="83"/>
      <c r="L628" s="84"/>
      <c r="M628" s="83"/>
      <c r="N628" s="85"/>
    </row>
    <row r="629" spans="9:14" x14ac:dyDescent="0.3">
      <c r="I629" s="82"/>
      <c r="J629" s="83"/>
      <c r="K629" s="83"/>
      <c r="L629" s="84"/>
      <c r="M629" s="83"/>
      <c r="N629" s="85"/>
    </row>
    <row r="630" spans="9:14" x14ac:dyDescent="0.3">
      <c r="I630" s="82"/>
      <c r="J630" s="83"/>
      <c r="K630" s="83"/>
      <c r="L630" s="84"/>
      <c r="M630" s="83"/>
      <c r="N630" s="85"/>
    </row>
    <row r="631" spans="9:14" x14ac:dyDescent="0.3">
      <c r="I631" s="82"/>
      <c r="J631" s="83"/>
      <c r="K631" s="83"/>
      <c r="L631" s="84"/>
      <c r="M631" s="83"/>
      <c r="N631" s="85"/>
    </row>
    <row r="632" spans="9:14" x14ac:dyDescent="0.3">
      <c r="I632" s="82"/>
      <c r="J632" s="83"/>
      <c r="K632" s="83"/>
      <c r="L632" s="84"/>
      <c r="M632" s="83"/>
      <c r="N632" s="85"/>
    </row>
    <row r="633" spans="9:14" x14ac:dyDescent="0.3">
      <c r="I633" s="82"/>
      <c r="J633" s="83"/>
      <c r="K633" s="83"/>
      <c r="L633" s="84"/>
      <c r="M633" s="83"/>
      <c r="N633" s="85"/>
    </row>
    <row r="634" spans="9:14" x14ac:dyDescent="0.3">
      <c r="I634" s="82"/>
      <c r="J634" s="83"/>
      <c r="K634" s="83"/>
      <c r="L634" s="84"/>
      <c r="M634" s="83"/>
      <c r="N634" s="85"/>
    </row>
    <row r="635" spans="9:14" x14ac:dyDescent="0.3">
      <c r="I635" s="82"/>
      <c r="J635" s="83"/>
      <c r="K635" s="83"/>
      <c r="L635" s="84"/>
      <c r="M635" s="83"/>
      <c r="N635" s="85"/>
    </row>
    <row r="636" spans="9:14" x14ac:dyDescent="0.3">
      <c r="I636" s="82"/>
      <c r="J636" s="83"/>
      <c r="K636" s="83"/>
      <c r="L636" s="84"/>
      <c r="M636" s="83"/>
      <c r="N636" s="85"/>
    </row>
    <row r="637" spans="9:14" x14ac:dyDescent="0.3">
      <c r="I637" s="82"/>
      <c r="J637" s="83"/>
      <c r="K637" s="83"/>
      <c r="L637" s="84"/>
      <c r="M637" s="83"/>
      <c r="N637" s="85"/>
    </row>
    <row r="638" spans="9:14" x14ac:dyDescent="0.3">
      <c r="I638" s="82"/>
      <c r="J638" s="83"/>
      <c r="K638" s="83"/>
      <c r="L638" s="84"/>
      <c r="M638" s="83"/>
      <c r="N638" s="85"/>
    </row>
    <row r="639" spans="9:14" x14ac:dyDescent="0.3">
      <c r="I639" s="82"/>
      <c r="J639" s="83"/>
      <c r="K639" s="83"/>
      <c r="L639" s="84"/>
      <c r="M639" s="83"/>
      <c r="N639" s="85"/>
    </row>
    <row r="640" spans="9:14" x14ac:dyDescent="0.3">
      <c r="I640" s="82"/>
      <c r="J640" s="83"/>
      <c r="K640" s="83"/>
      <c r="L640" s="84"/>
      <c r="M640" s="83"/>
      <c r="N640" s="85"/>
    </row>
    <row r="641" spans="9:14" x14ac:dyDescent="0.3">
      <c r="I641" s="82"/>
      <c r="J641" s="83"/>
      <c r="K641" s="83"/>
      <c r="L641" s="84"/>
      <c r="M641" s="83"/>
      <c r="N641" s="85"/>
    </row>
    <row r="642" spans="9:14" x14ac:dyDescent="0.3">
      <c r="I642" s="82"/>
      <c r="J642" s="83"/>
      <c r="K642" s="83"/>
      <c r="L642" s="84"/>
      <c r="M642" s="83"/>
      <c r="N642" s="85"/>
    </row>
    <row r="643" spans="9:14" x14ac:dyDescent="0.3">
      <c r="I643" s="82"/>
      <c r="J643" s="83"/>
      <c r="K643" s="83"/>
      <c r="L643" s="84"/>
      <c r="M643" s="83"/>
      <c r="N643" s="85"/>
    </row>
    <row r="644" spans="9:14" x14ac:dyDescent="0.3">
      <c r="I644" s="82"/>
      <c r="J644" s="83"/>
      <c r="K644" s="83"/>
      <c r="L644" s="84"/>
      <c r="M644" s="83"/>
      <c r="N644" s="85"/>
    </row>
    <row r="645" spans="9:14" x14ac:dyDescent="0.3">
      <c r="I645" s="82"/>
      <c r="J645" s="83"/>
      <c r="K645" s="83"/>
      <c r="L645" s="84"/>
      <c r="M645" s="83"/>
      <c r="N645" s="85"/>
    </row>
    <row r="646" spans="9:14" x14ac:dyDescent="0.3">
      <c r="I646" s="82"/>
      <c r="J646" s="83"/>
      <c r="K646" s="83"/>
      <c r="L646" s="84"/>
      <c r="M646" s="83"/>
      <c r="N646" s="85"/>
    </row>
    <row r="647" spans="9:14" x14ac:dyDescent="0.3">
      <c r="I647" s="82"/>
      <c r="J647" s="83"/>
      <c r="K647" s="83"/>
      <c r="L647" s="84"/>
      <c r="M647" s="83"/>
      <c r="N647" s="85"/>
    </row>
    <row r="648" spans="9:14" x14ac:dyDescent="0.3">
      <c r="I648" s="82"/>
      <c r="J648" s="83"/>
      <c r="K648" s="83"/>
      <c r="L648" s="84"/>
      <c r="M648" s="83"/>
      <c r="N648" s="85"/>
    </row>
    <row r="649" spans="9:14" x14ac:dyDescent="0.3">
      <c r="I649" s="82"/>
      <c r="J649" s="83"/>
      <c r="K649" s="83"/>
      <c r="L649" s="84"/>
      <c r="M649" s="83"/>
      <c r="N649" s="85"/>
    </row>
    <row r="650" spans="9:14" x14ac:dyDescent="0.3">
      <c r="I650" s="82"/>
      <c r="J650" s="83"/>
      <c r="K650" s="83"/>
      <c r="L650" s="84"/>
      <c r="M650" s="83"/>
      <c r="N650" s="85"/>
    </row>
    <row r="651" spans="9:14" x14ac:dyDescent="0.3">
      <c r="I651" s="82"/>
      <c r="J651" s="83"/>
      <c r="K651" s="83"/>
      <c r="L651" s="84"/>
      <c r="M651" s="83"/>
      <c r="N651" s="85"/>
    </row>
    <row r="652" spans="9:14" x14ac:dyDescent="0.3">
      <c r="I652" s="82"/>
      <c r="J652" s="83"/>
      <c r="K652" s="83"/>
      <c r="L652" s="84"/>
      <c r="M652" s="83"/>
      <c r="N652" s="85"/>
    </row>
    <row r="653" spans="9:14" x14ac:dyDescent="0.3">
      <c r="I653" s="82"/>
      <c r="J653" s="83"/>
      <c r="K653" s="83"/>
      <c r="L653" s="84"/>
      <c r="M653" s="83"/>
      <c r="N653" s="85"/>
    </row>
    <row r="654" spans="9:14" x14ac:dyDescent="0.3">
      <c r="I654" s="82"/>
      <c r="J654" s="83"/>
      <c r="K654" s="83"/>
      <c r="L654" s="84"/>
      <c r="M654" s="83"/>
      <c r="N654" s="85"/>
    </row>
    <row r="655" spans="9:14" x14ac:dyDescent="0.3">
      <c r="I655" s="82"/>
      <c r="J655" s="83"/>
      <c r="K655" s="83"/>
      <c r="L655" s="84"/>
      <c r="M655" s="83"/>
      <c r="N655" s="85"/>
    </row>
    <row r="656" spans="9:14" x14ac:dyDescent="0.3">
      <c r="I656" s="82"/>
      <c r="J656" s="83"/>
      <c r="K656" s="83"/>
      <c r="L656" s="84"/>
      <c r="M656" s="83"/>
      <c r="N656" s="85"/>
    </row>
    <row r="657" spans="9:14" x14ac:dyDescent="0.3">
      <c r="I657" s="82"/>
      <c r="J657" s="83"/>
      <c r="K657" s="83"/>
      <c r="L657" s="84"/>
      <c r="M657" s="83"/>
      <c r="N657" s="85"/>
    </row>
    <row r="658" spans="9:14" x14ac:dyDescent="0.3">
      <c r="I658" s="82"/>
      <c r="J658" s="83"/>
      <c r="K658" s="83"/>
      <c r="L658" s="84"/>
      <c r="M658" s="83"/>
      <c r="N658" s="85"/>
    </row>
    <row r="659" spans="9:14" x14ac:dyDescent="0.3">
      <c r="I659" s="82"/>
      <c r="J659" s="83"/>
      <c r="K659" s="83"/>
      <c r="L659" s="84"/>
      <c r="M659" s="83"/>
      <c r="N659" s="85"/>
    </row>
    <row r="660" spans="9:14" x14ac:dyDescent="0.3">
      <c r="I660" s="82"/>
      <c r="J660" s="83"/>
      <c r="K660" s="83"/>
      <c r="L660" s="84"/>
      <c r="M660" s="83"/>
      <c r="N660" s="85"/>
    </row>
    <row r="661" spans="9:14" x14ac:dyDescent="0.3">
      <c r="I661" s="82"/>
      <c r="J661" s="83"/>
      <c r="K661" s="83"/>
      <c r="L661" s="84"/>
      <c r="M661" s="83"/>
      <c r="N661" s="85"/>
    </row>
    <row r="662" spans="9:14" x14ac:dyDescent="0.3">
      <c r="I662" s="82"/>
      <c r="J662" s="83"/>
      <c r="K662" s="83"/>
      <c r="L662" s="84"/>
      <c r="M662" s="83"/>
      <c r="N662" s="85"/>
    </row>
    <row r="663" spans="9:14" x14ac:dyDescent="0.3">
      <c r="I663" s="82"/>
      <c r="J663" s="83"/>
      <c r="K663" s="83"/>
      <c r="L663" s="84"/>
      <c r="M663" s="83"/>
      <c r="N663" s="85"/>
    </row>
    <row r="664" spans="9:14" x14ac:dyDescent="0.3">
      <c r="I664" s="82"/>
      <c r="J664" s="83"/>
      <c r="K664" s="83"/>
      <c r="L664" s="84"/>
      <c r="M664" s="83"/>
      <c r="N664" s="85"/>
    </row>
    <row r="665" spans="9:14" x14ac:dyDescent="0.3">
      <c r="I665" s="82"/>
      <c r="J665" s="83"/>
      <c r="K665" s="83"/>
      <c r="L665" s="84"/>
      <c r="M665" s="83"/>
      <c r="N665" s="85"/>
    </row>
    <row r="666" spans="9:14" x14ac:dyDescent="0.3">
      <c r="I666" s="82"/>
      <c r="J666" s="83"/>
      <c r="K666" s="83"/>
      <c r="L666" s="84"/>
      <c r="M666" s="83"/>
      <c r="N666" s="85"/>
    </row>
    <row r="667" spans="9:14" x14ac:dyDescent="0.3">
      <c r="I667" s="82"/>
      <c r="J667" s="83"/>
      <c r="K667" s="83"/>
      <c r="L667" s="84"/>
      <c r="M667" s="83"/>
      <c r="N667" s="85"/>
    </row>
    <row r="668" spans="9:14" x14ac:dyDescent="0.3">
      <c r="I668" s="82"/>
      <c r="J668" s="83"/>
      <c r="K668" s="83"/>
      <c r="L668" s="84"/>
      <c r="M668" s="83"/>
      <c r="N668" s="85"/>
    </row>
    <row r="669" spans="9:14" x14ac:dyDescent="0.3">
      <c r="I669" s="82"/>
      <c r="J669" s="83"/>
      <c r="K669" s="83"/>
      <c r="L669" s="84"/>
      <c r="M669" s="83"/>
      <c r="N669" s="85"/>
    </row>
    <row r="670" spans="9:14" x14ac:dyDescent="0.3">
      <c r="I670" s="82"/>
      <c r="J670" s="83"/>
      <c r="K670" s="83"/>
      <c r="L670" s="84"/>
      <c r="M670" s="83"/>
      <c r="N670" s="85"/>
    </row>
    <row r="671" spans="9:14" x14ac:dyDescent="0.3">
      <c r="I671" s="82"/>
      <c r="J671" s="83"/>
      <c r="K671" s="83"/>
      <c r="L671" s="84"/>
      <c r="M671" s="83"/>
      <c r="N671" s="85"/>
    </row>
    <row r="672" spans="9:14" x14ac:dyDescent="0.3">
      <c r="I672" s="82"/>
      <c r="J672" s="83"/>
      <c r="K672" s="83"/>
      <c r="L672" s="84"/>
      <c r="M672" s="83"/>
      <c r="N672" s="85"/>
    </row>
    <row r="673" spans="9:14" x14ac:dyDescent="0.3">
      <c r="I673" s="82"/>
      <c r="J673" s="83"/>
      <c r="K673" s="83"/>
      <c r="L673" s="84"/>
      <c r="M673" s="83"/>
      <c r="N673" s="85"/>
    </row>
    <row r="674" spans="9:14" x14ac:dyDescent="0.3">
      <c r="I674" s="82"/>
      <c r="J674" s="83"/>
      <c r="K674" s="83"/>
      <c r="L674" s="84"/>
      <c r="M674" s="83"/>
      <c r="N674" s="85"/>
    </row>
    <row r="675" spans="9:14" x14ac:dyDescent="0.3">
      <c r="I675" s="82"/>
      <c r="J675" s="83"/>
      <c r="K675" s="83"/>
      <c r="L675" s="84"/>
      <c r="M675" s="83"/>
      <c r="N675" s="85"/>
    </row>
    <row r="676" spans="9:14" x14ac:dyDescent="0.3">
      <c r="I676" s="82"/>
      <c r="J676" s="83"/>
      <c r="K676" s="83"/>
      <c r="L676" s="84"/>
      <c r="M676" s="83"/>
      <c r="N676" s="85"/>
    </row>
    <row r="677" spans="9:14" x14ac:dyDescent="0.3">
      <c r="I677" s="82"/>
      <c r="J677" s="83"/>
      <c r="K677" s="83"/>
      <c r="L677" s="84"/>
      <c r="M677" s="83"/>
      <c r="N677" s="85"/>
    </row>
    <row r="678" spans="9:14" x14ac:dyDescent="0.3">
      <c r="I678" s="82"/>
      <c r="J678" s="83"/>
      <c r="K678" s="83"/>
      <c r="L678" s="84"/>
      <c r="M678" s="83"/>
      <c r="N678" s="85"/>
    </row>
    <row r="679" spans="9:14" x14ac:dyDescent="0.3">
      <c r="I679" s="82"/>
      <c r="J679" s="83"/>
      <c r="K679" s="83"/>
      <c r="L679" s="84"/>
      <c r="M679" s="83"/>
      <c r="N679" s="85"/>
    </row>
    <row r="680" spans="9:14" x14ac:dyDescent="0.3">
      <c r="I680" s="82"/>
      <c r="J680" s="83"/>
      <c r="K680" s="83"/>
      <c r="L680" s="84"/>
      <c r="M680" s="83"/>
      <c r="N680" s="85"/>
    </row>
    <row r="681" spans="9:14" x14ac:dyDescent="0.3">
      <c r="I681" s="82"/>
      <c r="J681" s="83"/>
      <c r="K681" s="83"/>
      <c r="L681" s="84"/>
      <c r="M681" s="83"/>
      <c r="N681" s="85"/>
    </row>
    <row r="682" spans="9:14" x14ac:dyDescent="0.3">
      <c r="I682" s="82"/>
      <c r="J682" s="83"/>
      <c r="K682" s="83"/>
      <c r="L682" s="84"/>
      <c r="M682" s="83"/>
      <c r="N682" s="85"/>
    </row>
    <row r="683" spans="9:14" x14ac:dyDescent="0.3">
      <c r="I683" s="82"/>
      <c r="J683" s="83"/>
      <c r="K683" s="83"/>
      <c r="L683" s="84"/>
      <c r="M683" s="83"/>
      <c r="N683" s="85"/>
    </row>
    <row r="684" spans="9:14" x14ac:dyDescent="0.3">
      <c r="I684" s="82"/>
      <c r="J684" s="83"/>
      <c r="K684" s="83"/>
      <c r="L684" s="84"/>
      <c r="M684" s="83"/>
      <c r="N684" s="85"/>
    </row>
    <row r="685" spans="9:14" x14ac:dyDescent="0.3">
      <c r="I685" s="82"/>
      <c r="J685" s="83"/>
      <c r="K685" s="83"/>
      <c r="L685" s="84"/>
      <c r="M685" s="83"/>
      <c r="N685" s="85"/>
    </row>
    <row r="686" spans="9:14" x14ac:dyDescent="0.3">
      <c r="I686" s="82"/>
      <c r="J686" s="83"/>
      <c r="K686" s="83"/>
      <c r="L686" s="84"/>
      <c r="M686" s="83"/>
      <c r="N686" s="85"/>
    </row>
    <row r="687" spans="9:14" x14ac:dyDescent="0.3">
      <c r="I687" s="82"/>
      <c r="J687" s="83"/>
      <c r="K687" s="83"/>
      <c r="L687" s="84"/>
      <c r="M687" s="83"/>
      <c r="N687" s="85"/>
    </row>
    <row r="688" spans="9:14" x14ac:dyDescent="0.3">
      <c r="I688" s="82"/>
      <c r="J688" s="83"/>
      <c r="K688" s="83"/>
      <c r="L688" s="84"/>
      <c r="M688" s="83"/>
      <c r="N688" s="85"/>
    </row>
    <row r="689" spans="9:14" x14ac:dyDescent="0.3">
      <c r="I689" s="82"/>
      <c r="J689" s="83"/>
      <c r="K689" s="83"/>
      <c r="L689" s="84"/>
      <c r="M689" s="83"/>
      <c r="N689" s="85"/>
    </row>
    <row r="690" spans="9:14" x14ac:dyDescent="0.3">
      <c r="I690" s="82"/>
      <c r="J690" s="83"/>
      <c r="K690" s="83"/>
      <c r="L690" s="84"/>
      <c r="M690" s="83"/>
      <c r="N690" s="85"/>
    </row>
    <row r="691" spans="9:14" x14ac:dyDescent="0.3">
      <c r="I691" s="82"/>
      <c r="J691" s="83"/>
      <c r="K691" s="83"/>
      <c r="L691" s="84"/>
      <c r="M691" s="83"/>
      <c r="N691" s="85"/>
    </row>
    <row r="692" spans="9:14" x14ac:dyDescent="0.3">
      <c r="I692" s="82"/>
      <c r="J692" s="83"/>
      <c r="K692" s="83"/>
      <c r="L692" s="84"/>
      <c r="M692" s="83"/>
      <c r="N692" s="85"/>
    </row>
    <row r="693" spans="9:14" x14ac:dyDescent="0.3">
      <c r="I693" s="82"/>
      <c r="J693" s="83"/>
      <c r="K693" s="83"/>
      <c r="L693" s="84"/>
      <c r="M693" s="83"/>
      <c r="N693" s="85"/>
    </row>
    <row r="694" spans="9:14" x14ac:dyDescent="0.3">
      <c r="I694" s="82"/>
      <c r="J694" s="83"/>
      <c r="K694" s="83"/>
      <c r="L694" s="84"/>
      <c r="M694" s="83"/>
      <c r="N694" s="85"/>
    </row>
    <row r="695" spans="9:14" x14ac:dyDescent="0.3">
      <c r="I695" s="82"/>
      <c r="J695" s="83"/>
      <c r="K695" s="83"/>
      <c r="L695" s="84"/>
      <c r="M695" s="83"/>
      <c r="N695" s="85"/>
    </row>
    <row r="696" spans="9:14" x14ac:dyDescent="0.3">
      <c r="I696" s="82"/>
      <c r="J696" s="83"/>
      <c r="K696" s="83"/>
      <c r="L696" s="84"/>
      <c r="M696" s="83"/>
      <c r="N696" s="85"/>
    </row>
    <row r="697" spans="9:14" x14ac:dyDescent="0.3">
      <c r="I697" s="82"/>
      <c r="J697" s="83"/>
      <c r="K697" s="83"/>
      <c r="L697" s="84"/>
      <c r="M697" s="83"/>
      <c r="N697" s="85"/>
    </row>
    <row r="698" spans="9:14" x14ac:dyDescent="0.3">
      <c r="I698" s="82"/>
      <c r="J698" s="83"/>
      <c r="K698" s="83"/>
      <c r="L698" s="84"/>
      <c r="M698" s="83"/>
      <c r="N698" s="85"/>
    </row>
    <row r="699" spans="9:14" x14ac:dyDescent="0.3">
      <c r="I699" s="82"/>
      <c r="J699" s="83"/>
      <c r="K699" s="83"/>
      <c r="L699" s="84"/>
      <c r="M699" s="83"/>
      <c r="N699" s="85"/>
    </row>
    <row r="700" spans="9:14" x14ac:dyDescent="0.3">
      <c r="I700" s="82"/>
      <c r="J700" s="83"/>
      <c r="K700" s="83"/>
      <c r="L700" s="84"/>
      <c r="M700" s="83"/>
      <c r="N700" s="85"/>
    </row>
    <row r="701" spans="9:14" x14ac:dyDescent="0.3">
      <c r="I701" s="82"/>
      <c r="J701" s="83"/>
      <c r="K701" s="83"/>
      <c r="L701" s="84"/>
      <c r="M701" s="83"/>
      <c r="N701" s="85"/>
    </row>
    <row r="702" spans="9:14" x14ac:dyDescent="0.3">
      <c r="I702" s="82"/>
      <c r="J702" s="83"/>
      <c r="K702" s="83"/>
      <c r="L702" s="84"/>
      <c r="M702" s="83"/>
      <c r="N702" s="85"/>
    </row>
    <row r="703" spans="9:14" x14ac:dyDescent="0.3">
      <c r="I703" s="82"/>
      <c r="J703" s="83"/>
      <c r="K703" s="83"/>
      <c r="L703" s="84"/>
      <c r="M703" s="83"/>
      <c r="N703" s="85"/>
    </row>
    <row r="704" spans="9:14" x14ac:dyDescent="0.3">
      <c r="I704" s="82"/>
      <c r="J704" s="83"/>
      <c r="K704" s="83"/>
      <c r="L704" s="84"/>
      <c r="M704" s="83"/>
      <c r="N704" s="85"/>
    </row>
    <row r="705" spans="9:14" x14ac:dyDescent="0.3">
      <c r="I705" s="82"/>
      <c r="J705" s="83"/>
      <c r="K705" s="83"/>
      <c r="L705" s="84"/>
      <c r="M705" s="83"/>
      <c r="N705" s="85"/>
    </row>
    <row r="706" spans="9:14" x14ac:dyDescent="0.3">
      <c r="I706" s="82"/>
      <c r="J706" s="83"/>
      <c r="K706" s="83"/>
      <c r="L706" s="84"/>
      <c r="M706" s="83"/>
      <c r="N706" s="85"/>
    </row>
    <row r="707" spans="9:14" x14ac:dyDescent="0.3">
      <c r="I707" s="82"/>
      <c r="J707" s="83"/>
      <c r="K707" s="83"/>
      <c r="L707" s="84"/>
      <c r="M707" s="83"/>
      <c r="N707" s="85"/>
    </row>
    <row r="708" spans="9:14" x14ac:dyDescent="0.3">
      <c r="I708" s="82"/>
      <c r="J708" s="83"/>
      <c r="K708" s="83"/>
      <c r="L708" s="84"/>
      <c r="M708" s="83"/>
      <c r="N708" s="85"/>
    </row>
    <row r="709" spans="9:14" x14ac:dyDescent="0.3">
      <c r="I709" s="82"/>
      <c r="J709" s="83"/>
      <c r="K709" s="83"/>
      <c r="L709" s="84"/>
      <c r="M709" s="83"/>
      <c r="N709" s="85"/>
    </row>
    <row r="710" spans="9:14" x14ac:dyDescent="0.3">
      <c r="I710" s="82"/>
      <c r="J710" s="83"/>
      <c r="K710" s="83"/>
      <c r="L710" s="84"/>
      <c r="M710" s="83"/>
      <c r="N710" s="85"/>
    </row>
    <row r="711" spans="9:14" x14ac:dyDescent="0.3">
      <c r="I711" s="82"/>
      <c r="J711" s="83"/>
      <c r="K711" s="83"/>
      <c r="L711" s="84"/>
      <c r="M711" s="83"/>
      <c r="N711" s="85"/>
    </row>
    <row r="712" spans="9:14" x14ac:dyDescent="0.3">
      <c r="I712" s="82"/>
      <c r="J712" s="83"/>
      <c r="K712" s="83"/>
      <c r="L712" s="84"/>
      <c r="M712" s="83"/>
      <c r="N712" s="85"/>
    </row>
    <row r="713" spans="9:14" x14ac:dyDescent="0.3">
      <c r="I713" s="82"/>
      <c r="J713" s="83"/>
      <c r="K713" s="83"/>
      <c r="L713" s="84"/>
      <c r="M713" s="83"/>
      <c r="N713" s="85"/>
    </row>
    <row r="714" spans="9:14" x14ac:dyDescent="0.3">
      <c r="I714" s="82"/>
      <c r="J714" s="83"/>
      <c r="K714" s="83"/>
      <c r="L714" s="84"/>
      <c r="M714" s="83"/>
      <c r="N714" s="85"/>
    </row>
    <row r="715" spans="9:14" x14ac:dyDescent="0.3">
      <c r="I715" s="82"/>
      <c r="J715" s="83"/>
      <c r="K715" s="83"/>
      <c r="L715" s="84"/>
      <c r="M715" s="83"/>
      <c r="N715" s="85"/>
    </row>
    <row r="716" spans="9:14" x14ac:dyDescent="0.3">
      <c r="I716" s="82"/>
      <c r="J716" s="83"/>
      <c r="K716" s="83"/>
      <c r="L716" s="84"/>
      <c r="M716" s="83"/>
      <c r="N716" s="85"/>
    </row>
    <row r="717" spans="9:14" x14ac:dyDescent="0.3">
      <c r="I717" s="82"/>
      <c r="J717" s="83"/>
      <c r="K717" s="83"/>
      <c r="L717" s="84"/>
      <c r="M717" s="83"/>
      <c r="N717" s="85"/>
    </row>
    <row r="718" spans="9:14" x14ac:dyDescent="0.3">
      <c r="I718" s="82"/>
      <c r="J718" s="83"/>
      <c r="K718" s="83"/>
      <c r="L718" s="84"/>
      <c r="M718" s="83"/>
      <c r="N718" s="85"/>
    </row>
    <row r="719" spans="9:14" x14ac:dyDescent="0.3">
      <c r="I719" s="82"/>
      <c r="J719" s="83"/>
      <c r="K719" s="83"/>
      <c r="L719" s="84"/>
      <c r="M719" s="83"/>
      <c r="N719" s="85"/>
    </row>
    <row r="720" spans="9:14" x14ac:dyDescent="0.3">
      <c r="I720" s="82"/>
      <c r="J720" s="83"/>
      <c r="K720" s="83"/>
      <c r="L720" s="84"/>
      <c r="M720" s="83"/>
      <c r="N720" s="85"/>
    </row>
    <row r="721" spans="9:14" x14ac:dyDescent="0.3">
      <c r="I721" s="82"/>
      <c r="J721" s="83"/>
      <c r="K721" s="83"/>
      <c r="L721" s="84"/>
      <c r="M721" s="83"/>
      <c r="N721" s="85"/>
    </row>
    <row r="722" spans="9:14" x14ac:dyDescent="0.3">
      <c r="I722" s="82"/>
      <c r="J722" s="83"/>
      <c r="K722" s="83"/>
      <c r="L722" s="84"/>
      <c r="M722" s="83"/>
      <c r="N722" s="85"/>
    </row>
    <row r="723" spans="9:14" x14ac:dyDescent="0.3">
      <c r="I723" s="82"/>
      <c r="J723" s="83"/>
      <c r="K723" s="83"/>
      <c r="L723" s="84"/>
      <c r="M723" s="83"/>
      <c r="N723" s="85"/>
    </row>
    <row r="724" spans="9:14" x14ac:dyDescent="0.3">
      <c r="I724" s="82"/>
      <c r="J724" s="83"/>
      <c r="K724" s="83"/>
      <c r="L724" s="84"/>
      <c r="M724" s="83"/>
      <c r="N724" s="85"/>
    </row>
    <row r="725" spans="9:14" x14ac:dyDescent="0.3">
      <c r="I725" s="82"/>
      <c r="J725" s="83"/>
      <c r="K725" s="83"/>
      <c r="L725" s="84"/>
      <c r="M725" s="83"/>
      <c r="N725" s="85"/>
    </row>
    <row r="726" spans="9:14" x14ac:dyDescent="0.3">
      <c r="I726" s="82"/>
      <c r="J726" s="83"/>
      <c r="K726" s="83"/>
      <c r="L726" s="84"/>
      <c r="M726" s="83"/>
      <c r="N726" s="85"/>
    </row>
    <row r="727" spans="9:14" x14ac:dyDescent="0.3">
      <c r="I727" s="82"/>
      <c r="J727" s="83"/>
      <c r="K727" s="83"/>
      <c r="L727" s="84"/>
      <c r="M727" s="83"/>
      <c r="N727" s="85"/>
    </row>
    <row r="728" spans="9:14" x14ac:dyDescent="0.3">
      <c r="I728" s="82"/>
      <c r="J728" s="83"/>
      <c r="K728" s="83"/>
      <c r="L728" s="84"/>
      <c r="M728" s="83"/>
      <c r="N728" s="85"/>
    </row>
    <row r="729" spans="9:14" x14ac:dyDescent="0.3">
      <c r="I729" s="82"/>
      <c r="J729" s="83"/>
      <c r="K729" s="83"/>
      <c r="L729" s="84"/>
      <c r="M729" s="83"/>
      <c r="N729" s="85"/>
    </row>
    <row r="730" spans="9:14" x14ac:dyDescent="0.3">
      <c r="I730" s="82"/>
      <c r="J730" s="83"/>
      <c r="K730" s="83"/>
      <c r="L730" s="84"/>
      <c r="M730" s="83"/>
      <c r="N730" s="85"/>
    </row>
    <row r="731" spans="9:14" x14ac:dyDescent="0.3">
      <c r="I731" s="82"/>
      <c r="J731" s="83"/>
      <c r="K731" s="83"/>
      <c r="L731" s="84"/>
      <c r="M731" s="83"/>
      <c r="N731" s="85"/>
    </row>
    <row r="732" spans="9:14" x14ac:dyDescent="0.3">
      <c r="I732" s="82"/>
      <c r="J732" s="83"/>
      <c r="K732" s="83"/>
      <c r="L732" s="84"/>
      <c r="M732" s="83"/>
      <c r="N732" s="85"/>
    </row>
    <row r="733" spans="9:14" x14ac:dyDescent="0.3">
      <c r="I733" s="82"/>
      <c r="J733" s="83"/>
      <c r="K733" s="83"/>
      <c r="L733" s="84"/>
      <c r="M733" s="83"/>
      <c r="N733" s="85"/>
    </row>
    <row r="734" spans="9:14" x14ac:dyDescent="0.3">
      <c r="I734" s="82"/>
      <c r="J734" s="83"/>
      <c r="K734" s="83"/>
      <c r="L734" s="84"/>
      <c r="M734" s="83"/>
      <c r="N734" s="85"/>
    </row>
    <row r="735" spans="9:14" x14ac:dyDescent="0.3">
      <c r="I735" s="82"/>
      <c r="J735" s="83"/>
      <c r="K735" s="83"/>
      <c r="L735" s="84"/>
      <c r="M735" s="83"/>
      <c r="N735" s="85"/>
    </row>
    <row r="736" spans="9:14" x14ac:dyDescent="0.3">
      <c r="I736" s="82"/>
      <c r="J736" s="83"/>
      <c r="K736" s="83"/>
      <c r="L736" s="84"/>
      <c r="M736" s="83"/>
      <c r="N736" s="85"/>
    </row>
    <row r="737" spans="9:14" x14ac:dyDescent="0.3">
      <c r="I737" s="82"/>
      <c r="J737" s="83"/>
      <c r="K737" s="83"/>
      <c r="L737" s="84"/>
      <c r="M737" s="83"/>
      <c r="N737" s="85"/>
    </row>
    <row r="738" spans="9:14" x14ac:dyDescent="0.3">
      <c r="I738" s="82"/>
      <c r="J738" s="83"/>
      <c r="K738" s="83"/>
      <c r="L738" s="84"/>
      <c r="M738" s="83"/>
      <c r="N738" s="85"/>
    </row>
    <row r="739" spans="9:14" x14ac:dyDescent="0.3">
      <c r="I739" s="82"/>
      <c r="J739" s="83"/>
      <c r="K739" s="83"/>
      <c r="L739" s="84"/>
      <c r="M739" s="83"/>
      <c r="N739" s="85"/>
    </row>
    <row r="740" spans="9:14" x14ac:dyDescent="0.3">
      <c r="I740" s="82"/>
      <c r="J740" s="83"/>
      <c r="K740" s="83"/>
      <c r="L740" s="84"/>
      <c r="M740" s="83"/>
      <c r="N740" s="85"/>
    </row>
    <row r="741" spans="9:14" x14ac:dyDescent="0.3">
      <c r="I741" s="82"/>
      <c r="J741" s="83"/>
      <c r="K741" s="83"/>
      <c r="L741" s="84"/>
      <c r="M741" s="83"/>
      <c r="N741" s="85"/>
    </row>
    <row r="742" spans="9:14" x14ac:dyDescent="0.3">
      <c r="I742" s="82"/>
      <c r="J742" s="83"/>
      <c r="K742" s="83"/>
      <c r="L742" s="84"/>
      <c r="M742" s="83"/>
      <c r="N742" s="85"/>
    </row>
    <row r="743" spans="9:14" x14ac:dyDescent="0.3">
      <c r="I743" s="82"/>
      <c r="J743" s="83"/>
      <c r="K743" s="83"/>
      <c r="L743" s="84"/>
      <c r="M743" s="83"/>
      <c r="N743" s="85"/>
    </row>
    <row r="744" spans="9:14" x14ac:dyDescent="0.3">
      <c r="I744" s="82"/>
      <c r="J744" s="83"/>
      <c r="K744" s="83"/>
      <c r="L744" s="84"/>
      <c r="M744" s="83"/>
      <c r="N744" s="85"/>
    </row>
    <row r="745" spans="9:14" x14ac:dyDescent="0.3">
      <c r="I745" s="82"/>
      <c r="J745" s="83"/>
      <c r="K745" s="83"/>
      <c r="L745" s="84"/>
      <c r="M745" s="83"/>
      <c r="N745" s="85"/>
    </row>
    <row r="746" spans="9:14" x14ac:dyDescent="0.3">
      <c r="I746" s="82"/>
      <c r="J746" s="83"/>
      <c r="K746" s="83"/>
      <c r="L746" s="84"/>
      <c r="M746" s="83"/>
      <c r="N746" s="85"/>
    </row>
    <row r="747" spans="9:14" x14ac:dyDescent="0.3">
      <c r="I747" s="82"/>
      <c r="J747" s="83"/>
      <c r="K747" s="83"/>
      <c r="L747" s="84"/>
      <c r="M747" s="83"/>
      <c r="N747" s="85"/>
    </row>
    <row r="748" spans="9:14" x14ac:dyDescent="0.3">
      <c r="I748" s="82"/>
      <c r="J748" s="83"/>
      <c r="K748" s="83"/>
      <c r="L748" s="84"/>
      <c r="M748" s="83"/>
      <c r="N748" s="85"/>
    </row>
    <row r="749" spans="9:14" x14ac:dyDescent="0.3">
      <c r="I749" s="82"/>
      <c r="J749" s="83"/>
      <c r="K749" s="83"/>
      <c r="L749" s="84"/>
      <c r="M749" s="83"/>
      <c r="N749" s="85"/>
    </row>
    <row r="750" spans="9:14" x14ac:dyDescent="0.3">
      <c r="I750" s="82"/>
      <c r="J750" s="83"/>
      <c r="K750" s="83"/>
      <c r="L750" s="84"/>
      <c r="M750" s="83"/>
      <c r="N750" s="85"/>
    </row>
    <row r="751" spans="9:14" x14ac:dyDescent="0.3">
      <c r="I751" s="82"/>
      <c r="J751" s="83"/>
      <c r="K751" s="83"/>
      <c r="L751" s="84"/>
      <c r="M751" s="83"/>
      <c r="N751" s="85"/>
    </row>
    <row r="752" spans="9:14" x14ac:dyDescent="0.3">
      <c r="I752" s="82"/>
      <c r="J752" s="83"/>
      <c r="K752" s="83"/>
      <c r="L752" s="84"/>
      <c r="M752" s="83"/>
      <c r="N752" s="85"/>
    </row>
    <row r="753" spans="9:14" x14ac:dyDescent="0.3">
      <c r="I753" s="82"/>
      <c r="J753" s="83"/>
      <c r="K753" s="83"/>
      <c r="L753" s="84"/>
      <c r="M753" s="83"/>
      <c r="N753" s="85"/>
    </row>
    <row r="754" spans="9:14" x14ac:dyDescent="0.3">
      <c r="I754" s="82"/>
      <c r="J754" s="83"/>
      <c r="K754" s="83"/>
      <c r="L754" s="84"/>
      <c r="M754" s="83"/>
      <c r="N754" s="85"/>
    </row>
    <row r="755" spans="9:14" x14ac:dyDescent="0.3">
      <c r="I755" s="82"/>
      <c r="J755" s="83"/>
      <c r="K755" s="83"/>
      <c r="L755" s="84"/>
      <c r="M755" s="83"/>
      <c r="N755" s="85"/>
    </row>
    <row r="756" spans="9:14" x14ac:dyDescent="0.3">
      <c r="I756" s="82"/>
      <c r="J756" s="83"/>
      <c r="K756" s="83"/>
      <c r="L756" s="84"/>
      <c r="M756" s="83"/>
      <c r="N756" s="85"/>
    </row>
    <row r="757" spans="9:14" x14ac:dyDescent="0.3">
      <c r="I757" s="82"/>
      <c r="J757" s="83"/>
      <c r="K757" s="83"/>
      <c r="L757" s="84"/>
      <c r="M757" s="83"/>
      <c r="N757" s="85"/>
    </row>
    <row r="758" spans="9:14" x14ac:dyDescent="0.3">
      <c r="I758" s="82"/>
      <c r="J758" s="83"/>
      <c r="K758" s="83"/>
      <c r="L758" s="84"/>
      <c r="M758" s="83"/>
      <c r="N758" s="85"/>
    </row>
    <row r="759" spans="9:14" x14ac:dyDescent="0.3">
      <c r="I759" s="82"/>
      <c r="J759" s="83"/>
      <c r="K759" s="83"/>
      <c r="L759" s="84"/>
      <c r="M759" s="83"/>
      <c r="N759" s="85"/>
    </row>
    <row r="760" spans="9:14" x14ac:dyDescent="0.3">
      <c r="I760" s="82"/>
      <c r="J760" s="83"/>
      <c r="K760" s="83"/>
      <c r="L760" s="84"/>
      <c r="M760" s="83"/>
      <c r="N760" s="85"/>
    </row>
    <row r="761" spans="9:14" x14ac:dyDescent="0.3">
      <c r="I761" s="82"/>
      <c r="J761" s="83"/>
      <c r="K761" s="83"/>
      <c r="L761" s="84"/>
      <c r="M761" s="83"/>
      <c r="N761" s="85"/>
    </row>
    <row r="762" spans="9:14" x14ac:dyDescent="0.3">
      <c r="I762" s="82"/>
      <c r="J762" s="83"/>
      <c r="K762" s="83"/>
      <c r="L762" s="84"/>
      <c r="M762" s="83"/>
      <c r="N762" s="85"/>
    </row>
    <row r="763" spans="9:14" x14ac:dyDescent="0.3">
      <c r="I763" s="82"/>
      <c r="J763" s="83"/>
      <c r="K763" s="83"/>
      <c r="L763" s="84"/>
      <c r="M763" s="83"/>
      <c r="N763" s="85"/>
    </row>
    <row r="764" spans="9:14" x14ac:dyDescent="0.3">
      <c r="I764" s="82"/>
      <c r="J764" s="83"/>
      <c r="K764" s="83"/>
      <c r="L764" s="84"/>
      <c r="M764" s="83"/>
      <c r="N764" s="85"/>
    </row>
    <row r="765" spans="9:14" x14ac:dyDescent="0.3">
      <c r="I765" s="82"/>
      <c r="J765" s="83"/>
      <c r="K765" s="83"/>
      <c r="L765" s="84"/>
      <c r="M765" s="83"/>
      <c r="N765" s="85"/>
    </row>
    <row r="766" spans="9:14" x14ac:dyDescent="0.3">
      <c r="I766" s="82"/>
      <c r="J766" s="83"/>
      <c r="K766" s="83"/>
      <c r="L766" s="84"/>
      <c r="M766" s="83"/>
      <c r="N766" s="85"/>
    </row>
    <row r="767" spans="9:14" x14ac:dyDescent="0.3">
      <c r="I767" s="82"/>
      <c r="J767" s="83"/>
      <c r="K767" s="83"/>
      <c r="L767" s="84"/>
      <c r="M767" s="83"/>
      <c r="N767" s="85"/>
    </row>
    <row r="768" spans="9:14" x14ac:dyDescent="0.3">
      <c r="I768" s="82"/>
      <c r="J768" s="83"/>
      <c r="K768" s="83"/>
      <c r="L768" s="84"/>
      <c r="M768" s="83"/>
      <c r="N768" s="85"/>
    </row>
    <row r="769" spans="9:14" x14ac:dyDescent="0.3">
      <c r="I769" s="82"/>
      <c r="J769" s="83"/>
      <c r="K769" s="83"/>
      <c r="L769" s="84"/>
      <c r="M769" s="83"/>
      <c r="N769" s="85"/>
    </row>
    <row r="770" spans="9:14" x14ac:dyDescent="0.3">
      <c r="I770" s="82"/>
      <c r="J770" s="83"/>
      <c r="K770" s="83"/>
      <c r="L770" s="84"/>
      <c r="M770" s="83"/>
      <c r="N770" s="85"/>
    </row>
    <row r="771" spans="9:14" x14ac:dyDescent="0.3">
      <c r="I771" s="82"/>
      <c r="J771" s="83"/>
      <c r="K771" s="83"/>
      <c r="L771" s="84"/>
      <c r="M771" s="83"/>
      <c r="N771" s="85"/>
    </row>
    <row r="772" spans="9:14" x14ac:dyDescent="0.3">
      <c r="I772" s="86"/>
      <c r="J772" s="87"/>
      <c r="K772" s="87"/>
      <c r="L772" s="84"/>
      <c r="M772" s="83"/>
      <c r="N772" s="85"/>
    </row>
    <row r="773" spans="9:14" x14ac:dyDescent="0.3">
      <c r="I773" s="86"/>
      <c r="J773" s="87"/>
      <c r="K773" s="87"/>
      <c r="L773" s="84"/>
      <c r="M773" s="83"/>
      <c r="N773" s="85"/>
    </row>
    <row r="774" spans="9:14" x14ac:dyDescent="0.3">
      <c r="I774" s="86"/>
      <c r="J774" s="87"/>
      <c r="K774" s="87"/>
      <c r="L774" s="84"/>
      <c r="M774" s="83"/>
      <c r="N774" s="85"/>
    </row>
    <row r="775" spans="9:14" x14ac:dyDescent="0.3">
      <c r="I775" s="86"/>
      <c r="J775" s="87"/>
      <c r="K775" s="87"/>
      <c r="L775" s="84"/>
      <c r="M775" s="83"/>
      <c r="N775" s="85"/>
    </row>
    <row r="776" spans="9:14" x14ac:dyDescent="0.3">
      <c r="I776" s="86"/>
      <c r="J776" s="87"/>
      <c r="K776" s="87"/>
      <c r="L776" s="84"/>
      <c r="M776" s="83"/>
      <c r="N776" s="85"/>
    </row>
    <row r="777" spans="9:14" x14ac:dyDescent="0.3">
      <c r="I777" s="86"/>
      <c r="J777" s="87"/>
      <c r="K777" s="87"/>
      <c r="L777" s="84"/>
      <c r="M777" s="83"/>
      <c r="N777" s="85"/>
    </row>
    <row r="778" spans="9:14" x14ac:dyDescent="0.3">
      <c r="I778" s="86"/>
      <c r="J778" s="87"/>
      <c r="K778" s="87"/>
      <c r="L778" s="84"/>
      <c r="M778" s="83"/>
      <c r="N778" s="85"/>
    </row>
    <row r="779" spans="9:14" x14ac:dyDescent="0.3">
      <c r="I779" s="86"/>
      <c r="J779" s="87"/>
      <c r="K779" s="87"/>
      <c r="L779" s="84"/>
      <c r="M779" s="83"/>
      <c r="N779" s="85"/>
    </row>
    <row r="780" spans="9:14" x14ac:dyDescent="0.3">
      <c r="I780" s="86"/>
      <c r="J780" s="87"/>
      <c r="K780" s="87"/>
      <c r="L780" s="84"/>
      <c r="M780" s="83"/>
      <c r="N780" s="85"/>
    </row>
    <row r="781" spans="9:14" x14ac:dyDescent="0.3">
      <c r="I781" s="86"/>
      <c r="J781" s="87"/>
      <c r="K781" s="87"/>
      <c r="L781" s="84"/>
      <c r="M781" s="83"/>
      <c r="N781" s="85"/>
    </row>
    <row r="782" spans="9:14" x14ac:dyDescent="0.3">
      <c r="I782" s="86"/>
      <c r="J782" s="87"/>
      <c r="K782" s="87"/>
      <c r="L782" s="84"/>
      <c r="M782" s="83"/>
      <c r="N782" s="85"/>
    </row>
    <row r="783" spans="9:14" x14ac:dyDescent="0.3">
      <c r="I783" s="86"/>
      <c r="J783" s="87"/>
      <c r="K783" s="87"/>
      <c r="L783" s="84"/>
      <c r="M783" s="83"/>
      <c r="N783" s="85"/>
    </row>
    <row r="784" spans="9:14" x14ac:dyDescent="0.3">
      <c r="I784" s="88"/>
      <c r="J784" s="87"/>
      <c r="K784" s="87"/>
      <c r="L784" s="84"/>
      <c r="M784" s="83"/>
      <c r="N784" s="85"/>
    </row>
    <row r="785" spans="9:14" x14ac:dyDescent="0.3">
      <c r="I785" s="88"/>
      <c r="J785" s="87"/>
      <c r="K785" s="87"/>
      <c r="L785" s="84"/>
      <c r="M785" s="83"/>
      <c r="N785" s="85"/>
    </row>
    <row r="786" spans="9:14" x14ac:dyDescent="0.3">
      <c r="I786" s="88"/>
      <c r="J786" s="87"/>
      <c r="K786" s="87"/>
      <c r="L786" s="84"/>
      <c r="M786" s="83"/>
      <c r="N786" s="85"/>
    </row>
    <row r="787" spans="9:14" x14ac:dyDescent="0.3">
      <c r="I787" s="88"/>
      <c r="J787" s="87"/>
      <c r="K787" s="87"/>
      <c r="L787" s="84"/>
      <c r="M787" s="83"/>
      <c r="N787" s="85"/>
    </row>
    <row r="788" spans="9:14" x14ac:dyDescent="0.3">
      <c r="I788" s="88"/>
      <c r="J788" s="87"/>
      <c r="K788" s="87"/>
      <c r="L788" s="84"/>
      <c r="M788" s="83"/>
      <c r="N788" s="85"/>
    </row>
    <row r="789" spans="9:14" x14ac:dyDescent="0.3">
      <c r="I789" s="88"/>
      <c r="J789" s="87"/>
      <c r="K789" s="87"/>
      <c r="L789" s="84"/>
      <c r="M789" s="83"/>
      <c r="N789" s="85"/>
    </row>
    <row r="790" spans="9:14" x14ac:dyDescent="0.3">
      <c r="I790" s="88"/>
      <c r="J790" s="87"/>
      <c r="K790" s="87"/>
      <c r="L790" s="84"/>
      <c r="M790" s="83"/>
      <c r="N790" s="85"/>
    </row>
    <row r="791" spans="9:14" x14ac:dyDescent="0.3">
      <c r="I791" s="88"/>
      <c r="J791" s="87"/>
      <c r="K791" s="87"/>
      <c r="L791" s="84"/>
      <c r="M791" s="83"/>
      <c r="N791" s="85"/>
    </row>
    <row r="792" spans="9:14" x14ac:dyDescent="0.3">
      <c r="I792" s="88"/>
      <c r="J792" s="87"/>
      <c r="K792" s="87"/>
      <c r="L792" s="84"/>
      <c r="M792" s="83"/>
      <c r="N792" s="85"/>
    </row>
    <row r="793" spans="9:14" x14ac:dyDescent="0.3">
      <c r="I793" s="88"/>
      <c r="J793" s="87"/>
      <c r="K793" s="87"/>
      <c r="L793" s="84"/>
      <c r="M793" s="83"/>
      <c r="N793" s="85"/>
    </row>
    <row r="794" spans="9:14" x14ac:dyDescent="0.3">
      <c r="I794" s="88"/>
      <c r="J794" s="87"/>
      <c r="K794" s="87"/>
      <c r="L794" s="84"/>
      <c r="M794" s="83"/>
      <c r="N794" s="85"/>
    </row>
    <row r="795" spans="9:14" x14ac:dyDescent="0.3">
      <c r="I795" s="88"/>
      <c r="J795" s="87"/>
      <c r="K795" s="87"/>
      <c r="L795" s="84"/>
      <c r="M795" s="83"/>
      <c r="N795" s="85"/>
    </row>
    <row r="796" spans="9:14" x14ac:dyDescent="0.3">
      <c r="I796" s="88"/>
      <c r="J796" s="87"/>
      <c r="K796" s="87"/>
      <c r="L796" s="84"/>
      <c r="M796" s="83"/>
      <c r="N796" s="85"/>
    </row>
    <row r="797" spans="9:14" x14ac:dyDescent="0.3">
      <c r="I797" s="88"/>
      <c r="J797" s="87"/>
      <c r="K797" s="87"/>
      <c r="L797" s="84"/>
      <c r="M797" s="83"/>
      <c r="N797" s="85"/>
    </row>
    <row r="798" spans="9:14" x14ac:dyDescent="0.3">
      <c r="I798" s="88"/>
      <c r="J798" s="87"/>
      <c r="K798" s="87"/>
      <c r="L798" s="84"/>
      <c r="M798" s="83"/>
      <c r="N798" s="85"/>
    </row>
    <row r="799" spans="9:14" x14ac:dyDescent="0.3">
      <c r="I799" s="88"/>
      <c r="J799" s="87"/>
      <c r="K799" s="87"/>
      <c r="L799" s="84"/>
      <c r="M799" s="83"/>
      <c r="N799" s="85"/>
    </row>
    <row r="800" spans="9:14" x14ac:dyDescent="0.3">
      <c r="I800" s="88"/>
      <c r="J800" s="87"/>
      <c r="K800" s="87"/>
      <c r="L800" s="84"/>
      <c r="M800" s="83"/>
      <c r="N800" s="85"/>
    </row>
    <row r="801" spans="9:14" x14ac:dyDescent="0.3">
      <c r="I801" s="88"/>
      <c r="J801" s="87"/>
      <c r="K801" s="87"/>
      <c r="L801" s="84"/>
      <c r="M801" s="83"/>
      <c r="N801" s="85"/>
    </row>
    <row r="802" spans="9:14" x14ac:dyDescent="0.3">
      <c r="I802" s="88"/>
      <c r="J802" s="87"/>
      <c r="K802" s="87"/>
      <c r="L802" s="84"/>
      <c r="M802" s="83"/>
      <c r="N802" s="85"/>
    </row>
    <row r="803" spans="9:14" x14ac:dyDescent="0.3">
      <c r="I803" s="86"/>
      <c r="J803" s="87"/>
      <c r="K803" s="87"/>
      <c r="L803" s="84"/>
      <c r="M803" s="83"/>
      <c r="N803" s="85"/>
    </row>
    <row r="804" spans="9:14" x14ac:dyDescent="0.3">
      <c r="I804" s="86"/>
      <c r="J804" s="87"/>
      <c r="K804" s="87"/>
      <c r="L804" s="84"/>
      <c r="M804" s="83"/>
      <c r="N804" s="85"/>
    </row>
    <row r="805" spans="9:14" x14ac:dyDescent="0.3">
      <c r="I805" s="86"/>
      <c r="J805" s="87"/>
      <c r="K805" s="87"/>
      <c r="L805" s="84"/>
      <c r="M805" s="83"/>
      <c r="N805" s="85"/>
    </row>
    <row r="806" spans="9:14" x14ac:dyDescent="0.3">
      <c r="I806" s="86"/>
      <c r="J806" s="87"/>
      <c r="K806" s="87"/>
      <c r="L806" s="84"/>
      <c r="M806" s="83"/>
      <c r="N806" s="85"/>
    </row>
    <row r="807" spans="9:14" x14ac:dyDescent="0.3">
      <c r="I807" s="86"/>
      <c r="J807" s="87"/>
      <c r="K807" s="87"/>
      <c r="L807" s="84"/>
      <c r="M807" s="83"/>
      <c r="N807" s="85"/>
    </row>
    <row r="808" spans="9:14" x14ac:dyDescent="0.3">
      <c r="I808" s="86"/>
      <c r="J808" s="87"/>
      <c r="K808" s="87"/>
      <c r="L808" s="84"/>
      <c r="M808" s="83"/>
      <c r="N808" s="85"/>
    </row>
    <row r="809" spans="9:14" x14ac:dyDescent="0.3">
      <c r="I809" s="86"/>
      <c r="J809" s="87"/>
      <c r="K809" s="87"/>
      <c r="L809" s="84"/>
      <c r="M809" s="83"/>
      <c r="N809" s="85"/>
    </row>
    <row r="810" spans="9:14" x14ac:dyDescent="0.3">
      <c r="I810" s="86"/>
      <c r="J810" s="87"/>
      <c r="K810" s="87"/>
      <c r="L810" s="84"/>
      <c r="M810" s="83"/>
      <c r="N810" s="85"/>
    </row>
    <row r="811" spans="9:14" x14ac:dyDescent="0.3">
      <c r="I811" s="86"/>
      <c r="J811" s="87"/>
      <c r="K811" s="87"/>
      <c r="L811" s="84"/>
      <c r="M811" s="83"/>
      <c r="N811" s="85"/>
    </row>
    <row r="812" spans="9:14" x14ac:dyDescent="0.3">
      <c r="I812" s="86"/>
      <c r="J812" s="87"/>
      <c r="K812" s="87"/>
      <c r="L812" s="84"/>
      <c r="M812" s="83"/>
      <c r="N812" s="85"/>
    </row>
    <row r="813" spans="9:14" x14ac:dyDescent="0.3">
      <c r="I813" s="86"/>
      <c r="J813" s="87"/>
      <c r="K813" s="87"/>
      <c r="L813" s="84"/>
      <c r="M813" s="83"/>
      <c r="N813" s="85"/>
    </row>
    <row r="814" spans="9:14" x14ac:dyDescent="0.3">
      <c r="I814" s="86"/>
      <c r="J814" s="87"/>
      <c r="K814" s="87"/>
      <c r="L814" s="84"/>
      <c r="M814" s="83"/>
      <c r="N814" s="85"/>
    </row>
    <row r="815" spans="9:14" x14ac:dyDescent="0.3">
      <c r="I815" s="86"/>
      <c r="J815" s="87"/>
      <c r="K815" s="87"/>
      <c r="L815" s="84"/>
      <c r="M815" s="83"/>
      <c r="N815" s="85"/>
    </row>
    <row r="816" spans="9:14" x14ac:dyDescent="0.3">
      <c r="I816" s="86"/>
      <c r="J816" s="87"/>
      <c r="K816" s="87"/>
      <c r="L816" s="84"/>
      <c r="M816" s="83"/>
      <c r="N816" s="85"/>
    </row>
    <row r="817" spans="9:14" x14ac:dyDescent="0.3">
      <c r="I817" s="86"/>
      <c r="J817" s="87"/>
      <c r="K817" s="87"/>
      <c r="L817" s="84"/>
      <c r="M817" s="83"/>
      <c r="N817" s="85"/>
    </row>
    <row r="818" spans="9:14" x14ac:dyDescent="0.3">
      <c r="I818" s="86"/>
      <c r="J818" s="87"/>
      <c r="K818" s="87"/>
      <c r="L818" s="84"/>
      <c r="M818" s="83"/>
      <c r="N818" s="85"/>
    </row>
    <row r="819" spans="9:14" x14ac:dyDescent="0.3">
      <c r="I819" s="86"/>
      <c r="J819" s="87"/>
      <c r="K819" s="87"/>
      <c r="L819" s="84"/>
      <c r="M819" s="83"/>
      <c r="N819" s="85"/>
    </row>
    <row r="820" spans="9:14" x14ac:dyDescent="0.3">
      <c r="I820" s="86"/>
      <c r="J820" s="87"/>
      <c r="K820" s="87"/>
      <c r="L820" s="84"/>
      <c r="M820" s="83"/>
      <c r="N820" s="85"/>
    </row>
    <row r="821" spans="9:14" x14ac:dyDescent="0.3">
      <c r="I821" s="86"/>
      <c r="J821" s="87"/>
      <c r="K821" s="87"/>
      <c r="L821" s="84"/>
      <c r="M821" s="83"/>
      <c r="N821" s="85"/>
    </row>
    <row r="822" spans="9:14" x14ac:dyDescent="0.3">
      <c r="I822" s="86"/>
      <c r="J822" s="87"/>
      <c r="K822" s="87"/>
      <c r="L822" s="84"/>
      <c r="M822" s="83"/>
      <c r="N822" s="85"/>
    </row>
    <row r="823" spans="9:14" x14ac:dyDescent="0.3">
      <c r="I823" s="86"/>
      <c r="J823" s="87"/>
      <c r="K823" s="87"/>
      <c r="L823" s="84"/>
      <c r="M823" s="83"/>
      <c r="N823" s="85"/>
    </row>
    <row r="824" spans="9:14" x14ac:dyDescent="0.3">
      <c r="I824" s="86"/>
      <c r="J824" s="87"/>
      <c r="K824" s="87"/>
      <c r="L824" s="84"/>
      <c r="M824" s="83"/>
      <c r="N824" s="85"/>
    </row>
    <row r="825" spans="9:14" x14ac:dyDescent="0.3">
      <c r="I825" s="86"/>
      <c r="J825" s="87"/>
      <c r="K825" s="87"/>
      <c r="L825" s="84"/>
      <c r="M825" s="83"/>
      <c r="N825" s="85"/>
    </row>
    <row r="826" spans="9:14" x14ac:dyDescent="0.3">
      <c r="I826" s="86"/>
      <c r="J826" s="87"/>
      <c r="K826" s="87"/>
      <c r="L826" s="84"/>
      <c r="M826" s="83"/>
      <c r="N826" s="85"/>
    </row>
    <row r="827" spans="9:14" x14ac:dyDescent="0.3">
      <c r="I827" s="86"/>
      <c r="J827" s="87"/>
      <c r="K827" s="87"/>
      <c r="L827" s="84"/>
      <c r="M827" s="83"/>
      <c r="N827" s="85"/>
    </row>
    <row r="828" spans="9:14" x14ac:dyDescent="0.3">
      <c r="I828" s="86"/>
      <c r="J828" s="87"/>
      <c r="K828" s="87"/>
      <c r="L828" s="84"/>
      <c r="M828" s="83"/>
      <c r="N828" s="85"/>
    </row>
    <row r="829" spans="9:14" x14ac:dyDescent="0.3">
      <c r="I829" s="86"/>
      <c r="J829" s="87"/>
      <c r="K829" s="87"/>
      <c r="L829" s="84"/>
      <c r="M829" s="83"/>
      <c r="N829" s="85"/>
    </row>
    <row r="830" spans="9:14" x14ac:dyDescent="0.3">
      <c r="I830" s="86"/>
      <c r="J830" s="87"/>
      <c r="K830" s="87"/>
      <c r="L830" s="84"/>
      <c r="M830" s="83"/>
      <c r="N830" s="85"/>
    </row>
    <row r="831" spans="9:14" x14ac:dyDescent="0.3">
      <c r="I831" s="86"/>
      <c r="J831" s="87"/>
      <c r="K831" s="87"/>
      <c r="L831" s="84"/>
      <c r="M831" s="83"/>
      <c r="N831" s="85"/>
    </row>
    <row r="832" spans="9:14" x14ac:dyDescent="0.3">
      <c r="I832" s="86"/>
      <c r="J832" s="87"/>
      <c r="K832" s="87"/>
      <c r="L832" s="84"/>
      <c r="M832" s="83"/>
      <c r="N832" s="85"/>
    </row>
    <row r="833" spans="9:14" x14ac:dyDescent="0.3">
      <c r="I833" s="86"/>
      <c r="J833" s="87"/>
      <c r="K833" s="87"/>
      <c r="L833" s="84"/>
      <c r="M833" s="83"/>
      <c r="N833" s="85"/>
    </row>
    <row r="834" spans="9:14" x14ac:dyDescent="0.3">
      <c r="I834" s="86"/>
      <c r="J834" s="87"/>
      <c r="K834" s="87"/>
      <c r="L834" s="84"/>
      <c r="M834" s="83"/>
      <c r="N834" s="85"/>
    </row>
    <row r="835" spans="9:14" x14ac:dyDescent="0.3">
      <c r="I835" s="86"/>
      <c r="J835" s="87"/>
      <c r="K835" s="87"/>
      <c r="L835" s="84"/>
      <c r="M835" s="83"/>
      <c r="N835" s="85"/>
    </row>
    <row r="836" spans="9:14" x14ac:dyDescent="0.3">
      <c r="I836" s="86"/>
      <c r="J836" s="87"/>
      <c r="K836" s="87"/>
      <c r="L836" s="84"/>
      <c r="M836" s="83"/>
      <c r="N836" s="85"/>
    </row>
    <row r="837" spans="9:14" x14ac:dyDescent="0.3">
      <c r="I837" s="86"/>
      <c r="J837" s="87"/>
      <c r="K837" s="87"/>
      <c r="L837" s="84"/>
      <c r="M837" s="83"/>
      <c r="N837" s="85"/>
    </row>
    <row r="838" spans="9:14" x14ac:dyDescent="0.3">
      <c r="I838" s="86"/>
      <c r="J838" s="87"/>
      <c r="K838" s="87"/>
      <c r="L838" s="84"/>
      <c r="M838" s="83"/>
      <c r="N838" s="85"/>
    </row>
    <row r="839" spans="9:14" x14ac:dyDescent="0.3">
      <c r="I839" s="86"/>
      <c r="J839" s="87"/>
      <c r="K839" s="87"/>
      <c r="L839" s="84"/>
      <c r="M839" s="83"/>
      <c r="N839" s="85"/>
    </row>
    <row r="840" spans="9:14" x14ac:dyDescent="0.3">
      <c r="I840" s="86"/>
      <c r="J840" s="87"/>
      <c r="K840" s="87"/>
      <c r="L840" s="84"/>
      <c r="M840" s="83"/>
      <c r="N840" s="85"/>
    </row>
    <row r="841" spans="9:14" x14ac:dyDescent="0.3">
      <c r="I841" s="86"/>
      <c r="J841" s="87"/>
      <c r="K841" s="87"/>
      <c r="L841" s="84"/>
      <c r="M841" s="83"/>
      <c r="N841" s="85"/>
    </row>
    <row r="842" spans="9:14" x14ac:dyDescent="0.3">
      <c r="I842" s="86"/>
      <c r="J842" s="87"/>
      <c r="K842" s="87"/>
      <c r="L842" s="84"/>
      <c r="M842" s="83"/>
      <c r="N842" s="85"/>
    </row>
    <row r="843" spans="9:14" x14ac:dyDescent="0.3">
      <c r="I843" s="86"/>
      <c r="J843" s="87"/>
      <c r="K843" s="87"/>
      <c r="L843" s="84"/>
      <c r="M843" s="83"/>
      <c r="N843" s="85"/>
    </row>
    <row r="844" spans="9:14" x14ac:dyDescent="0.3">
      <c r="I844" s="86"/>
      <c r="J844" s="87"/>
      <c r="K844" s="87"/>
      <c r="L844" s="84"/>
      <c r="M844" s="83"/>
      <c r="N844" s="85"/>
    </row>
    <row r="845" spans="9:14" x14ac:dyDescent="0.3">
      <c r="I845" s="86"/>
      <c r="J845" s="87"/>
      <c r="K845" s="87"/>
      <c r="L845" s="84"/>
      <c r="M845" s="83"/>
      <c r="N845" s="85"/>
    </row>
    <row r="846" spans="9:14" x14ac:dyDescent="0.3">
      <c r="I846" s="86"/>
      <c r="J846" s="87"/>
      <c r="K846" s="87"/>
      <c r="L846" s="84"/>
      <c r="M846" s="83"/>
      <c r="N846" s="85"/>
    </row>
    <row r="847" spans="9:14" x14ac:dyDescent="0.3">
      <c r="I847" s="86"/>
      <c r="J847" s="87"/>
      <c r="K847" s="87"/>
      <c r="L847" s="84"/>
      <c r="M847" s="83"/>
      <c r="N847" s="85"/>
    </row>
    <row r="848" spans="9:14" x14ac:dyDescent="0.3">
      <c r="I848" s="86"/>
      <c r="J848" s="87"/>
      <c r="K848" s="87"/>
      <c r="L848" s="84"/>
      <c r="M848" s="83"/>
      <c r="N848" s="85"/>
    </row>
    <row r="849" spans="9:14" x14ac:dyDescent="0.3">
      <c r="I849" s="86"/>
      <c r="J849" s="87"/>
      <c r="K849" s="87"/>
      <c r="L849" s="84"/>
      <c r="M849" s="83"/>
      <c r="N849" s="85"/>
    </row>
    <row r="850" spans="9:14" x14ac:dyDescent="0.3">
      <c r="I850" s="86"/>
      <c r="J850" s="87"/>
      <c r="K850" s="87"/>
      <c r="L850" s="84"/>
      <c r="M850" s="83"/>
      <c r="N850" s="85"/>
    </row>
    <row r="851" spans="9:14" x14ac:dyDescent="0.3">
      <c r="I851" s="86"/>
      <c r="J851" s="87"/>
      <c r="K851" s="87"/>
      <c r="L851" s="44"/>
      <c r="M851" s="89"/>
      <c r="N851" s="45"/>
    </row>
    <row r="852" spans="9:14" x14ac:dyDescent="0.3">
      <c r="I852" s="86"/>
      <c r="J852" s="87"/>
      <c r="K852" s="87"/>
      <c r="L852" s="44"/>
      <c r="M852" s="89"/>
      <c r="N852" s="45"/>
    </row>
    <row r="853" spans="9:14" x14ac:dyDescent="0.3">
      <c r="I853" s="86"/>
      <c r="J853" s="87"/>
      <c r="K853" s="87"/>
      <c r="L853" s="44"/>
      <c r="M853" s="89"/>
      <c r="N853" s="45"/>
    </row>
    <row r="854" spans="9:14" x14ac:dyDescent="0.3">
      <c r="I854" s="86"/>
      <c r="J854" s="87"/>
      <c r="K854" s="87"/>
      <c r="L854" s="44"/>
      <c r="M854" s="89"/>
      <c r="N854" s="45"/>
    </row>
    <row r="855" spans="9:14" x14ac:dyDescent="0.3">
      <c r="I855" s="86"/>
      <c r="J855" s="87"/>
      <c r="K855" s="87"/>
      <c r="L855" s="44"/>
      <c r="M855" s="89"/>
      <c r="N855" s="45"/>
    </row>
    <row r="856" spans="9:14" x14ac:dyDescent="0.3">
      <c r="I856" s="86"/>
      <c r="J856" s="87"/>
      <c r="K856" s="87"/>
      <c r="L856" s="44"/>
      <c r="M856" s="89"/>
      <c r="N856" s="45"/>
    </row>
    <row r="857" spans="9:14" x14ac:dyDescent="0.3">
      <c r="I857" s="86"/>
      <c r="J857" s="87"/>
      <c r="K857" s="87"/>
      <c r="L857" s="44"/>
      <c r="M857" s="89"/>
      <c r="N857" s="45"/>
    </row>
    <row r="858" spans="9:14" x14ac:dyDescent="0.3">
      <c r="I858" s="86"/>
      <c r="J858" s="87"/>
      <c r="K858" s="87"/>
      <c r="L858" s="44"/>
      <c r="M858" s="89"/>
      <c r="N858" s="45"/>
    </row>
    <row r="859" spans="9:14" x14ac:dyDescent="0.3">
      <c r="I859" s="86"/>
      <c r="J859" s="87"/>
      <c r="K859" s="87"/>
      <c r="L859" s="44"/>
      <c r="M859" s="89"/>
      <c r="N859" s="45"/>
    </row>
    <row r="860" spans="9:14" x14ac:dyDescent="0.3">
      <c r="I860" s="86"/>
      <c r="J860" s="87"/>
      <c r="K860" s="87"/>
      <c r="L860" s="44"/>
      <c r="M860" s="89"/>
      <c r="N860" s="45"/>
    </row>
    <row r="861" spans="9:14" x14ac:dyDescent="0.3">
      <c r="I861" s="86"/>
      <c r="J861" s="87"/>
      <c r="K861" s="87"/>
      <c r="L861" s="44"/>
      <c r="M861" s="89"/>
      <c r="N861" s="45"/>
    </row>
    <row r="862" spans="9:14" x14ac:dyDescent="0.3">
      <c r="I862" s="86"/>
      <c r="J862" s="87"/>
      <c r="K862" s="87"/>
      <c r="L862" s="44"/>
      <c r="M862" s="89"/>
      <c r="N862" s="45"/>
    </row>
    <row r="863" spans="9:14" x14ac:dyDescent="0.3">
      <c r="I863" s="86"/>
      <c r="J863" s="87"/>
      <c r="K863" s="87"/>
      <c r="L863" s="44"/>
      <c r="M863" s="89"/>
      <c r="N863" s="45"/>
    </row>
    <row r="864" spans="9:14" x14ac:dyDescent="0.3">
      <c r="I864" s="86"/>
      <c r="J864" s="87"/>
      <c r="K864" s="87"/>
      <c r="L864" s="44"/>
      <c r="M864" s="89"/>
      <c r="N864" s="45"/>
    </row>
    <row r="865" spans="9:14" x14ac:dyDescent="0.3">
      <c r="I865" s="86"/>
      <c r="J865" s="87"/>
      <c r="K865" s="87"/>
      <c r="L865" s="44"/>
      <c r="M865" s="89"/>
      <c r="N865" s="45"/>
    </row>
    <row r="866" spans="9:14" x14ac:dyDescent="0.3">
      <c r="I866" s="86"/>
      <c r="J866" s="87"/>
      <c r="K866" s="87"/>
      <c r="L866" s="44"/>
      <c r="M866" s="89"/>
      <c r="N866" s="45"/>
    </row>
    <row r="867" spans="9:14" x14ac:dyDescent="0.3">
      <c r="I867" s="86"/>
      <c r="J867" s="87"/>
      <c r="K867" s="87"/>
      <c r="L867" s="44"/>
      <c r="M867" s="89"/>
      <c r="N867" s="45"/>
    </row>
    <row r="868" spans="9:14" x14ac:dyDescent="0.3">
      <c r="I868" s="86"/>
      <c r="J868" s="87"/>
      <c r="K868" s="87"/>
      <c r="L868" s="44"/>
      <c r="M868" s="89"/>
      <c r="N868" s="45"/>
    </row>
    <row r="869" spans="9:14" x14ac:dyDescent="0.3">
      <c r="I869" s="86"/>
      <c r="J869" s="87"/>
      <c r="K869" s="87"/>
      <c r="L869" s="44"/>
      <c r="M869" s="89"/>
      <c r="N869" s="45"/>
    </row>
    <row r="870" spans="9:14" x14ac:dyDescent="0.3">
      <c r="I870" s="86"/>
      <c r="J870" s="87"/>
      <c r="K870" s="87"/>
      <c r="L870" s="44"/>
      <c r="M870" s="89"/>
      <c r="N870" s="45"/>
    </row>
    <row r="871" spans="9:14" x14ac:dyDescent="0.3">
      <c r="I871" s="86"/>
      <c r="J871" s="87"/>
      <c r="K871" s="87"/>
      <c r="L871" s="44"/>
      <c r="M871" s="89"/>
      <c r="N871" s="45"/>
    </row>
    <row r="872" spans="9:14" x14ac:dyDescent="0.3">
      <c r="I872" s="86"/>
      <c r="J872" s="87"/>
      <c r="K872" s="87"/>
      <c r="L872" s="44"/>
      <c r="M872" s="89"/>
      <c r="N872" s="45"/>
    </row>
    <row r="873" spans="9:14" x14ac:dyDescent="0.3">
      <c r="I873" s="86"/>
      <c r="J873" s="87"/>
      <c r="K873" s="87"/>
      <c r="L873" s="44"/>
      <c r="M873" s="89"/>
      <c r="N873" s="45"/>
    </row>
    <row r="874" spans="9:14" x14ac:dyDescent="0.3">
      <c r="I874" s="86"/>
      <c r="J874" s="87"/>
      <c r="K874" s="87"/>
      <c r="L874" s="44"/>
      <c r="M874" s="89"/>
      <c r="N874" s="45"/>
    </row>
    <row r="875" spans="9:14" x14ac:dyDescent="0.3">
      <c r="I875" s="86"/>
      <c r="J875" s="87"/>
      <c r="K875" s="87"/>
      <c r="L875" s="44"/>
      <c r="M875" s="89"/>
      <c r="N875" s="45"/>
    </row>
    <row r="876" spans="9:14" x14ac:dyDescent="0.3">
      <c r="I876" s="86"/>
      <c r="J876" s="87"/>
      <c r="K876" s="87"/>
      <c r="L876" s="44"/>
      <c r="M876" s="89"/>
      <c r="N876" s="45"/>
    </row>
    <row r="877" spans="9:14" x14ac:dyDescent="0.3">
      <c r="I877" s="86"/>
      <c r="J877" s="87"/>
      <c r="K877" s="87"/>
      <c r="L877" s="44"/>
      <c r="M877" s="89"/>
      <c r="N877" s="45"/>
    </row>
    <row r="878" spans="9:14" x14ac:dyDescent="0.3">
      <c r="I878" s="86"/>
      <c r="J878" s="87"/>
      <c r="K878" s="87"/>
      <c r="L878" s="44"/>
      <c r="M878" s="89"/>
      <c r="N878" s="45"/>
    </row>
    <row r="879" spans="9:14" x14ac:dyDescent="0.3">
      <c r="I879" s="86"/>
      <c r="J879" s="87"/>
      <c r="K879" s="87"/>
      <c r="L879" s="44"/>
      <c r="M879" s="89"/>
      <c r="N879" s="45"/>
    </row>
    <row r="880" spans="9:14" x14ac:dyDescent="0.3">
      <c r="I880" s="86"/>
      <c r="J880" s="87"/>
      <c r="K880" s="87"/>
      <c r="L880" s="44"/>
      <c r="M880" s="89"/>
      <c r="N880" s="45"/>
    </row>
    <row r="881" spans="9:14" x14ac:dyDescent="0.3">
      <c r="I881" s="86"/>
      <c r="J881" s="87"/>
      <c r="K881" s="87"/>
      <c r="L881" s="44"/>
      <c r="M881" s="89"/>
      <c r="N881" s="45"/>
    </row>
    <row r="882" spans="9:14" x14ac:dyDescent="0.3">
      <c r="I882" s="86"/>
      <c r="J882" s="87"/>
      <c r="K882" s="87"/>
      <c r="L882" s="44"/>
      <c r="M882" s="89"/>
      <c r="N882" s="45"/>
    </row>
    <row r="883" spans="9:14" x14ac:dyDescent="0.3">
      <c r="I883" s="86"/>
      <c r="J883" s="87"/>
      <c r="K883" s="87"/>
      <c r="L883" s="44"/>
      <c r="M883" s="89"/>
      <c r="N883" s="45"/>
    </row>
    <row r="884" spans="9:14" x14ac:dyDescent="0.3">
      <c r="I884" s="86"/>
      <c r="J884" s="87"/>
      <c r="K884" s="87"/>
      <c r="L884" s="44"/>
      <c r="M884" s="89"/>
      <c r="N884" s="45"/>
    </row>
    <row r="885" spans="9:14" x14ac:dyDescent="0.3">
      <c r="I885" s="86"/>
      <c r="J885" s="87"/>
      <c r="K885" s="87"/>
      <c r="L885" s="44"/>
      <c r="M885" s="89"/>
      <c r="N885" s="45"/>
    </row>
    <row r="886" spans="9:14" x14ac:dyDescent="0.3">
      <c r="I886" s="86"/>
      <c r="J886" s="87"/>
      <c r="K886" s="87"/>
      <c r="L886" s="44"/>
      <c r="M886" s="89"/>
      <c r="N886" s="45"/>
    </row>
    <row r="887" spans="9:14" x14ac:dyDescent="0.3">
      <c r="I887" s="86"/>
      <c r="J887" s="87"/>
      <c r="K887" s="87"/>
      <c r="L887" s="44"/>
      <c r="M887" s="89"/>
      <c r="N887" s="45"/>
    </row>
    <row r="888" spans="9:14" x14ac:dyDescent="0.3">
      <c r="I888" s="86"/>
      <c r="J888" s="87"/>
      <c r="K888" s="87"/>
      <c r="L888" s="44"/>
      <c r="M888" s="89"/>
      <c r="N888" s="45"/>
    </row>
    <row r="889" spans="9:14" x14ac:dyDescent="0.3">
      <c r="I889" s="86"/>
      <c r="J889" s="87"/>
      <c r="K889" s="87"/>
      <c r="L889" s="44"/>
      <c r="M889" s="89"/>
      <c r="N889" s="45"/>
    </row>
    <row r="890" spans="9:14" x14ac:dyDescent="0.3">
      <c r="I890" s="86"/>
      <c r="J890" s="87"/>
      <c r="K890" s="87"/>
      <c r="L890" s="44"/>
      <c r="M890" s="89"/>
      <c r="N890" s="45"/>
    </row>
    <row r="891" spans="9:14" x14ac:dyDescent="0.3">
      <c r="I891" s="86"/>
      <c r="J891" s="87"/>
      <c r="K891" s="87"/>
      <c r="L891" s="44"/>
      <c r="M891" s="89"/>
      <c r="N891" s="45"/>
    </row>
    <row r="892" spans="9:14" x14ac:dyDescent="0.3">
      <c r="I892" s="86"/>
      <c r="J892" s="87"/>
      <c r="K892" s="87"/>
      <c r="L892" s="44"/>
      <c r="M892" s="89"/>
      <c r="N892" s="45"/>
    </row>
    <row r="893" spans="9:14" x14ac:dyDescent="0.3">
      <c r="I893" s="86"/>
      <c r="J893" s="90"/>
      <c r="K893" s="90"/>
      <c r="L893" s="44"/>
      <c r="M893" s="89"/>
      <c r="N893" s="45"/>
    </row>
    <row r="894" spans="9:14" x14ac:dyDescent="0.3">
      <c r="I894" s="86"/>
      <c r="J894" s="90"/>
      <c r="K894" s="90"/>
      <c r="L894" s="44"/>
      <c r="M894" s="89"/>
      <c r="N894" s="45"/>
    </row>
    <row r="895" spans="9:14" x14ac:dyDescent="0.3">
      <c r="I895" s="86"/>
      <c r="J895" s="90"/>
      <c r="K895" s="90"/>
      <c r="L895" s="44"/>
      <c r="M895" s="89"/>
      <c r="N895" s="45"/>
    </row>
    <row r="896" spans="9:14" x14ac:dyDescent="0.3">
      <c r="I896" s="86"/>
      <c r="J896" s="90"/>
      <c r="K896" s="90"/>
      <c r="L896" s="44"/>
      <c r="M896" s="89"/>
      <c r="N896" s="45"/>
    </row>
    <row r="897" spans="9:14" x14ac:dyDescent="0.3">
      <c r="I897" s="86"/>
      <c r="J897" s="90"/>
      <c r="K897" s="90"/>
      <c r="L897" s="44"/>
      <c r="M897" s="89"/>
      <c r="N897" s="45"/>
    </row>
    <row r="898" spans="9:14" x14ac:dyDescent="0.3">
      <c r="I898" s="86"/>
      <c r="J898" s="90"/>
      <c r="K898" s="90"/>
      <c r="L898" s="44"/>
      <c r="M898" s="89"/>
      <c r="N898" s="45"/>
    </row>
    <row r="899" spans="9:14" x14ac:dyDescent="0.3">
      <c r="I899" s="86"/>
      <c r="J899" s="90"/>
      <c r="K899" s="90"/>
      <c r="L899" s="44"/>
      <c r="M899" s="89"/>
      <c r="N899" s="45"/>
    </row>
    <row r="900" spans="9:14" x14ac:dyDescent="0.3">
      <c r="I900" s="86"/>
      <c r="J900" s="90"/>
      <c r="K900" s="90"/>
      <c r="L900" s="44"/>
      <c r="M900" s="89"/>
      <c r="N900" s="45"/>
    </row>
    <row r="901" spans="9:14" x14ac:dyDescent="0.3">
      <c r="I901" s="86"/>
      <c r="J901" s="90"/>
      <c r="K901" s="90"/>
      <c r="L901" s="44"/>
      <c r="M901" s="89"/>
      <c r="N901" s="45"/>
    </row>
    <row r="902" spans="9:14" x14ac:dyDescent="0.3">
      <c r="I902" s="86"/>
      <c r="J902" s="90"/>
      <c r="K902" s="90"/>
      <c r="L902" s="44"/>
      <c r="M902" s="89"/>
      <c r="N902" s="45"/>
    </row>
    <row r="903" spans="9:14" x14ac:dyDescent="0.3">
      <c r="I903" s="86"/>
      <c r="J903" s="90"/>
      <c r="K903" s="90"/>
      <c r="L903" s="44"/>
      <c r="M903" s="89"/>
      <c r="N903" s="45"/>
    </row>
    <row r="904" spans="9:14" x14ac:dyDescent="0.3">
      <c r="I904" s="86"/>
      <c r="J904" s="90"/>
      <c r="K904" s="90"/>
      <c r="L904" s="44"/>
      <c r="M904" s="89"/>
      <c r="N904" s="45"/>
    </row>
    <row r="905" spans="9:14" x14ac:dyDescent="0.3">
      <c r="I905" s="86"/>
      <c r="J905" s="90"/>
      <c r="K905" s="90"/>
      <c r="L905" s="44"/>
      <c r="M905" s="89"/>
      <c r="N905" s="45"/>
    </row>
    <row r="906" spans="9:14" x14ac:dyDescent="0.3">
      <c r="I906" s="86"/>
      <c r="J906" s="90"/>
      <c r="K906" s="90"/>
      <c r="L906" s="44"/>
      <c r="M906" s="89"/>
      <c r="N906" s="45"/>
    </row>
    <row r="907" spans="9:14" x14ac:dyDescent="0.3">
      <c r="I907" s="86"/>
      <c r="J907" s="90"/>
      <c r="K907" s="90"/>
      <c r="L907" s="44"/>
      <c r="M907" s="89"/>
      <c r="N907" s="45"/>
    </row>
    <row r="908" spans="9:14" x14ac:dyDescent="0.3">
      <c r="I908" s="86"/>
      <c r="J908" s="90"/>
      <c r="K908" s="90"/>
      <c r="L908" s="44"/>
      <c r="M908" s="89"/>
      <c r="N908" s="45"/>
    </row>
    <row r="909" spans="9:14" x14ac:dyDescent="0.3">
      <c r="I909" s="86"/>
      <c r="J909" s="90"/>
      <c r="K909" s="90"/>
      <c r="L909" s="44"/>
      <c r="M909" s="89"/>
      <c r="N909" s="45"/>
    </row>
    <row r="910" spans="9:14" x14ac:dyDescent="0.3">
      <c r="I910" s="86"/>
      <c r="J910" s="90"/>
      <c r="K910" s="90"/>
      <c r="L910" s="44"/>
      <c r="M910" s="89"/>
      <c r="N910" s="45"/>
    </row>
    <row r="911" spans="9:14" x14ac:dyDescent="0.3">
      <c r="I911" s="86"/>
      <c r="J911" s="90"/>
      <c r="K911" s="90"/>
      <c r="L911" s="44"/>
      <c r="M911" s="89"/>
      <c r="N911" s="45"/>
    </row>
    <row r="912" spans="9:14" x14ac:dyDescent="0.3">
      <c r="I912" s="86"/>
      <c r="J912" s="90"/>
      <c r="K912" s="90"/>
      <c r="L912" s="44"/>
      <c r="M912" s="89"/>
      <c r="N912" s="45"/>
    </row>
    <row r="913" spans="9:14" x14ac:dyDescent="0.3">
      <c r="I913" s="86"/>
      <c r="J913" s="90"/>
      <c r="K913" s="90"/>
      <c r="L913" s="44"/>
      <c r="M913" s="89"/>
      <c r="N913" s="45"/>
    </row>
    <row r="914" spans="9:14" x14ac:dyDescent="0.3">
      <c r="I914" s="86"/>
      <c r="J914" s="90"/>
      <c r="K914" s="90"/>
      <c r="L914" s="44"/>
      <c r="M914" s="89"/>
      <c r="N914" s="45"/>
    </row>
    <row r="915" spans="9:14" x14ac:dyDescent="0.3">
      <c r="I915" s="86"/>
      <c r="J915" s="90"/>
      <c r="K915" s="90"/>
      <c r="L915" s="44"/>
      <c r="M915" s="89"/>
      <c r="N915" s="45"/>
    </row>
    <row r="916" spans="9:14" x14ac:dyDescent="0.3">
      <c r="I916" s="86"/>
      <c r="J916" s="90"/>
      <c r="K916" s="90"/>
      <c r="L916" s="44"/>
      <c r="M916" s="89"/>
      <c r="N916" s="45"/>
    </row>
    <row r="917" spans="9:14" x14ac:dyDescent="0.3">
      <c r="I917" s="86"/>
      <c r="J917" s="90"/>
      <c r="K917" s="90"/>
      <c r="L917" s="44"/>
      <c r="M917" s="89"/>
      <c r="N917" s="45"/>
    </row>
    <row r="918" spans="9:14" x14ac:dyDescent="0.3">
      <c r="I918" s="86"/>
      <c r="J918" s="90"/>
      <c r="K918" s="90"/>
      <c r="L918" s="44"/>
      <c r="M918" s="89"/>
      <c r="N918" s="45"/>
    </row>
    <row r="919" spans="9:14" x14ac:dyDescent="0.3">
      <c r="I919" s="86"/>
      <c r="J919" s="90"/>
      <c r="K919" s="90"/>
      <c r="L919" s="44"/>
      <c r="M919" s="89"/>
      <c r="N919" s="45"/>
    </row>
    <row r="920" spans="9:14" x14ac:dyDescent="0.3">
      <c r="I920" s="86"/>
      <c r="J920" s="90"/>
      <c r="K920" s="90"/>
      <c r="L920" s="44"/>
      <c r="M920" s="89"/>
      <c r="N920" s="45"/>
    </row>
    <row r="921" spans="9:14" x14ac:dyDescent="0.3">
      <c r="I921" s="86"/>
      <c r="J921" s="90"/>
      <c r="K921" s="90"/>
      <c r="L921" s="44"/>
      <c r="M921" s="89"/>
      <c r="N921" s="45"/>
    </row>
    <row r="922" spans="9:14" x14ac:dyDescent="0.3">
      <c r="I922" s="86"/>
      <c r="J922" s="90"/>
      <c r="K922" s="90"/>
      <c r="L922" s="44"/>
      <c r="M922" s="89"/>
      <c r="N922" s="45"/>
    </row>
    <row r="923" spans="9:14" x14ac:dyDescent="0.3">
      <c r="I923" s="86"/>
      <c r="J923" s="90"/>
      <c r="K923" s="90"/>
    </row>
  </sheetData>
  <mergeCells count="14">
    <mergeCell ref="A2:G2"/>
    <mergeCell ref="I2:N2"/>
    <mergeCell ref="A1:U1"/>
    <mergeCell ref="P2:U2"/>
    <mergeCell ref="X2:AA2"/>
    <mergeCell ref="X9:Y9"/>
    <mergeCell ref="Z9:AA9"/>
    <mergeCell ref="AB9:AC9"/>
    <mergeCell ref="AD9:AE9"/>
    <mergeCell ref="AB2:AE2"/>
    <mergeCell ref="X3:Y3"/>
    <mergeCell ref="Z3:AA3"/>
    <mergeCell ref="AB3:AC3"/>
    <mergeCell ref="AD3:AE3"/>
  </mergeCells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AG870"/>
  <sheetViews>
    <sheetView tabSelected="1" topLeftCell="L1" zoomScaleNormal="100" workbookViewId="0">
      <selection activeCell="S5" sqref="S5"/>
    </sheetView>
  </sheetViews>
  <sheetFormatPr defaultRowHeight="14.4" x14ac:dyDescent="0.3"/>
  <cols>
    <col min="1" max="1" width="15.5546875" style="3" customWidth="1"/>
    <col min="2" max="2" width="18.6640625" style="4" customWidth="1"/>
    <col min="3" max="3" width="19.5546875" style="4" customWidth="1"/>
    <col min="4" max="4" width="22.88671875" style="4" customWidth="1"/>
    <col min="5" max="5" width="16" style="4" customWidth="1"/>
    <col min="6" max="6" width="13.6640625" style="4" customWidth="1"/>
    <col min="7" max="7" width="11.5546875" style="4" customWidth="1"/>
    <col min="9" max="9" width="13.5546875" style="8" customWidth="1"/>
    <col min="10" max="10" width="12.33203125" style="42" customWidth="1"/>
    <col min="11" max="11" width="20.88671875" style="8" customWidth="1"/>
    <col min="12" max="12" width="18.33203125" style="42" bestFit="1" customWidth="1"/>
    <col min="13" max="13" width="18.33203125" style="16" customWidth="1"/>
    <col min="14" max="14" width="18" style="25" bestFit="1" customWidth="1"/>
    <col min="15" max="15" width="17.88671875" customWidth="1"/>
    <col min="16" max="16" width="18.6640625" bestFit="1" customWidth="1"/>
    <col min="17" max="17" width="21.33203125" customWidth="1"/>
    <col min="18" max="18" width="14" customWidth="1"/>
    <col min="19" max="19" width="18.33203125" bestFit="1" customWidth="1"/>
    <col min="20" max="20" width="12.33203125" bestFit="1" customWidth="1"/>
    <col min="21" max="21" width="18" bestFit="1" customWidth="1"/>
    <col min="27" max="27" width="18.6640625" bestFit="1" customWidth="1"/>
  </cols>
  <sheetData>
    <row r="1" spans="1:33" ht="20.25" customHeight="1" x14ac:dyDescent="0.3">
      <c r="A1" s="186" t="s">
        <v>32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</row>
    <row r="2" spans="1:33" x14ac:dyDescent="0.3">
      <c r="A2" s="186" t="s">
        <v>1</v>
      </c>
      <c r="B2" s="187"/>
      <c r="C2" s="187"/>
      <c r="D2" s="187"/>
      <c r="E2" s="187"/>
      <c r="F2" s="187"/>
      <c r="G2" s="188"/>
      <c r="I2" s="189" t="s">
        <v>12</v>
      </c>
      <c r="J2" s="189"/>
      <c r="P2" s="191" t="s">
        <v>3</v>
      </c>
      <c r="Q2" s="191"/>
      <c r="R2" s="191"/>
      <c r="S2" s="191"/>
      <c r="T2" s="191"/>
      <c r="U2" s="191"/>
      <c r="AA2" s="190" t="s">
        <v>33</v>
      </c>
      <c r="AB2" s="190"/>
      <c r="AC2" s="190"/>
      <c r="AD2" s="190"/>
      <c r="AE2" s="190"/>
      <c r="AF2" s="190"/>
      <c r="AG2" s="190"/>
    </row>
    <row r="3" spans="1:33" x14ac:dyDescent="0.3">
      <c r="A3" s="1" t="s">
        <v>31</v>
      </c>
      <c r="B3" s="12" t="s">
        <v>7</v>
      </c>
      <c r="C3" s="12" t="s">
        <v>34</v>
      </c>
      <c r="D3" s="13" t="s">
        <v>8</v>
      </c>
      <c r="E3" s="13" t="s">
        <v>9</v>
      </c>
      <c r="F3" s="12"/>
      <c r="G3" s="12" t="s">
        <v>10</v>
      </c>
      <c r="H3" s="28">
        <v>25.4</v>
      </c>
      <c r="I3" s="6" t="s">
        <v>31</v>
      </c>
      <c r="J3" s="66" t="s">
        <v>12</v>
      </c>
      <c r="K3" s="6" t="s">
        <v>13</v>
      </c>
      <c r="L3" s="68" t="s">
        <v>18</v>
      </c>
      <c r="M3" s="29"/>
      <c r="N3" s="69" t="s">
        <v>19</v>
      </c>
      <c r="O3" s="19"/>
      <c r="P3" s="39" t="s">
        <v>15</v>
      </c>
      <c r="Q3" s="6" t="s">
        <v>35</v>
      </c>
      <c r="R3" s="6" t="s">
        <v>17</v>
      </c>
      <c r="S3" s="12" t="s">
        <v>18</v>
      </c>
      <c r="T3" s="29"/>
      <c r="U3" s="6" t="s">
        <v>19</v>
      </c>
      <c r="AA3" s="22" t="s">
        <v>36</v>
      </c>
      <c r="AB3" s="22" t="s">
        <v>37</v>
      </c>
      <c r="AC3" s="22" t="s">
        <v>38</v>
      </c>
      <c r="AD3" s="22" t="s">
        <v>39</v>
      </c>
      <c r="AE3" s="22" t="s">
        <v>40</v>
      </c>
      <c r="AF3" s="22" t="s">
        <v>41</v>
      </c>
      <c r="AG3" s="22" t="s">
        <v>31</v>
      </c>
    </row>
    <row r="4" spans="1:33" x14ac:dyDescent="0.3">
      <c r="A4" s="14">
        <v>44856</v>
      </c>
      <c r="B4" s="15">
        <v>0.05</v>
      </c>
      <c r="C4" s="15">
        <f>B4*$H$3</f>
        <v>1.27</v>
      </c>
      <c r="D4" s="5">
        <f>AVERAGE($C$4:$C$191)</f>
        <v>7.6726585365853648</v>
      </c>
      <c r="E4" s="5">
        <f>_xlfn.STDEV.S($C$4:$C$55)</f>
        <v>9.8099577843376977</v>
      </c>
      <c r="F4" s="5">
        <f>C4-D4</f>
        <v>-6.4026585365853652</v>
      </c>
      <c r="G4" s="5">
        <f>F4/E4</f>
        <v>-0.65266932614202167</v>
      </c>
      <c r="I4" s="40">
        <v>44844</v>
      </c>
      <c r="J4" s="2">
        <v>1.8112903225806452</v>
      </c>
      <c r="K4" s="25">
        <f>AVERAGE($J$4:$J$100)</f>
        <v>6.0075412665808328</v>
      </c>
      <c r="L4" s="42">
        <f>_xlfn.STDEV.S($J$4:$J$140)</f>
        <v>5.5697793555998789</v>
      </c>
      <c r="M4" s="42">
        <f>J4-K4</f>
        <v>-4.1962509440001874</v>
      </c>
      <c r="N4" s="25">
        <f>M4/L4</f>
        <v>-0.7533962615199935</v>
      </c>
      <c r="P4" s="40">
        <v>44844</v>
      </c>
      <c r="Q4" s="30">
        <v>624.1825</v>
      </c>
      <c r="R4" s="30">
        <f>AVERAGE($Q$4:$Q$161)</f>
        <v>624.81302083333367</v>
      </c>
      <c r="S4" s="30">
        <f>_xlfn.STDEV.S($Q$4:$Q$103)</f>
        <v>0.34561205357717845</v>
      </c>
      <c r="T4" s="31">
        <f>Q4-R4</f>
        <v>-0.63052083333366227</v>
      </c>
      <c r="U4" s="30">
        <f t="shared" ref="U4:U23" si="0">T4/S4</f>
        <v>-1.8243600789023435</v>
      </c>
      <c r="AA4" s="8">
        <v>30.3</v>
      </c>
      <c r="AB4" s="8">
        <v>22.6</v>
      </c>
      <c r="AC4" s="8">
        <v>30.3</v>
      </c>
      <c r="AD4" s="8">
        <v>71</v>
      </c>
      <c r="AE4" s="8">
        <v>43.6</v>
      </c>
      <c r="AF4" s="25">
        <f t="shared" ref="AF4:AF15" si="1">AVERAGE(AA4:AE4)</f>
        <v>39.559999999999995</v>
      </c>
      <c r="AG4" s="23">
        <v>44835</v>
      </c>
    </row>
    <row r="5" spans="1:33" x14ac:dyDescent="0.3">
      <c r="A5" s="14">
        <v>44887</v>
      </c>
      <c r="B5" s="15">
        <v>0.19</v>
      </c>
      <c r="C5" s="15">
        <f t="shared" ref="C5:C23" si="2">B5*$H$3</f>
        <v>4.8259999999999996</v>
      </c>
      <c r="D5" s="5">
        <f t="shared" ref="D5:D47" si="3">AVERAGE($C$4:$C$191)</f>
        <v>7.6726585365853648</v>
      </c>
      <c r="E5" s="5">
        <f t="shared" ref="E5:E47" si="4">_xlfn.STDEV.S($C$4:$C$55)</f>
        <v>9.8099577843376977</v>
      </c>
      <c r="F5" s="5">
        <f t="shared" ref="F5:F23" si="5">C5-D5</f>
        <v>-2.8466585365853652</v>
      </c>
      <c r="G5" s="5">
        <f t="shared" ref="G5:G23" si="6">F5/E5</f>
        <v>-0.29018050833310005</v>
      </c>
      <c r="I5" s="40">
        <v>44875</v>
      </c>
      <c r="J5" s="2">
        <v>1.8106666666666664</v>
      </c>
      <c r="K5" s="25">
        <f t="shared" ref="K5:K47" si="7">AVERAGE($J$4:$J$55)</f>
        <v>6.0075412665808328</v>
      </c>
      <c r="L5" s="42">
        <f t="shared" ref="L5:L47" si="8">_xlfn.STDEV.S($J$4:$J$65)</f>
        <v>5.5697793555998789</v>
      </c>
      <c r="M5" s="42">
        <f t="shared" ref="M5:M23" si="9">J5-K5</f>
        <v>-4.1968745999141666</v>
      </c>
      <c r="N5" s="25">
        <f t="shared" ref="N5:N23" si="10">M5/L5</f>
        <v>-0.75350823290596092</v>
      </c>
      <c r="P5" s="40">
        <v>44875</v>
      </c>
      <c r="Q5" s="30">
        <v>624.18375000000003</v>
      </c>
      <c r="R5" s="30">
        <f t="shared" ref="R5:R47" si="11">AVERAGE($Q$4:$Q$161)</f>
        <v>624.81302083333367</v>
      </c>
      <c r="S5" s="30">
        <f t="shared" ref="S5:S47" si="12">_xlfn.STDEV.S($Q$4:$Q$103)</f>
        <v>0.34561205357717845</v>
      </c>
      <c r="T5" s="31">
        <f t="shared" ref="T5:T23" si="13">Q5-R5</f>
        <v>-0.62927083333363498</v>
      </c>
      <c r="U5" s="30">
        <f t="shared" si="0"/>
        <v>-1.8207433068971735</v>
      </c>
      <c r="AA5" s="8">
        <v>65.5</v>
      </c>
      <c r="AB5" s="8">
        <v>91.8</v>
      </c>
      <c r="AC5" s="8">
        <v>154.19999999999999</v>
      </c>
      <c r="AD5" s="8">
        <v>193.6</v>
      </c>
      <c r="AE5" s="8">
        <v>217.6</v>
      </c>
      <c r="AF5" s="25">
        <f t="shared" si="1"/>
        <v>144.54000000000002</v>
      </c>
      <c r="AG5" s="23">
        <v>44866</v>
      </c>
    </row>
    <row r="6" spans="1:33" x14ac:dyDescent="0.3">
      <c r="A6" s="14">
        <v>44917</v>
      </c>
      <c r="B6" s="15">
        <f>AVERAGE(B5,B7)</f>
        <v>0.13</v>
      </c>
      <c r="C6" s="15">
        <f t="shared" si="2"/>
        <v>3.302</v>
      </c>
      <c r="D6" s="5">
        <f t="shared" si="3"/>
        <v>7.6726585365853648</v>
      </c>
      <c r="E6" s="5">
        <f t="shared" si="4"/>
        <v>9.8099577843376977</v>
      </c>
      <c r="F6" s="5">
        <f>C6-D6</f>
        <v>-4.3706585365853652</v>
      </c>
      <c r="G6" s="5">
        <f t="shared" si="6"/>
        <v>-0.44553285882263788</v>
      </c>
      <c r="I6" s="40">
        <v>44905</v>
      </c>
      <c r="J6" s="2">
        <v>2.2312903225806453</v>
      </c>
      <c r="K6" s="25">
        <f t="shared" si="7"/>
        <v>6.0075412665808328</v>
      </c>
      <c r="L6" s="42">
        <f t="shared" si="8"/>
        <v>5.5697793555998789</v>
      </c>
      <c r="M6" s="42">
        <f t="shared" si="9"/>
        <v>-3.7762509440001875</v>
      </c>
      <c r="N6" s="25">
        <f t="shared" si="10"/>
        <v>-0.67798932469443862</v>
      </c>
      <c r="P6" s="40">
        <v>44905</v>
      </c>
      <c r="Q6" s="30">
        <v>624.12875000000008</v>
      </c>
      <c r="R6" s="30">
        <f t="shared" si="11"/>
        <v>624.81302083333367</v>
      </c>
      <c r="S6" s="30">
        <f t="shared" si="12"/>
        <v>0.34561205357717845</v>
      </c>
      <c r="T6" s="31">
        <f t="shared" si="13"/>
        <v>-0.68427083333358496</v>
      </c>
      <c r="U6" s="30">
        <f t="shared" si="0"/>
        <v>-1.9798812751210391</v>
      </c>
      <c r="AA6" s="8">
        <v>108.6</v>
      </c>
      <c r="AB6" s="8">
        <v>180.9</v>
      </c>
      <c r="AC6" s="8">
        <v>220.2</v>
      </c>
      <c r="AD6" s="8">
        <v>264.8</v>
      </c>
      <c r="AE6" s="8">
        <v>293</v>
      </c>
      <c r="AF6" s="25">
        <f t="shared" si="1"/>
        <v>213.5</v>
      </c>
      <c r="AG6" s="23">
        <v>44896</v>
      </c>
    </row>
    <row r="7" spans="1:33" x14ac:dyDescent="0.3">
      <c r="A7" s="14">
        <v>44949</v>
      </c>
      <c r="B7" s="15">
        <v>7.0000000000000007E-2</v>
      </c>
      <c r="C7" s="15">
        <f t="shared" si="2"/>
        <v>1.778</v>
      </c>
      <c r="D7" s="5">
        <f t="shared" si="3"/>
        <v>7.6726585365853648</v>
      </c>
      <c r="E7" s="5">
        <f t="shared" si="4"/>
        <v>9.8099577843376977</v>
      </c>
      <c r="F7" s="5">
        <f t="shared" si="5"/>
        <v>-5.8946585365853643</v>
      </c>
      <c r="G7" s="5">
        <f t="shared" si="6"/>
        <v>-0.60088520931217559</v>
      </c>
      <c r="I7" s="40">
        <v>44936</v>
      </c>
      <c r="J7" s="2">
        <v>3.9406451612903228</v>
      </c>
      <c r="K7" s="25">
        <f t="shared" si="7"/>
        <v>6.0075412665808328</v>
      </c>
      <c r="L7" s="42">
        <f t="shared" si="8"/>
        <v>5.5697793555998789</v>
      </c>
      <c r="M7" s="42">
        <f t="shared" si="9"/>
        <v>-2.0668961052905099</v>
      </c>
      <c r="N7" s="25">
        <f t="shared" si="10"/>
        <v>-0.37109120008720708</v>
      </c>
      <c r="P7" s="40">
        <v>44936</v>
      </c>
      <c r="Q7" s="30">
        <v>624.39374999999995</v>
      </c>
      <c r="R7" s="30">
        <f t="shared" si="11"/>
        <v>624.81302083333367</v>
      </c>
      <c r="S7" s="30">
        <f t="shared" si="12"/>
        <v>0.34561205357717845</v>
      </c>
      <c r="T7" s="31">
        <f t="shared" si="13"/>
        <v>-0.41927083333371229</v>
      </c>
      <c r="U7" s="30">
        <f t="shared" si="0"/>
        <v>-1.2131256100420849</v>
      </c>
      <c r="AA7" s="8">
        <v>35.299999999999997</v>
      </c>
      <c r="AB7" s="8">
        <v>135.5</v>
      </c>
      <c r="AC7" s="8">
        <v>96.4</v>
      </c>
      <c r="AD7" s="8">
        <v>85.8</v>
      </c>
      <c r="AE7" s="8">
        <v>70.2</v>
      </c>
      <c r="AF7" s="25">
        <f t="shared" si="1"/>
        <v>84.640000000000015</v>
      </c>
      <c r="AG7" s="23">
        <v>44927</v>
      </c>
    </row>
    <row r="8" spans="1:33" x14ac:dyDescent="0.3">
      <c r="A8" s="14">
        <v>44980</v>
      </c>
      <c r="B8" s="15">
        <f>AVERAGE(B7,B9)</f>
        <v>0.14500000000000002</v>
      </c>
      <c r="C8" s="15">
        <f t="shared" si="2"/>
        <v>3.6830000000000003</v>
      </c>
      <c r="D8" s="5">
        <f t="shared" si="3"/>
        <v>7.6726585365853648</v>
      </c>
      <c r="E8" s="5">
        <f t="shared" si="4"/>
        <v>9.8099577843376977</v>
      </c>
      <c r="F8" s="5">
        <f t="shared" si="5"/>
        <v>-3.9896585365853645</v>
      </c>
      <c r="G8" s="5">
        <f t="shared" si="6"/>
        <v>-0.40669477120025338</v>
      </c>
      <c r="I8" s="40">
        <v>44967</v>
      </c>
      <c r="J8" s="2">
        <v>14.195000000000002</v>
      </c>
      <c r="K8" s="25">
        <f t="shared" si="7"/>
        <v>6.0075412665808328</v>
      </c>
      <c r="L8" s="42">
        <f t="shared" si="8"/>
        <v>5.5697793555998789</v>
      </c>
      <c r="M8" s="42">
        <f t="shared" si="9"/>
        <v>8.1874587334191702</v>
      </c>
      <c r="N8" s="25">
        <f t="shared" si="10"/>
        <v>1.4699790082685171</v>
      </c>
      <c r="P8" s="40">
        <v>44967</v>
      </c>
      <c r="Q8" s="30">
        <v>624.59625000000005</v>
      </c>
      <c r="R8" s="30">
        <f t="shared" si="11"/>
        <v>624.81302083333367</v>
      </c>
      <c r="S8" s="30">
        <f t="shared" si="12"/>
        <v>0.34561205357717845</v>
      </c>
      <c r="T8" s="31">
        <f t="shared" si="13"/>
        <v>-0.21677083333361225</v>
      </c>
      <c r="U8" s="30">
        <f t="shared" si="0"/>
        <v>-0.62720854521702973</v>
      </c>
      <c r="AA8" s="8">
        <v>350.9</v>
      </c>
      <c r="AB8" s="8">
        <v>567.4</v>
      </c>
      <c r="AC8" s="8">
        <v>815.6</v>
      </c>
      <c r="AD8" s="8">
        <v>694.4</v>
      </c>
      <c r="AE8" s="8">
        <v>496.8</v>
      </c>
      <c r="AF8" s="25">
        <f t="shared" si="1"/>
        <v>585.0200000000001</v>
      </c>
      <c r="AG8" s="23">
        <v>44958</v>
      </c>
    </row>
    <row r="9" spans="1:33" x14ac:dyDescent="0.3">
      <c r="A9" s="14">
        <v>45008</v>
      </c>
      <c r="B9" s="15">
        <v>0.22</v>
      </c>
      <c r="C9" s="15">
        <f t="shared" si="2"/>
        <v>5.5880000000000001</v>
      </c>
      <c r="D9" s="5">
        <f t="shared" si="3"/>
        <v>7.6726585365853648</v>
      </c>
      <c r="E9" s="5">
        <f t="shared" si="4"/>
        <v>9.8099577843376977</v>
      </c>
      <c r="F9" s="5">
        <f t="shared" si="5"/>
        <v>-2.0846585365853647</v>
      </c>
      <c r="G9" s="5">
        <f t="shared" si="6"/>
        <v>-0.21250433308833111</v>
      </c>
      <c r="I9" s="40">
        <v>44995</v>
      </c>
      <c r="J9" s="2">
        <v>25.200967741935486</v>
      </c>
      <c r="K9" s="25">
        <f t="shared" si="7"/>
        <v>6.0075412665808328</v>
      </c>
      <c r="L9" s="42">
        <f t="shared" si="8"/>
        <v>5.5697793555998789</v>
      </c>
      <c r="M9" s="42">
        <f t="shared" si="9"/>
        <v>19.193426475354652</v>
      </c>
      <c r="N9" s="25">
        <f t="shared" si="10"/>
        <v>3.4459940421261934</v>
      </c>
      <c r="P9" s="40">
        <v>44995</v>
      </c>
      <c r="Q9" s="30">
        <v>624.71500000000003</v>
      </c>
      <c r="R9" s="30">
        <f t="shared" si="11"/>
        <v>624.81302083333367</v>
      </c>
      <c r="S9" s="30">
        <f t="shared" si="12"/>
        <v>0.34561205357717845</v>
      </c>
      <c r="T9" s="31">
        <f t="shared" si="13"/>
        <v>-9.8020833333634982E-2</v>
      </c>
      <c r="U9" s="30">
        <f t="shared" si="0"/>
        <v>-0.28361520473343677</v>
      </c>
      <c r="AA9" s="8">
        <v>18.3</v>
      </c>
      <c r="AB9" s="8">
        <v>34.700000000000003</v>
      </c>
      <c r="AC9" s="8">
        <v>44</v>
      </c>
      <c r="AD9" s="8">
        <v>37</v>
      </c>
      <c r="AE9" s="8">
        <v>66.8</v>
      </c>
      <c r="AF9" s="25">
        <f t="shared" si="1"/>
        <v>40.160000000000004</v>
      </c>
      <c r="AG9" s="23">
        <v>44986</v>
      </c>
    </row>
    <row r="10" spans="1:33" x14ac:dyDescent="0.3">
      <c r="A10" s="14">
        <v>45039</v>
      </c>
      <c r="B10" s="15">
        <v>7.0000000000000007E-2</v>
      </c>
      <c r="C10" s="15">
        <f t="shared" si="2"/>
        <v>1.778</v>
      </c>
      <c r="D10" s="5">
        <f t="shared" si="3"/>
        <v>7.6726585365853648</v>
      </c>
      <c r="E10" s="5">
        <f t="shared" si="4"/>
        <v>9.8099577843376977</v>
      </c>
      <c r="F10" s="5">
        <f t="shared" si="5"/>
        <v>-5.8946585365853643</v>
      </c>
      <c r="G10" s="5">
        <f t="shared" si="6"/>
        <v>-0.60088520931217559</v>
      </c>
      <c r="I10" s="40">
        <v>45026</v>
      </c>
      <c r="J10" s="2">
        <v>21.834999999999997</v>
      </c>
      <c r="K10" s="25">
        <f t="shared" si="7"/>
        <v>6.0075412665808328</v>
      </c>
      <c r="L10" s="42">
        <f t="shared" si="8"/>
        <v>5.5697793555998789</v>
      </c>
      <c r="M10" s="42">
        <f t="shared" si="9"/>
        <v>15.827458733419164</v>
      </c>
      <c r="N10" s="25">
        <f t="shared" si="10"/>
        <v>2.8416670971905149</v>
      </c>
      <c r="P10" s="40">
        <v>45026</v>
      </c>
      <c r="Q10" s="30">
        <v>624.71</v>
      </c>
      <c r="R10" s="30">
        <f t="shared" si="11"/>
        <v>624.81302083333367</v>
      </c>
      <c r="S10" s="30">
        <f t="shared" si="12"/>
        <v>0.34561205357717845</v>
      </c>
      <c r="T10" s="31">
        <f t="shared" si="13"/>
        <v>-0.10302083333363043</v>
      </c>
      <c r="U10" s="30">
        <f t="shared" si="0"/>
        <v>-0.29808229275378817</v>
      </c>
      <c r="AA10" s="8">
        <v>16.899999999999999</v>
      </c>
      <c r="AB10" s="8">
        <v>28.4</v>
      </c>
      <c r="AC10" s="8">
        <v>0.2</v>
      </c>
      <c r="AD10" s="8">
        <v>24.6</v>
      </c>
      <c r="AE10" s="8">
        <v>24.4</v>
      </c>
      <c r="AF10" s="25">
        <f t="shared" si="1"/>
        <v>18.899999999999999</v>
      </c>
      <c r="AG10" s="23">
        <v>45017</v>
      </c>
    </row>
    <row r="11" spans="1:33" x14ac:dyDescent="0.3">
      <c r="A11" s="14">
        <v>45069</v>
      </c>
      <c r="B11" s="15">
        <v>0.3</v>
      </c>
      <c r="C11" s="15">
        <f t="shared" si="2"/>
        <v>7.6199999999999992</v>
      </c>
      <c r="D11" s="5">
        <f t="shared" si="3"/>
        <v>7.6726585365853648</v>
      </c>
      <c r="E11" s="5">
        <f t="shared" si="4"/>
        <v>9.8099577843376977</v>
      </c>
      <c r="F11" s="5">
        <f t="shared" si="5"/>
        <v>-5.2658536585365567E-2</v>
      </c>
      <c r="G11" s="5">
        <f t="shared" si="6"/>
        <v>-5.3678657689474165E-3</v>
      </c>
      <c r="I11" s="40">
        <v>45056</v>
      </c>
      <c r="J11" s="2">
        <v>3.87</v>
      </c>
      <c r="K11" s="25">
        <f t="shared" si="7"/>
        <v>6.0075412665808328</v>
      </c>
      <c r="L11" s="42">
        <f t="shared" si="8"/>
        <v>5.5697793555998789</v>
      </c>
      <c r="M11" s="42">
        <f t="shared" si="9"/>
        <v>-2.1375412665808327</v>
      </c>
      <c r="N11" s="25">
        <f t="shared" si="10"/>
        <v>-0.38377485535970829</v>
      </c>
      <c r="P11" s="40">
        <v>45056</v>
      </c>
      <c r="Q11" s="30">
        <v>624.7075000000001</v>
      </c>
      <c r="R11" s="30">
        <f t="shared" si="11"/>
        <v>624.81302083333367</v>
      </c>
      <c r="S11" s="30">
        <f t="shared" si="12"/>
        <v>0.34561205357717845</v>
      </c>
      <c r="T11" s="31">
        <f t="shared" si="13"/>
        <v>-0.10552083333357132</v>
      </c>
      <c r="U11" s="30">
        <f t="shared" si="0"/>
        <v>-0.30531583676379942</v>
      </c>
      <c r="AA11" s="8">
        <v>43</v>
      </c>
      <c r="AB11" s="8">
        <v>64.3</v>
      </c>
      <c r="AC11" s="8">
        <v>7.4</v>
      </c>
      <c r="AD11" s="8">
        <v>69.8</v>
      </c>
      <c r="AE11" s="8">
        <v>97.8</v>
      </c>
      <c r="AF11" s="25">
        <f t="shared" si="1"/>
        <v>56.46</v>
      </c>
      <c r="AG11" s="23">
        <v>45047</v>
      </c>
    </row>
    <row r="12" spans="1:33" x14ac:dyDescent="0.3">
      <c r="A12" s="14">
        <v>45100</v>
      </c>
      <c r="B12" s="15">
        <v>0.12</v>
      </c>
      <c r="C12" s="15">
        <f t="shared" si="2"/>
        <v>3.0479999999999996</v>
      </c>
      <c r="D12" s="5">
        <f t="shared" si="3"/>
        <v>7.6726585365853648</v>
      </c>
      <c r="E12" s="5">
        <f t="shared" si="4"/>
        <v>9.8099577843376977</v>
      </c>
      <c r="F12" s="5">
        <f t="shared" si="5"/>
        <v>-4.6246585365853647</v>
      </c>
      <c r="G12" s="5">
        <f t="shared" si="6"/>
        <v>-0.4714249172375608</v>
      </c>
      <c r="I12" s="40">
        <v>45087</v>
      </c>
      <c r="J12" s="2">
        <v>3.99</v>
      </c>
      <c r="K12" s="25">
        <f t="shared" si="7"/>
        <v>6.0075412665808328</v>
      </c>
      <c r="L12" s="42">
        <f t="shared" si="8"/>
        <v>5.5697793555998789</v>
      </c>
      <c r="M12" s="42">
        <f t="shared" si="9"/>
        <v>-2.0175412665808325</v>
      </c>
      <c r="N12" s="25">
        <f t="shared" si="10"/>
        <v>-0.36223001626669254</v>
      </c>
      <c r="P12" s="40">
        <v>45087</v>
      </c>
      <c r="Q12" s="30">
        <v>624.64</v>
      </c>
      <c r="R12" s="30">
        <f t="shared" si="11"/>
        <v>624.81302083333367</v>
      </c>
      <c r="S12" s="30">
        <f t="shared" si="12"/>
        <v>0.34561205357717845</v>
      </c>
      <c r="T12" s="31">
        <f t="shared" si="13"/>
        <v>-0.17302083333368046</v>
      </c>
      <c r="U12" s="30">
        <f t="shared" si="0"/>
        <v>-0.50062152503903701</v>
      </c>
      <c r="AA12" s="8">
        <v>2.4</v>
      </c>
      <c r="AB12" s="8">
        <v>25.5</v>
      </c>
      <c r="AC12" s="8">
        <v>0.3</v>
      </c>
      <c r="AD12" s="8">
        <v>6.4</v>
      </c>
      <c r="AE12" s="8">
        <v>4.2</v>
      </c>
      <c r="AF12" s="25">
        <f t="shared" si="1"/>
        <v>7.7600000000000007</v>
      </c>
      <c r="AG12" s="23">
        <v>45078</v>
      </c>
    </row>
    <row r="13" spans="1:33" x14ac:dyDescent="0.3">
      <c r="A13" s="14">
        <v>45130</v>
      </c>
      <c r="B13" s="15">
        <v>0.21</v>
      </c>
      <c r="C13" s="15">
        <f t="shared" si="2"/>
        <v>5.3339999999999996</v>
      </c>
      <c r="D13" s="5">
        <f t="shared" si="3"/>
        <v>7.6726585365853648</v>
      </c>
      <c r="E13" s="5">
        <f t="shared" si="4"/>
        <v>9.8099577843376977</v>
      </c>
      <c r="F13" s="5">
        <f t="shared" si="5"/>
        <v>-2.3386585365853652</v>
      </c>
      <c r="G13" s="5">
        <f t="shared" si="6"/>
        <v>-0.23839639150325412</v>
      </c>
      <c r="I13" s="40">
        <v>45117</v>
      </c>
      <c r="J13" s="2">
        <v>3.48</v>
      </c>
      <c r="K13" s="25">
        <f t="shared" si="7"/>
        <v>6.0075412665808328</v>
      </c>
      <c r="L13" s="42">
        <f t="shared" si="8"/>
        <v>5.5697793555998789</v>
      </c>
      <c r="M13" s="42">
        <f t="shared" si="9"/>
        <v>-2.5275412665808328</v>
      </c>
      <c r="N13" s="25">
        <f t="shared" si="10"/>
        <v>-0.45379558241200929</v>
      </c>
      <c r="P13" s="40">
        <v>45117</v>
      </c>
      <c r="Q13" s="30">
        <v>624.63</v>
      </c>
      <c r="R13" s="30">
        <f t="shared" si="11"/>
        <v>624.81302083333367</v>
      </c>
      <c r="S13" s="30">
        <f t="shared" si="12"/>
        <v>0.34561205357717845</v>
      </c>
      <c r="T13" s="31">
        <f t="shared" si="13"/>
        <v>-0.18302083333367136</v>
      </c>
      <c r="U13" s="30">
        <f t="shared" si="0"/>
        <v>-0.52955570107973993</v>
      </c>
      <c r="AA13" s="8">
        <v>38.5</v>
      </c>
      <c r="AB13" s="8">
        <v>54.7</v>
      </c>
      <c r="AC13" s="8">
        <v>2.2999999999999998</v>
      </c>
      <c r="AD13" s="8">
        <v>77.8</v>
      </c>
      <c r="AE13" s="8">
        <v>81.400000000000006</v>
      </c>
      <c r="AF13" s="25">
        <f t="shared" si="1"/>
        <v>50.940000000000005</v>
      </c>
      <c r="AG13" s="23">
        <v>45108</v>
      </c>
    </row>
    <row r="14" spans="1:33" x14ac:dyDescent="0.3">
      <c r="A14" s="14">
        <v>45161</v>
      </c>
      <c r="B14" s="15">
        <v>7.0000000000000007E-2</v>
      </c>
      <c r="C14" s="15">
        <f t="shared" si="2"/>
        <v>1.778</v>
      </c>
      <c r="D14" s="5">
        <f t="shared" si="3"/>
        <v>7.6726585365853648</v>
      </c>
      <c r="E14" s="5">
        <f t="shared" si="4"/>
        <v>9.8099577843376977</v>
      </c>
      <c r="F14" s="5">
        <f t="shared" si="5"/>
        <v>-5.8946585365853643</v>
      </c>
      <c r="G14" s="5">
        <f t="shared" si="6"/>
        <v>-0.60088520931217559</v>
      </c>
      <c r="I14" s="40">
        <v>45148</v>
      </c>
      <c r="J14" s="2">
        <v>2.86</v>
      </c>
      <c r="K14" s="25">
        <f t="shared" si="7"/>
        <v>6.0075412665808328</v>
      </c>
      <c r="L14" s="42">
        <f t="shared" si="8"/>
        <v>5.5697793555998789</v>
      </c>
      <c r="M14" s="42">
        <f t="shared" si="9"/>
        <v>-3.1475412665808329</v>
      </c>
      <c r="N14" s="25">
        <f t="shared" si="10"/>
        <v>-0.56511058439259032</v>
      </c>
      <c r="P14" s="40">
        <v>45148</v>
      </c>
      <c r="Q14" s="30">
        <v>624.67999999999995</v>
      </c>
      <c r="R14" s="30">
        <f t="shared" si="11"/>
        <v>624.81302083333367</v>
      </c>
      <c r="S14" s="30">
        <f t="shared" si="12"/>
        <v>0.34561205357717845</v>
      </c>
      <c r="T14" s="31">
        <f t="shared" si="13"/>
        <v>-0.13302083333371684</v>
      </c>
      <c r="U14" s="30">
        <f t="shared" si="0"/>
        <v>-0.38488482087622566</v>
      </c>
      <c r="AA14" s="8">
        <v>0.4</v>
      </c>
      <c r="AB14" s="8">
        <v>5</v>
      </c>
      <c r="AC14" s="8">
        <v>5.2</v>
      </c>
      <c r="AD14" s="8">
        <v>6.8</v>
      </c>
      <c r="AE14" s="8">
        <v>5.6</v>
      </c>
      <c r="AF14" s="25">
        <f t="shared" si="1"/>
        <v>4.5999999999999996</v>
      </c>
      <c r="AG14" s="23">
        <v>45139</v>
      </c>
    </row>
    <row r="15" spans="1:33" x14ac:dyDescent="0.3">
      <c r="A15" s="14">
        <v>45192</v>
      </c>
      <c r="B15" s="15">
        <v>0.13</v>
      </c>
      <c r="C15" s="15">
        <f t="shared" si="2"/>
        <v>3.302</v>
      </c>
      <c r="D15" s="5">
        <f t="shared" si="3"/>
        <v>7.6726585365853648</v>
      </c>
      <c r="E15" s="5">
        <f t="shared" si="4"/>
        <v>9.8099577843376977</v>
      </c>
      <c r="F15" s="5">
        <f t="shared" si="5"/>
        <v>-4.3706585365853652</v>
      </c>
      <c r="G15" s="5">
        <f t="shared" si="6"/>
        <v>-0.44553285882263788</v>
      </c>
      <c r="I15" s="40">
        <v>45179</v>
      </c>
      <c r="J15" s="2">
        <v>0.9</v>
      </c>
      <c r="K15" s="25">
        <f t="shared" si="7"/>
        <v>6.0075412665808328</v>
      </c>
      <c r="L15" s="42">
        <f t="shared" si="8"/>
        <v>5.5697793555998789</v>
      </c>
      <c r="M15" s="42">
        <f t="shared" si="9"/>
        <v>-5.1075412665808324</v>
      </c>
      <c r="N15" s="25">
        <f t="shared" si="10"/>
        <v>-0.91700962291184651</v>
      </c>
      <c r="P15" s="40">
        <v>45179</v>
      </c>
      <c r="Q15" s="30">
        <v>624.6</v>
      </c>
      <c r="R15" s="30">
        <f t="shared" si="11"/>
        <v>624.81302083333367</v>
      </c>
      <c r="S15" s="30">
        <f t="shared" si="12"/>
        <v>0.34561205357717845</v>
      </c>
      <c r="T15" s="31">
        <f t="shared" si="13"/>
        <v>-0.21302083333364408</v>
      </c>
      <c r="U15" s="30">
        <f t="shared" si="0"/>
        <v>-0.61635822920184846</v>
      </c>
      <c r="AA15" s="8">
        <v>37.1</v>
      </c>
      <c r="AB15" s="8" t="s">
        <v>42</v>
      </c>
      <c r="AC15" s="8"/>
      <c r="AD15" s="8">
        <v>0.02</v>
      </c>
      <c r="AE15" s="8">
        <v>0.6</v>
      </c>
      <c r="AF15" s="25">
        <f t="shared" si="1"/>
        <v>12.573333333333336</v>
      </c>
      <c r="AG15" s="23">
        <v>45170</v>
      </c>
    </row>
    <row r="16" spans="1:33" x14ac:dyDescent="0.3">
      <c r="A16" s="14">
        <v>45222</v>
      </c>
      <c r="B16" s="15">
        <v>0.04</v>
      </c>
      <c r="C16" s="15">
        <f t="shared" si="2"/>
        <v>1.016</v>
      </c>
      <c r="D16" s="5">
        <f t="shared" si="3"/>
        <v>7.6726585365853648</v>
      </c>
      <c r="E16" s="5">
        <f t="shared" si="4"/>
        <v>9.8099577843376977</v>
      </c>
      <c r="F16" s="5">
        <f t="shared" si="5"/>
        <v>-6.6566585365853648</v>
      </c>
      <c r="G16" s="5">
        <f t="shared" si="6"/>
        <v>-0.67856138455694459</v>
      </c>
      <c r="I16" s="40">
        <v>45209</v>
      </c>
      <c r="J16" s="2">
        <v>1.1100000000000001</v>
      </c>
      <c r="K16" s="25">
        <f t="shared" si="7"/>
        <v>6.0075412665808328</v>
      </c>
      <c r="L16" s="42">
        <f t="shared" si="8"/>
        <v>5.5697793555998789</v>
      </c>
      <c r="M16" s="42">
        <f t="shared" si="9"/>
        <v>-4.8975412665808324</v>
      </c>
      <c r="N16" s="25">
        <f t="shared" si="10"/>
        <v>-0.87930615449906901</v>
      </c>
      <c r="P16" s="40">
        <v>45209</v>
      </c>
      <c r="Q16" s="30">
        <v>624.63</v>
      </c>
      <c r="R16" s="30">
        <f t="shared" si="11"/>
        <v>624.81302083333367</v>
      </c>
      <c r="S16" s="30">
        <f t="shared" si="12"/>
        <v>0.34561205357717845</v>
      </c>
      <c r="T16" s="31">
        <f t="shared" si="13"/>
        <v>-0.18302083333367136</v>
      </c>
      <c r="U16" s="30">
        <f t="shared" si="0"/>
        <v>-0.52955570107973993</v>
      </c>
      <c r="AA16" s="8">
        <v>38.700000000000003</v>
      </c>
      <c r="AB16" s="8">
        <v>48</v>
      </c>
      <c r="AC16" s="8">
        <v>37.1</v>
      </c>
      <c r="AD16" s="8">
        <v>37.1</v>
      </c>
      <c r="AE16" s="8">
        <v>37.1</v>
      </c>
      <c r="AF16" s="25">
        <f>AVERAGE(AA16:AE16)</f>
        <v>39.6</v>
      </c>
      <c r="AG16" s="23">
        <v>45200</v>
      </c>
    </row>
    <row r="17" spans="1:33" x14ac:dyDescent="0.3">
      <c r="A17" s="14">
        <v>45253</v>
      </c>
      <c r="B17" s="15">
        <v>0.13</v>
      </c>
      <c r="C17" s="15">
        <f t="shared" si="2"/>
        <v>3.302</v>
      </c>
      <c r="D17" s="5">
        <f t="shared" si="3"/>
        <v>7.6726585365853648</v>
      </c>
      <c r="E17" s="5">
        <f t="shared" si="4"/>
        <v>9.8099577843376977</v>
      </c>
      <c r="F17" s="5">
        <f t="shared" si="5"/>
        <v>-4.3706585365853652</v>
      </c>
      <c r="G17" s="5">
        <f t="shared" si="6"/>
        <v>-0.44553285882263788</v>
      </c>
      <c r="I17" s="40">
        <v>45240</v>
      </c>
      <c r="J17" s="2">
        <v>0.67</v>
      </c>
      <c r="K17" s="25">
        <f t="shared" si="7"/>
        <v>6.0075412665808328</v>
      </c>
      <c r="L17" s="42">
        <f t="shared" si="8"/>
        <v>5.5697793555998789</v>
      </c>
      <c r="M17" s="42">
        <f t="shared" si="9"/>
        <v>-5.3375412665808328</v>
      </c>
      <c r="N17" s="25">
        <f t="shared" si="10"/>
        <v>-0.95830389784012671</v>
      </c>
      <c r="P17" s="40">
        <v>45240</v>
      </c>
      <c r="Q17" s="30">
        <v>624.66999999999996</v>
      </c>
      <c r="R17" s="30">
        <f t="shared" si="11"/>
        <v>624.81302083333367</v>
      </c>
      <c r="S17" s="30">
        <f t="shared" si="12"/>
        <v>0.34561205357717845</v>
      </c>
      <c r="T17" s="31">
        <f t="shared" si="13"/>
        <v>-0.14302083333370774</v>
      </c>
      <c r="U17" s="30">
        <f t="shared" si="0"/>
        <v>-0.41381899691692853</v>
      </c>
      <c r="AA17" s="8">
        <v>55.8</v>
      </c>
      <c r="AB17" s="8">
        <v>38.700000000000003</v>
      </c>
      <c r="AC17" s="8">
        <v>114.8</v>
      </c>
      <c r="AD17" s="8">
        <v>34.799999999999997</v>
      </c>
      <c r="AE17" s="8">
        <v>44</v>
      </c>
      <c r="AF17" s="8">
        <f>AVERAGE(AA17:AE17)</f>
        <v>57.620000000000005</v>
      </c>
      <c r="AG17" s="23">
        <v>45231</v>
      </c>
    </row>
    <row r="18" spans="1:33" x14ac:dyDescent="0.3">
      <c r="A18" s="14">
        <v>45283</v>
      </c>
      <c r="B18" s="15">
        <f>AVERAGE(B17,B19)</f>
        <v>0.36499999999999999</v>
      </c>
      <c r="C18" s="15">
        <f t="shared" si="2"/>
        <v>9.270999999999999</v>
      </c>
      <c r="D18" s="5">
        <f t="shared" si="3"/>
        <v>7.6726585365853648</v>
      </c>
      <c r="E18" s="5">
        <f t="shared" si="4"/>
        <v>9.8099577843376977</v>
      </c>
      <c r="F18" s="5">
        <f t="shared" si="5"/>
        <v>1.5983414634146342</v>
      </c>
      <c r="G18" s="5">
        <f t="shared" si="6"/>
        <v>0.16293051392805188</v>
      </c>
      <c r="I18" s="40">
        <v>45270</v>
      </c>
      <c r="J18" s="2">
        <v>3.1</v>
      </c>
      <c r="K18" s="25">
        <f t="shared" si="7"/>
        <v>6.0075412665808328</v>
      </c>
      <c r="L18" s="42">
        <f t="shared" si="8"/>
        <v>5.5697793555998789</v>
      </c>
      <c r="M18" s="42">
        <f t="shared" si="9"/>
        <v>-2.9075412665808327</v>
      </c>
      <c r="N18" s="25">
        <f t="shared" si="10"/>
        <v>-0.52202090620655894</v>
      </c>
      <c r="P18" s="40">
        <v>45270</v>
      </c>
      <c r="Q18" s="30">
        <v>624.66</v>
      </c>
      <c r="R18" s="30">
        <f t="shared" si="11"/>
        <v>624.81302083333367</v>
      </c>
      <c r="S18" s="30">
        <f t="shared" si="12"/>
        <v>0.34561205357717845</v>
      </c>
      <c r="T18" s="31">
        <f t="shared" si="13"/>
        <v>-0.15302083333369865</v>
      </c>
      <c r="U18" s="30">
        <f t="shared" si="0"/>
        <v>-0.44275317295763139</v>
      </c>
      <c r="AA18" s="8">
        <v>191.4</v>
      </c>
      <c r="AB18" s="8">
        <v>269.39999999999998</v>
      </c>
      <c r="AC18" s="8">
        <v>79.2</v>
      </c>
      <c r="AD18" s="8">
        <v>329</v>
      </c>
      <c r="AE18" s="8">
        <v>15</v>
      </c>
      <c r="AF18" s="25">
        <f>AVERAGE(AA18:AE18)</f>
        <v>176.8</v>
      </c>
      <c r="AG18" s="23">
        <v>45261</v>
      </c>
    </row>
    <row r="19" spans="1:33" x14ac:dyDescent="0.3">
      <c r="A19" s="14">
        <v>45315</v>
      </c>
      <c r="B19" s="15">
        <v>0.6</v>
      </c>
      <c r="C19" s="15">
        <f>B19*$H$3</f>
        <v>15.239999999999998</v>
      </c>
      <c r="D19" s="5">
        <f t="shared" si="3"/>
        <v>7.6726585365853648</v>
      </c>
      <c r="E19" s="5">
        <f t="shared" si="4"/>
        <v>9.8099577843376977</v>
      </c>
      <c r="F19" s="5">
        <f t="shared" si="5"/>
        <v>7.5673414634146337</v>
      </c>
      <c r="G19" s="5">
        <f t="shared" si="6"/>
        <v>0.77139388667874165</v>
      </c>
      <c r="I19" s="40">
        <v>45301</v>
      </c>
      <c r="J19" s="2">
        <v>12</v>
      </c>
      <c r="K19" s="25">
        <f t="shared" si="7"/>
        <v>6.0075412665808328</v>
      </c>
      <c r="L19" s="42">
        <f t="shared" si="8"/>
        <v>5.5697793555998789</v>
      </c>
      <c r="M19" s="42">
        <f t="shared" si="9"/>
        <v>5.9924587334191672</v>
      </c>
      <c r="N19" s="25">
        <f t="shared" si="10"/>
        <v>1.0758879931921046</v>
      </c>
      <c r="P19" s="40">
        <v>45301</v>
      </c>
      <c r="Q19" s="30">
        <v>624.92000000000007</v>
      </c>
      <c r="R19" s="30">
        <f t="shared" si="11"/>
        <v>624.81302083333367</v>
      </c>
      <c r="S19" s="30">
        <f t="shared" si="12"/>
        <v>0.34561205357717845</v>
      </c>
      <c r="T19" s="31">
        <f t="shared" si="13"/>
        <v>0.10697916666640594</v>
      </c>
      <c r="U19" s="30">
        <f t="shared" si="0"/>
        <v>0.30953540410162944</v>
      </c>
      <c r="AA19" s="8">
        <v>108.4</v>
      </c>
      <c r="AB19" s="8">
        <v>137</v>
      </c>
      <c r="AC19" s="8">
        <v>59.4</v>
      </c>
      <c r="AD19" s="8">
        <v>114</v>
      </c>
      <c r="AE19" s="8">
        <v>79.400000000000006</v>
      </c>
      <c r="AF19" s="25">
        <f>AVERAGE(AA19:AE19)</f>
        <v>99.640000000000015</v>
      </c>
      <c r="AG19" s="23">
        <v>45292</v>
      </c>
    </row>
    <row r="20" spans="1:33" x14ac:dyDescent="0.3">
      <c r="A20" s="14">
        <v>45346</v>
      </c>
      <c r="B20" s="15"/>
      <c r="C20" s="15"/>
      <c r="D20" s="5">
        <f t="shared" si="3"/>
        <v>7.6726585365853648</v>
      </c>
      <c r="E20" s="5">
        <f t="shared" si="4"/>
        <v>9.8099577843376977</v>
      </c>
      <c r="F20" s="5">
        <f t="shared" si="5"/>
        <v>-7.6726585365853648</v>
      </c>
      <c r="G20" s="5">
        <f t="shared" si="6"/>
        <v>-0.78212961821663651</v>
      </c>
      <c r="I20" s="40">
        <v>45332</v>
      </c>
      <c r="J20" s="2">
        <v>14.225580274502814</v>
      </c>
      <c r="K20" s="25">
        <f t="shared" si="7"/>
        <v>6.0075412665808328</v>
      </c>
      <c r="L20" s="42">
        <f t="shared" si="8"/>
        <v>5.5697793555998789</v>
      </c>
      <c r="M20" s="42">
        <f t="shared" si="9"/>
        <v>8.2180390079219805</v>
      </c>
      <c r="N20" s="25">
        <f t="shared" si="10"/>
        <v>1.4754694007150446</v>
      </c>
      <c r="P20" s="40">
        <v>45332</v>
      </c>
      <c r="Q20" s="30">
        <v>625.02</v>
      </c>
      <c r="R20" s="30">
        <f t="shared" si="11"/>
        <v>624.81302083333367</v>
      </c>
      <c r="S20" s="30">
        <f t="shared" si="12"/>
        <v>0.34561205357717845</v>
      </c>
      <c r="T20" s="31">
        <f t="shared" si="13"/>
        <v>0.206979166666315</v>
      </c>
      <c r="U20" s="30">
        <f t="shared" si="0"/>
        <v>0.59887716450865791</v>
      </c>
      <c r="AA20" s="8"/>
      <c r="AB20" s="8"/>
      <c r="AC20" s="8"/>
      <c r="AD20" s="8"/>
      <c r="AE20" s="8"/>
      <c r="AF20" s="8"/>
      <c r="AG20" s="23">
        <v>45323</v>
      </c>
    </row>
    <row r="21" spans="1:33" x14ac:dyDescent="0.3">
      <c r="A21" s="14">
        <v>45375</v>
      </c>
      <c r="B21" s="15"/>
      <c r="C21" s="15"/>
      <c r="D21" s="5">
        <f t="shared" si="3"/>
        <v>7.6726585365853648</v>
      </c>
      <c r="E21" s="5">
        <f t="shared" si="4"/>
        <v>9.8099577843376977</v>
      </c>
      <c r="F21" s="5">
        <f t="shared" si="5"/>
        <v>-7.6726585365853648</v>
      </c>
      <c r="G21" s="5">
        <f t="shared" si="6"/>
        <v>-0.78212961821663651</v>
      </c>
      <c r="I21" s="40">
        <v>45361</v>
      </c>
      <c r="J21" s="2">
        <v>12.16</v>
      </c>
      <c r="K21" s="25">
        <f t="shared" si="7"/>
        <v>6.0075412665808328</v>
      </c>
      <c r="L21" s="42">
        <f t="shared" si="8"/>
        <v>5.5697793555998789</v>
      </c>
      <c r="M21" s="42">
        <f t="shared" si="9"/>
        <v>6.1524587334191674</v>
      </c>
      <c r="N21" s="25">
        <f t="shared" si="10"/>
        <v>1.1046144453161255</v>
      </c>
      <c r="P21" s="40">
        <v>45361</v>
      </c>
      <c r="Q21" s="30">
        <v>624.97</v>
      </c>
      <c r="R21" s="30">
        <f t="shared" si="11"/>
        <v>624.81302083333367</v>
      </c>
      <c r="S21" s="30">
        <f t="shared" si="12"/>
        <v>0.34561205357717845</v>
      </c>
      <c r="T21" s="31">
        <f t="shared" si="13"/>
        <v>0.15697916666636047</v>
      </c>
      <c r="U21" s="30">
        <f t="shared" si="0"/>
        <v>0.4542062843051437</v>
      </c>
      <c r="AA21" s="8"/>
      <c r="AB21" s="8"/>
      <c r="AC21" s="8"/>
      <c r="AD21" s="8"/>
      <c r="AE21" s="8"/>
      <c r="AF21" s="8"/>
      <c r="AG21" s="23">
        <v>45352</v>
      </c>
    </row>
    <row r="22" spans="1:33" x14ac:dyDescent="0.3">
      <c r="A22" s="14">
        <v>45406</v>
      </c>
      <c r="B22" s="15"/>
      <c r="C22" s="15"/>
      <c r="D22" s="5">
        <f t="shared" si="3"/>
        <v>7.6726585365853648</v>
      </c>
      <c r="E22" s="5">
        <f t="shared" si="4"/>
        <v>9.8099577843376977</v>
      </c>
      <c r="F22" s="5">
        <f t="shared" si="5"/>
        <v>-7.6726585365853648</v>
      </c>
      <c r="G22" s="5">
        <f t="shared" si="6"/>
        <v>-0.78212961821663651</v>
      </c>
      <c r="I22" s="40">
        <v>45392</v>
      </c>
      <c r="J22" s="67">
        <v>14.07</v>
      </c>
      <c r="K22" s="25">
        <f t="shared" si="7"/>
        <v>6.0075412665808328</v>
      </c>
      <c r="L22" s="42">
        <f t="shared" si="8"/>
        <v>5.5697793555998789</v>
      </c>
      <c r="M22" s="42">
        <f t="shared" si="9"/>
        <v>8.0624587334191666</v>
      </c>
      <c r="N22" s="25">
        <f t="shared" si="10"/>
        <v>1.4475364675466251</v>
      </c>
      <c r="P22" s="40">
        <v>45392</v>
      </c>
      <c r="Q22" s="30">
        <v>625</v>
      </c>
      <c r="R22" s="30">
        <f t="shared" si="11"/>
        <v>624.81302083333367</v>
      </c>
      <c r="S22" s="30">
        <f t="shared" si="12"/>
        <v>0.34561205357717845</v>
      </c>
      <c r="T22" s="31">
        <f t="shared" si="13"/>
        <v>0.18697916666633319</v>
      </c>
      <c r="U22" s="30">
        <f t="shared" si="0"/>
        <v>0.54100881242725218</v>
      </c>
    </row>
    <row r="23" spans="1:33" x14ac:dyDescent="0.3">
      <c r="A23" s="14">
        <v>45436</v>
      </c>
      <c r="B23" s="15">
        <v>0.3</v>
      </c>
      <c r="C23" s="15">
        <f t="shared" si="2"/>
        <v>7.6199999999999992</v>
      </c>
      <c r="D23" s="5">
        <f t="shared" si="3"/>
        <v>7.6726585365853648</v>
      </c>
      <c r="E23" s="5">
        <f t="shared" si="4"/>
        <v>9.8099577843376977</v>
      </c>
      <c r="F23" s="5">
        <f t="shared" si="5"/>
        <v>-5.2658536585365567E-2</v>
      </c>
      <c r="G23" s="5">
        <f t="shared" si="6"/>
        <v>-5.3678657689474165E-3</v>
      </c>
      <c r="I23" s="40">
        <v>45422</v>
      </c>
      <c r="J23" s="2">
        <v>3.24</v>
      </c>
      <c r="K23" s="25">
        <f t="shared" si="7"/>
        <v>6.0075412665808328</v>
      </c>
      <c r="L23" s="42">
        <f t="shared" si="8"/>
        <v>5.5697793555998789</v>
      </c>
      <c r="M23" s="42">
        <f t="shared" si="9"/>
        <v>-2.7675412665808325</v>
      </c>
      <c r="N23" s="25">
        <f t="shared" si="10"/>
        <v>-0.49688526059804061</v>
      </c>
      <c r="P23" s="40">
        <v>45422</v>
      </c>
      <c r="Q23" s="30">
        <v>624.9</v>
      </c>
      <c r="R23" s="30">
        <f t="shared" si="11"/>
        <v>624.81302083333367</v>
      </c>
      <c r="S23" s="30">
        <f t="shared" si="12"/>
        <v>0.34561205357717845</v>
      </c>
      <c r="T23" s="31">
        <f t="shared" si="13"/>
        <v>8.6979166666310448E-2</v>
      </c>
      <c r="U23" s="30">
        <f t="shared" si="0"/>
        <v>0.25166705201989481</v>
      </c>
    </row>
    <row r="24" spans="1:33" x14ac:dyDescent="0.3">
      <c r="A24" s="14">
        <v>45468</v>
      </c>
      <c r="B24" s="4">
        <v>0.22</v>
      </c>
      <c r="C24" s="15">
        <f>B24*$H$3</f>
        <v>5.5880000000000001</v>
      </c>
      <c r="D24" s="5">
        <f t="shared" si="3"/>
        <v>7.6726585365853648</v>
      </c>
      <c r="E24" s="5">
        <f t="shared" si="4"/>
        <v>9.8099577843376977</v>
      </c>
      <c r="F24" s="5">
        <f t="shared" ref="F24" si="14">C24-D24</f>
        <v>-2.0846585365853647</v>
      </c>
      <c r="G24" s="5">
        <f t="shared" ref="G24" si="15">F24/E24</f>
        <v>-0.21250433308833111</v>
      </c>
      <c r="I24" s="40">
        <v>45454</v>
      </c>
      <c r="J24" s="2">
        <v>3.58</v>
      </c>
      <c r="K24" s="25">
        <f t="shared" si="7"/>
        <v>6.0075412665808328</v>
      </c>
      <c r="L24" s="42">
        <f t="shared" si="8"/>
        <v>5.5697793555998789</v>
      </c>
      <c r="M24" s="42">
        <f t="shared" ref="M24" si="16">J24-K24</f>
        <v>-2.4275412665808327</v>
      </c>
      <c r="N24" s="25">
        <f t="shared" ref="N24" si="17">M24/L24</f>
        <v>-0.43584154983449619</v>
      </c>
      <c r="P24" s="40">
        <v>45454</v>
      </c>
      <c r="Q24" s="30">
        <v>624.83000000000004</v>
      </c>
      <c r="R24" s="30">
        <f t="shared" si="11"/>
        <v>624.81302083333367</v>
      </c>
      <c r="S24" s="30">
        <f t="shared" si="12"/>
        <v>0.34561205357717845</v>
      </c>
      <c r="T24" s="31">
        <f t="shared" ref="T24" si="18">Q24-R24</f>
        <v>1.6979166666374113E-2</v>
      </c>
      <c r="U24" s="30">
        <f t="shared" ref="U24" si="19">T24/S24</f>
        <v>4.912781973497491E-2</v>
      </c>
    </row>
    <row r="25" spans="1:33" x14ac:dyDescent="0.3">
      <c r="A25" s="14">
        <v>45499</v>
      </c>
      <c r="B25" s="15">
        <v>0.14000000000000001</v>
      </c>
      <c r="C25" s="15">
        <f>B25*$H$3</f>
        <v>3.556</v>
      </c>
      <c r="D25" s="5">
        <f t="shared" si="3"/>
        <v>7.6726585365853648</v>
      </c>
      <c r="E25" s="5">
        <f t="shared" si="4"/>
        <v>9.8099577843376977</v>
      </c>
      <c r="F25" s="5">
        <f>C25-D25</f>
        <v>-4.1166585365853647</v>
      </c>
      <c r="G25" s="5">
        <f t="shared" ref="G25" si="20">F25/E25</f>
        <v>-0.4196408004077149</v>
      </c>
      <c r="I25" s="40">
        <v>45485</v>
      </c>
      <c r="J25" s="2">
        <v>7.95</v>
      </c>
      <c r="K25" s="25">
        <f t="shared" si="7"/>
        <v>6.0075412665808328</v>
      </c>
      <c r="L25" s="42">
        <f t="shared" si="8"/>
        <v>5.5697793555998789</v>
      </c>
      <c r="M25" s="42">
        <f t="shared" ref="M25" si="21">J25-K25</f>
        <v>1.9424587334191674</v>
      </c>
      <c r="N25" s="25">
        <f t="shared" ref="N25" si="22">M25/L25</f>
        <v>0.34874967380282512</v>
      </c>
      <c r="P25" s="40">
        <v>45485</v>
      </c>
      <c r="Q25" s="30">
        <v>624.92541666666671</v>
      </c>
      <c r="R25" s="30">
        <f t="shared" si="11"/>
        <v>624.81302083333367</v>
      </c>
      <c r="S25" s="30">
        <f t="shared" si="12"/>
        <v>0.34561205357717845</v>
      </c>
      <c r="T25" s="31">
        <f t="shared" ref="T25:T30" si="23">Q25-R25</f>
        <v>0.11239583333303926</v>
      </c>
      <c r="U25" s="30">
        <f t="shared" ref="U25:U30" si="24">T25/S25</f>
        <v>0.32520808279026125</v>
      </c>
    </row>
    <row r="26" spans="1:33" x14ac:dyDescent="0.3">
      <c r="A26" s="14">
        <v>45531</v>
      </c>
      <c r="B26" s="4">
        <v>0.105</v>
      </c>
      <c r="C26" s="15">
        <f t="shared" ref="C26:C27" si="25">B26*$H$3</f>
        <v>2.6669999999999998</v>
      </c>
      <c r="D26" s="5">
        <f t="shared" si="3"/>
        <v>7.6726585365853648</v>
      </c>
      <c r="E26" s="5">
        <f t="shared" si="4"/>
        <v>9.8099577843376977</v>
      </c>
      <c r="F26" s="5">
        <f t="shared" ref="F26:F27" si="26">C26-D26</f>
        <v>-5.005658536585365</v>
      </c>
      <c r="G26" s="5">
        <f t="shared" ref="G26:G27" si="27">F26/E26</f>
        <v>-0.51026300485994536</v>
      </c>
      <c r="I26" s="40">
        <v>45517</v>
      </c>
      <c r="J26" s="2">
        <v>4.2</v>
      </c>
      <c r="K26" s="25">
        <f t="shared" si="7"/>
        <v>6.0075412665808328</v>
      </c>
      <c r="L26" s="42">
        <f t="shared" si="8"/>
        <v>5.5697793555998789</v>
      </c>
      <c r="M26" s="42">
        <f t="shared" ref="M26:M31" si="28">J26-K26</f>
        <v>-1.8075412665808326</v>
      </c>
      <c r="N26" s="25">
        <f t="shared" ref="N26:N31" si="29">M26/L26</f>
        <v>-0.3245265478539151</v>
      </c>
      <c r="P26" s="40">
        <v>45517</v>
      </c>
      <c r="Q26" s="30">
        <v>624.79</v>
      </c>
      <c r="R26" s="30">
        <f t="shared" si="11"/>
        <v>624.81302083333367</v>
      </c>
      <c r="S26" s="30">
        <f t="shared" si="12"/>
        <v>0.34561205357717845</v>
      </c>
      <c r="T26" s="31">
        <f t="shared" si="23"/>
        <v>-2.3020833333703195E-2</v>
      </c>
      <c r="U26" s="30">
        <f t="shared" si="24"/>
        <v>-6.6608884428165427E-2</v>
      </c>
    </row>
    <row r="27" spans="1:33" x14ac:dyDescent="0.3">
      <c r="A27" s="14">
        <v>45563</v>
      </c>
      <c r="B27" s="4">
        <v>0.1</v>
      </c>
      <c r="C27" s="15">
        <f t="shared" si="25"/>
        <v>2.54</v>
      </c>
      <c r="D27" s="5">
        <f t="shared" si="3"/>
        <v>7.6726585365853648</v>
      </c>
      <c r="E27" s="5">
        <f t="shared" si="4"/>
        <v>9.8099577843376977</v>
      </c>
      <c r="F27" s="5">
        <f t="shared" si="26"/>
        <v>-5.1326585365853648</v>
      </c>
      <c r="G27" s="5">
        <f t="shared" si="27"/>
        <v>-0.52320903406740682</v>
      </c>
      <c r="I27" s="40">
        <v>45549</v>
      </c>
      <c r="J27" s="2">
        <v>2.34</v>
      </c>
      <c r="K27" s="25">
        <f t="shared" si="7"/>
        <v>6.0075412665808328</v>
      </c>
      <c r="L27" s="42">
        <f t="shared" si="8"/>
        <v>5.5697793555998789</v>
      </c>
      <c r="M27" s="42">
        <f t="shared" si="28"/>
        <v>-3.6675412665808329</v>
      </c>
      <c r="N27" s="25">
        <f t="shared" si="29"/>
        <v>-0.65847155379565836</v>
      </c>
      <c r="P27" s="40">
        <v>45549</v>
      </c>
      <c r="Q27" s="55">
        <v>624.78</v>
      </c>
      <c r="R27" s="30">
        <f t="shared" si="11"/>
        <v>624.81302083333367</v>
      </c>
      <c r="S27" s="30">
        <f t="shared" si="12"/>
        <v>0.34561205357717845</v>
      </c>
      <c r="T27" s="31">
        <f t="shared" si="23"/>
        <v>-3.30208333336941E-2</v>
      </c>
      <c r="U27" s="30">
        <f t="shared" si="24"/>
        <v>-9.5543060468868263E-2</v>
      </c>
    </row>
    <row r="28" spans="1:33" x14ac:dyDescent="0.3">
      <c r="A28" s="14">
        <v>45594</v>
      </c>
      <c r="B28" s="4">
        <v>0.09</v>
      </c>
      <c r="C28" s="15">
        <f t="shared" ref="C28:C33" si="30">B28*$H$3</f>
        <v>2.2859999999999996</v>
      </c>
      <c r="D28" s="5">
        <f t="shared" si="3"/>
        <v>7.6726585365853648</v>
      </c>
      <c r="E28" s="5">
        <f t="shared" si="4"/>
        <v>9.8099577843376977</v>
      </c>
      <c r="F28" s="5">
        <f t="shared" ref="F28" si="31">C28-D28</f>
        <v>-5.3866585365853652</v>
      </c>
      <c r="G28" s="5">
        <f t="shared" ref="G28" si="32">F28/E28</f>
        <v>-0.54910109248232974</v>
      </c>
      <c r="H28" s="59" t="s">
        <v>29</v>
      </c>
      <c r="I28" s="40">
        <v>45580</v>
      </c>
      <c r="J28" s="2">
        <v>2.7549999999999999</v>
      </c>
      <c r="K28" s="25">
        <f t="shared" si="7"/>
        <v>6.0075412665808328</v>
      </c>
      <c r="L28" s="42">
        <f t="shared" si="8"/>
        <v>5.5697793555998789</v>
      </c>
      <c r="M28" s="42">
        <f t="shared" si="28"/>
        <v>-3.2525412665808329</v>
      </c>
      <c r="N28" s="25">
        <f t="shared" si="29"/>
        <v>-0.58396231859897907</v>
      </c>
      <c r="O28" s="59" t="s">
        <v>29</v>
      </c>
      <c r="P28" s="91">
        <v>45566</v>
      </c>
      <c r="Q28" s="76">
        <v>624.76</v>
      </c>
      <c r="R28" s="30">
        <f t="shared" si="11"/>
        <v>624.81302083333367</v>
      </c>
      <c r="S28" s="30">
        <f t="shared" si="12"/>
        <v>0.34561205357717845</v>
      </c>
      <c r="T28" s="31">
        <f t="shared" si="23"/>
        <v>-5.302083333367591E-2</v>
      </c>
      <c r="U28" s="30">
        <f t="shared" si="24"/>
        <v>-0.15341141255027396</v>
      </c>
    </row>
    <row r="29" spans="1:33" x14ac:dyDescent="0.3">
      <c r="A29" s="14">
        <v>45626</v>
      </c>
      <c r="B29" s="4">
        <v>0.22</v>
      </c>
      <c r="C29" s="15">
        <f t="shared" si="30"/>
        <v>5.5880000000000001</v>
      </c>
      <c r="D29" s="5">
        <f t="shared" si="3"/>
        <v>7.6726585365853648</v>
      </c>
      <c r="E29" s="5">
        <f t="shared" si="4"/>
        <v>9.8099577843376977</v>
      </c>
      <c r="F29" s="5">
        <f t="shared" ref="F29" si="33">C29-D29</f>
        <v>-2.0846585365853647</v>
      </c>
      <c r="G29" s="5">
        <f t="shared" ref="G29" si="34">F29/E29</f>
        <v>-0.21250433308833111</v>
      </c>
      <c r="I29" s="40">
        <v>45612</v>
      </c>
      <c r="J29" s="2">
        <v>2.83</v>
      </c>
      <c r="K29" s="25">
        <f t="shared" si="7"/>
        <v>6.0075412665808328</v>
      </c>
      <c r="L29" s="42">
        <f t="shared" si="8"/>
        <v>5.5697793555998789</v>
      </c>
      <c r="M29" s="42">
        <f t="shared" si="28"/>
        <v>-3.1775412665808327</v>
      </c>
      <c r="N29" s="25">
        <f t="shared" si="29"/>
        <v>-0.5704967941658442</v>
      </c>
      <c r="P29" s="91">
        <v>45598</v>
      </c>
      <c r="Q29" s="76">
        <v>624.79</v>
      </c>
      <c r="R29" s="30">
        <f t="shared" si="11"/>
        <v>624.81302083333367</v>
      </c>
      <c r="S29" s="30">
        <f t="shared" si="12"/>
        <v>0.34561205357717845</v>
      </c>
      <c r="T29" s="31">
        <f t="shared" si="23"/>
        <v>-2.3020833333703195E-2</v>
      </c>
      <c r="U29" s="30">
        <f t="shared" si="24"/>
        <v>-6.6608884428165427E-2</v>
      </c>
    </row>
    <row r="30" spans="1:33" x14ac:dyDescent="0.3">
      <c r="A30" s="14">
        <v>45627</v>
      </c>
      <c r="B30" s="4">
        <v>0.35</v>
      </c>
      <c r="C30" s="15">
        <f t="shared" si="30"/>
        <v>8.8899999999999988</v>
      </c>
      <c r="D30" s="5">
        <f t="shared" si="3"/>
        <v>7.6726585365853648</v>
      </c>
      <c r="E30" s="5">
        <f t="shared" si="4"/>
        <v>9.8099577843376977</v>
      </c>
      <c r="F30" s="5">
        <f t="shared" ref="F30" si="35">C30-D30</f>
        <v>1.217341463414634</v>
      </c>
      <c r="G30" s="5">
        <f t="shared" ref="G30" si="36">F30/E30</f>
        <v>0.1240924263056674</v>
      </c>
      <c r="I30" s="40">
        <v>45643</v>
      </c>
      <c r="J30" s="2">
        <v>2.8940000000000001</v>
      </c>
      <c r="K30" s="25">
        <f t="shared" si="7"/>
        <v>6.0075412665808328</v>
      </c>
      <c r="L30" s="42">
        <f t="shared" si="8"/>
        <v>5.5697793555998789</v>
      </c>
      <c r="M30" s="42">
        <f t="shared" si="28"/>
        <v>-3.1135412665808326</v>
      </c>
      <c r="N30" s="25">
        <f t="shared" si="29"/>
        <v>-0.5590062133162359</v>
      </c>
      <c r="P30" s="91">
        <v>45629</v>
      </c>
      <c r="Q30" s="76">
        <v>624.67999999999995</v>
      </c>
      <c r="R30" s="30">
        <f t="shared" si="11"/>
        <v>624.81302083333367</v>
      </c>
      <c r="S30" s="30">
        <f t="shared" si="12"/>
        <v>0.34561205357717845</v>
      </c>
      <c r="T30" s="31">
        <f t="shared" si="23"/>
        <v>-0.13302083333371684</v>
      </c>
      <c r="U30" s="30">
        <f t="shared" si="24"/>
        <v>-0.38488482087622566</v>
      </c>
    </row>
    <row r="31" spans="1:33" x14ac:dyDescent="0.3">
      <c r="A31" s="14">
        <v>45659</v>
      </c>
      <c r="B31" s="4">
        <v>0.77</v>
      </c>
      <c r="C31" s="15">
        <f t="shared" si="30"/>
        <v>19.558</v>
      </c>
      <c r="D31" s="5">
        <f t="shared" si="3"/>
        <v>7.6726585365853648</v>
      </c>
      <c r="E31" s="5">
        <f t="shared" si="4"/>
        <v>9.8099577843376977</v>
      </c>
      <c r="F31" s="5">
        <f t="shared" ref="F31" si="37">C31-D31</f>
        <v>11.885341463414635</v>
      </c>
      <c r="G31" s="5">
        <f t="shared" ref="G31" si="38">F31/E31</f>
        <v>1.2115588797324324</v>
      </c>
      <c r="I31" s="40">
        <v>45674</v>
      </c>
      <c r="J31" s="2">
        <v>3.37</v>
      </c>
      <c r="K31" s="25">
        <f t="shared" si="7"/>
        <v>6.0075412665808328</v>
      </c>
      <c r="L31" s="42">
        <f t="shared" si="8"/>
        <v>5.5697793555998789</v>
      </c>
      <c r="M31" s="42">
        <f t="shared" si="28"/>
        <v>-2.6375412665808327</v>
      </c>
      <c r="N31" s="25">
        <f t="shared" si="29"/>
        <v>-0.47354501824727363</v>
      </c>
      <c r="P31" s="91">
        <v>45668</v>
      </c>
      <c r="Q31" s="76">
        <v>624.80999999999995</v>
      </c>
      <c r="R31" s="30">
        <f t="shared" si="11"/>
        <v>624.81302083333367</v>
      </c>
      <c r="S31" s="30">
        <f t="shared" si="12"/>
        <v>0.34561205357717845</v>
      </c>
      <c r="T31" s="31">
        <f t="shared" ref="T31" si="39">Q31-R31</f>
        <v>-3.0208333337213844E-3</v>
      </c>
      <c r="U31" s="30">
        <f t="shared" ref="U31" si="40">T31/S31</f>
        <v>-8.7405323467597273E-3</v>
      </c>
    </row>
    <row r="32" spans="1:33" x14ac:dyDescent="0.3">
      <c r="A32" s="14">
        <v>45691</v>
      </c>
      <c r="B32" s="4">
        <v>0.51</v>
      </c>
      <c r="C32" s="15">
        <f t="shared" si="30"/>
        <v>12.953999999999999</v>
      </c>
      <c r="D32" s="5">
        <f t="shared" si="3"/>
        <v>7.6726585365853648</v>
      </c>
      <c r="E32" s="5">
        <f t="shared" si="4"/>
        <v>9.8099577843376977</v>
      </c>
      <c r="F32" s="5">
        <f t="shared" ref="F32" si="41">C32-D32</f>
        <v>5.2813414634146341</v>
      </c>
      <c r="G32" s="5">
        <f t="shared" ref="G32" si="42">F32/E32</f>
        <v>0.53836536094443499</v>
      </c>
      <c r="I32" s="40">
        <v>45689</v>
      </c>
      <c r="J32" s="2">
        <v>4.26</v>
      </c>
      <c r="K32" s="25">
        <f t="shared" si="7"/>
        <v>6.0075412665808328</v>
      </c>
      <c r="L32" s="42">
        <f t="shared" si="8"/>
        <v>5.5697793555998789</v>
      </c>
      <c r="M32" s="42">
        <f t="shared" ref="M32:M33" si="43">J32-K32</f>
        <v>-1.747541266580833</v>
      </c>
      <c r="N32" s="25">
        <f t="shared" ref="N32:N33" si="44">M32/L32</f>
        <v>-0.31375412830740734</v>
      </c>
      <c r="P32" s="91">
        <v>45689</v>
      </c>
      <c r="Q32" s="76">
        <v>624.97</v>
      </c>
      <c r="R32" s="30">
        <f t="shared" si="11"/>
        <v>624.81302083333367</v>
      </c>
      <c r="S32" s="30">
        <f t="shared" si="12"/>
        <v>0.34561205357717845</v>
      </c>
      <c r="T32" s="31">
        <f t="shared" ref="T32" si="45">Q32-R32</f>
        <v>0.15697916666636047</v>
      </c>
      <c r="U32" s="30">
        <f t="shared" ref="U32" si="46">T32/S32</f>
        <v>0.4542062843051437</v>
      </c>
    </row>
    <row r="33" spans="1:21" x14ac:dyDescent="0.3">
      <c r="A33" s="14">
        <v>45720</v>
      </c>
      <c r="B33" s="4">
        <v>0.02</v>
      </c>
      <c r="C33" s="15">
        <f t="shared" si="30"/>
        <v>0.50800000000000001</v>
      </c>
      <c r="D33" s="5">
        <f t="shared" si="3"/>
        <v>7.6726585365853648</v>
      </c>
      <c r="E33" s="5">
        <f t="shared" si="4"/>
        <v>9.8099577843376977</v>
      </c>
      <c r="F33" s="5">
        <f t="shared" ref="F33" si="47">C33-D33</f>
        <v>-7.1646585365853648</v>
      </c>
      <c r="G33" s="5">
        <f t="shared" ref="G33" si="48">F33/E33</f>
        <v>-0.73034550138679055</v>
      </c>
      <c r="I33" s="40">
        <v>45717</v>
      </c>
      <c r="J33" s="2">
        <v>5.26</v>
      </c>
      <c r="K33" s="25">
        <f t="shared" si="7"/>
        <v>6.0075412665808328</v>
      </c>
      <c r="L33" s="42">
        <f t="shared" si="8"/>
        <v>5.5697793555998789</v>
      </c>
      <c r="M33" s="42">
        <f t="shared" si="43"/>
        <v>-0.74754126658083297</v>
      </c>
      <c r="N33" s="25">
        <f t="shared" si="44"/>
        <v>-0.1342138025322766</v>
      </c>
      <c r="P33" s="91">
        <v>45718</v>
      </c>
      <c r="Q33" s="76">
        <v>624.89</v>
      </c>
      <c r="R33" s="30">
        <f t="shared" si="11"/>
        <v>624.81302083333367</v>
      </c>
      <c r="S33" s="30">
        <f t="shared" si="12"/>
        <v>0.34561205357717845</v>
      </c>
      <c r="T33" s="31">
        <f t="shared" ref="T33" si="49">Q33-R33</f>
        <v>7.6979166666319543E-2</v>
      </c>
      <c r="U33" s="30">
        <f t="shared" ref="U33" si="50">T33/S33</f>
        <v>0.22273287597919197</v>
      </c>
    </row>
    <row r="34" spans="1:21" x14ac:dyDescent="0.3">
      <c r="A34" s="14">
        <v>45752</v>
      </c>
      <c r="B34" s="4">
        <v>0.59</v>
      </c>
      <c r="C34" s="15">
        <f t="shared" ref="C34:C35" si="51">B34*$H$3</f>
        <v>14.985999999999999</v>
      </c>
      <c r="D34" s="5">
        <f t="shared" si="3"/>
        <v>7.6726585365853648</v>
      </c>
      <c r="E34" s="5">
        <f t="shared" si="4"/>
        <v>9.8099577843376977</v>
      </c>
      <c r="F34" s="5">
        <f t="shared" ref="F34" si="52">C34-D34</f>
        <v>7.3133414634146341</v>
      </c>
      <c r="G34" s="5">
        <f t="shared" ref="G34" si="53">F34/E34</f>
        <v>0.74550182826381872</v>
      </c>
      <c r="I34" s="40">
        <v>45749</v>
      </c>
      <c r="J34" s="2">
        <v>5.75</v>
      </c>
      <c r="K34" s="25">
        <f t="shared" si="7"/>
        <v>6.0075412665808328</v>
      </c>
      <c r="L34" s="42">
        <f t="shared" si="8"/>
        <v>5.5697793555998789</v>
      </c>
      <c r="M34" s="42">
        <f t="shared" ref="M34" si="54">J34-K34</f>
        <v>-0.25754126658083276</v>
      </c>
      <c r="N34" s="25">
        <f t="shared" ref="N34" si="55">M34/L34</f>
        <v>-4.6239042902462502E-2</v>
      </c>
      <c r="P34" s="91">
        <v>45750</v>
      </c>
      <c r="Q34" s="76">
        <f>AVERAGE(Q32:Q33)</f>
        <v>624.93000000000006</v>
      </c>
      <c r="R34" s="30">
        <f t="shared" si="11"/>
        <v>624.81302083333367</v>
      </c>
      <c r="S34" s="30">
        <f t="shared" si="12"/>
        <v>0.34561205357717845</v>
      </c>
      <c r="T34" s="31">
        <f t="shared" ref="T34" si="56">Q34-R34</f>
        <v>0.11697916666639685</v>
      </c>
      <c r="U34" s="30">
        <f t="shared" ref="U34" si="57">T34/S34</f>
        <v>0.3384695801423323</v>
      </c>
    </row>
    <row r="35" spans="1:21" x14ac:dyDescent="0.3">
      <c r="A35" s="14">
        <v>45783</v>
      </c>
      <c r="B35" s="4">
        <v>0.04</v>
      </c>
      <c r="C35" s="4">
        <f t="shared" si="51"/>
        <v>1.016</v>
      </c>
      <c r="D35" s="5">
        <f t="shared" si="3"/>
        <v>7.6726585365853648</v>
      </c>
      <c r="E35" s="5">
        <f t="shared" si="4"/>
        <v>9.8099577843376977</v>
      </c>
      <c r="F35" s="5">
        <f t="shared" ref="F35" si="58">C35-D35</f>
        <v>-6.6566585365853648</v>
      </c>
      <c r="G35" s="5">
        <f t="shared" ref="G35" si="59">F35/E35</f>
        <v>-0.67856138455694459</v>
      </c>
      <c r="I35" s="40">
        <v>45780</v>
      </c>
      <c r="J35" s="2">
        <v>5.37</v>
      </c>
      <c r="K35" s="25">
        <f t="shared" si="7"/>
        <v>6.0075412665808328</v>
      </c>
      <c r="L35" s="42">
        <f t="shared" si="8"/>
        <v>5.5697793555998789</v>
      </c>
      <c r="M35" s="42">
        <f t="shared" ref="M35" si="60">J35-K35</f>
        <v>-0.63754126658083266</v>
      </c>
      <c r="N35" s="25">
        <f t="shared" ref="N35" si="61">M35/L35</f>
        <v>-0.11446436669701217</v>
      </c>
      <c r="P35" s="91">
        <v>45781</v>
      </c>
      <c r="Q35" s="76">
        <v>624.95000000000005</v>
      </c>
      <c r="R35" s="30">
        <f t="shared" si="11"/>
        <v>624.81302083333367</v>
      </c>
      <c r="S35" s="30">
        <f t="shared" si="12"/>
        <v>0.34561205357717845</v>
      </c>
      <c r="T35" s="31">
        <f t="shared" ref="T35" si="62">Q35-R35</f>
        <v>0.13697916666637866</v>
      </c>
      <c r="U35" s="30">
        <f t="shared" ref="U35" si="63">T35/S35</f>
        <v>0.39633793222373803</v>
      </c>
    </row>
    <row r="36" spans="1:21" x14ac:dyDescent="0.3">
      <c r="A36" s="14">
        <v>45815</v>
      </c>
      <c r="B36" s="4">
        <v>0.11</v>
      </c>
      <c r="C36" s="4">
        <f t="shared" ref="C36" si="64">B36*$H$3</f>
        <v>2.794</v>
      </c>
      <c r="D36" s="5">
        <f t="shared" si="3"/>
        <v>7.6726585365853648</v>
      </c>
      <c r="E36" s="5">
        <f t="shared" si="4"/>
        <v>9.8099577843376977</v>
      </c>
      <c r="F36" s="5">
        <f t="shared" ref="F36" si="65">C36-D36</f>
        <v>-4.8786585365853643</v>
      </c>
      <c r="G36" s="5">
        <f t="shared" ref="G36" si="66">F36/E36</f>
        <v>-0.49731697565248373</v>
      </c>
      <c r="I36" s="40">
        <v>45809</v>
      </c>
      <c r="J36" s="2">
        <v>4.4370000000000003</v>
      </c>
      <c r="K36" s="25">
        <f t="shared" si="7"/>
        <v>6.0075412665808328</v>
      </c>
      <c r="L36" s="42">
        <f t="shared" si="8"/>
        <v>5.5697793555998789</v>
      </c>
      <c r="M36" s="42">
        <f t="shared" ref="M36:M41" si="67">J36-K36</f>
        <v>-1.5705412665808325</v>
      </c>
      <c r="N36" s="25">
        <f t="shared" ref="N36:N41" si="68">M36/L36</f>
        <v>-0.2819754906452091</v>
      </c>
      <c r="P36" s="91">
        <v>45809</v>
      </c>
      <c r="Q36" s="76">
        <v>624.88</v>
      </c>
      <c r="R36" s="30">
        <f t="shared" si="11"/>
        <v>624.81302083333367</v>
      </c>
      <c r="S36" s="30">
        <f t="shared" si="12"/>
        <v>0.34561205357717845</v>
      </c>
      <c r="T36" s="31">
        <f t="shared" ref="T36:T41" si="69">Q36-R36</f>
        <v>6.6979166666328638E-2</v>
      </c>
      <c r="U36" s="30">
        <f t="shared" ref="U36:U41" si="70">T36/S36</f>
        <v>0.19379869993848914</v>
      </c>
    </row>
    <row r="37" spans="1:21" x14ac:dyDescent="0.3">
      <c r="A37" s="14">
        <v>45846</v>
      </c>
      <c r="B37" s="4">
        <v>7.0000000000000007E-2</v>
      </c>
      <c r="C37" s="4">
        <f t="shared" ref="C37" si="71">B37*$H$3</f>
        <v>1.778</v>
      </c>
      <c r="D37" s="5">
        <f t="shared" si="3"/>
        <v>7.6726585365853648</v>
      </c>
      <c r="E37" s="5">
        <f t="shared" si="4"/>
        <v>9.8099577843376977</v>
      </c>
      <c r="F37" s="5">
        <f t="shared" ref="F37" si="72">C37-D37</f>
        <v>-5.8946585365853643</v>
      </c>
      <c r="G37" s="5">
        <f t="shared" ref="G37" si="73">F37/E37</f>
        <v>-0.60088520931217559</v>
      </c>
      <c r="I37" s="40">
        <v>45839</v>
      </c>
      <c r="J37" s="2">
        <v>3.57</v>
      </c>
      <c r="K37" s="25">
        <f t="shared" si="7"/>
        <v>6.0075412665808328</v>
      </c>
      <c r="L37" s="42">
        <f t="shared" si="8"/>
        <v>5.5697793555998789</v>
      </c>
      <c r="M37" s="42">
        <f t="shared" si="67"/>
        <v>-2.4375412665808329</v>
      </c>
      <c r="N37" s="25">
        <f t="shared" si="68"/>
        <v>-0.43763695309224754</v>
      </c>
      <c r="P37" s="91">
        <v>45839</v>
      </c>
      <c r="Q37" s="76">
        <v>624.88</v>
      </c>
      <c r="R37" s="30">
        <f t="shared" si="11"/>
        <v>624.81302083333367</v>
      </c>
      <c r="S37" s="30">
        <f t="shared" si="12"/>
        <v>0.34561205357717845</v>
      </c>
      <c r="T37" s="31">
        <f t="shared" si="69"/>
        <v>6.6979166666328638E-2</v>
      </c>
      <c r="U37" s="30">
        <f t="shared" si="70"/>
        <v>0.19379869993848914</v>
      </c>
    </row>
    <row r="38" spans="1:21" x14ac:dyDescent="0.3">
      <c r="A38" s="14">
        <v>45878</v>
      </c>
      <c r="B38" s="4">
        <v>0.36</v>
      </c>
      <c r="C38" s="4">
        <f t="shared" ref="C38:C43" si="74">B38*$H$3</f>
        <v>9.1439999999999984</v>
      </c>
      <c r="D38" s="5">
        <f t="shared" si="3"/>
        <v>7.6726585365853648</v>
      </c>
      <c r="E38" s="5">
        <f t="shared" si="4"/>
        <v>9.8099577843376977</v>
      </c>
      <c r="F38" s="5">
        <f t="shared" ref="F38" si="75">C38-D38</f>
        <v>1.4713414634146336</v>
      </c>
      <c r="G38" s="5">
        <f t="shared" ref="G38" si="76">F38/E38</f>
        <v>0.14998448472059034</v>
      </c>
      <c r="I38" s="40">
        <v>45870</v>
      </c>
      <c r="J38" s="2">
        <v>1.83</v>
      </c>
      <c r="K38" s="25">
        <f t="shared" si="7"/>
        <v>6.0075412665808328</v>
      </c>
      <c r="L38" s="42">
        <f t="shared" si="8"/>
        <v>5.5697793555998789</v>
      </c>
      <c r="M38" s="42">
        <f t="shared" si="67"/>
        <v>-4.1775412665808327</v>
      </c>
      <c r="N38" s="25">
        <f t="shared" si="68"/>
        <v>-0.75003711994097499</v>
      </c>
      <c r="P38" s="91">
        <v>45870</v>
      </c>
      <c r="Q38" s="76">
        <v>624.69000000000005</v>
      </c>
      <c r="R38" s="30">
        <f t="shared" si="11"/>
        <v>624.81302083333367</v>
      </c>
      <c r="S38" s="30">
        <f t="shared" si="12"/>
        <v>0.34561205357717845</v>
      </c>
      <c r="T38" s="31">
        <f t="shared" si="69"/>
        <v>-0.12302083333361225</v>
      </c>
      <c r="U38" s="30">
        <f t="shared" si="70"/>
        <v>-0.3559506448351939</v>
      </c>
    </row>
    <row r="39" spans="1:21" x14ac:dyDescent="0.3">
      <c r="A39" s="14">
        <v>45910</v>
      </c>
      <c r="B39" s="4">
        <v>-0.14000000000000001</v>
      </c>
      <c r="C39" s="4">
        <f t="shared" si="74"/>
        <v>-3.556</v>
      </c>
      <c r="D39" s="5">
        <f t="shared" si="3"/>
        <v>7.6726585365853648</v>
      </c>
      <c r="E39" s="5">
        <f t="shared" si="4"/>
        <v>9.8099577843376977</v>
      </c>
      <c r="F39" s="5">
        <f t="shared" ref="F39" si="77">C39-D39</f>
        <v>-11.228658536585364</v>
      </c>
      <c r="G39" s="5">
        <f t="shared" ref="G39" si="78">F39/E39</f>
        <v>-1.144618436025558</v>
      </c>
      <c r="I39" s="40">
        <v>45901</v>
      </c>
      <c r="J39" s="2">
        <v>0.91</v>
      </c>
      <c r="K39" s="25">
        <f t="shared" si="7"/>
        <v>6.0075412665808328</v>
      </c>
      <c r="L39" s="42">
        <f t="shared" si="8"/>
        <v>5.5697793555998789</v>
      </c>
      <c r="M39" s="42">
        <f t="shared" si="67"/>
        <v>-5.0975412665808326</v>
      </c>
      <c r="N39" s="25">
        <f t="shared" si="68"/>
        <v>-0.91521421965409522</v>
      </c>
      <c r="P39" s="91">
        <v>45901</v>
      </c>
      <c r="Q39" s="101">
        <v>624.61</v>
      </c>
      <c r="R39" s="30">
        <f t="shared" si="11"/>
        <v>624.81302083333367</v>
      </c>
      <c r="S39" s="30">
        <f t="shared" si="12"/>
        <v>0.34561205357717845</v>
      </c>
      <c r="T39" s="31">
        <f t="shared" si="69"/>
        <v>-0.20302083333365317</v>
      </c>
      <c r="U39" s="30">
        <f t="shared" si="70"/>
        <v>-0.58742405316114554</v>
      </c>
    </row>
    <row r="40" spans="1:21" x14ac:dyDescent="0.3">
      <c r="A40" s="14">
        <v>45941</v>
      </c>
      <c r="B40" s="4">
        <v>0.06</v>
      </c>
      <c r="C40" s="4">
        <f t="shared" si="74"/>
        <v>1.5239999999999998</v>
      </c>
      <c r="D40" s="5">
        <f t="shared" si="3"/>
        <v>7.6726585365853648</v>
      </c>
      <c r="E40" s="5">
        <f t="shared" si="4"/>
        <v>9.8099577843376977</v>
      </c>
      <c r="F40" s="5">
        <f t="shared" ref="F40" si="79">C40-D40</f>
        <v>-6.1486585365853648</v>
      </c>
      <c r="G40" s="5">
        <f t="shared" ref="G40" si="80">F40/E40</f>
        <v>-0.62677726772709863</v>
      </c>
      <c r="I40" s="40">
        <v>45931</v>
      </c>
      <c r="J40" s="2">
        <v>1.35</v>
      </c>
      <c r="K40" s="25">
        <f t="shared" si="7"/>
        <v>6.0075412665808328</v>
      </c>
      <c r="L40" s="42">
        <f t="shared" si="8"/>
        <v>5.5697793555998789</v>
      </c>
      <c r="M40" s="42">
        <f t="shared" si="67"/>
        <v>-4.6575412665808322</v>
      </c>
      <c r="N40" s="25">
        <f t="shared" si="68"/>
        <v>-0.83621647631303764</v>
      </c>
      <c r="P40" s="91">
        <v>45931</v>
      </c>
      <c r="Q40" s="101">
        <v>624.67999999999995</v>
      </c>
      <c r="R40" s="30">
        <f t="shared" si="11"/>
        <v>624.81302083333367</v>
      </c>
      <c r="S40" s="30">
        <f t="shared" si="12"/>
        <v>0.34561205357717845</v>
      </c>
      <c r="T40" s="31">
        <f t="shared" si="69"/>
        <v>-0.13302083333371684</v>
      </c>
      <c r="U40" s="30">
        <f t="shared" si="70"/>
        <v>-0.38488482087622566</v>
      </c>
    </row>
    <row r="41" spans="1:21" x14ac:dyDescent="0.3">
      <c r="A41" s="14">
        <v>45973</v>
      </c>
      <c r="B41" s="4">
        <v>0.43</v>
      </c>
      <c r="C41" s="4">
        <f t="shared" si="74"/>
        <v>10.921999999999999</v>
      </c>
      <c r="D41" s="5">
        <f t="shared" si="3"/>
        <v>7.6726585365853648</v>
      </c>
      <c r="E41" s="5">
        <f t="shared" si="4"/>
        <v>9.8099577843376977</v>
      </c>
      <c r="F41" s="5">
        <f t="shared" ref="F41" si="81">C41-D41</f>
        <v>3.249341463414634</v>
      </c>
      <c r="G41" s="5">
        <f t="shared" ref="G41" si="82">F41/E41</f>
        <v>0.3312288936250512</v>
      </c>
      <c r="I41" s="40">
        <v>45962</v>
      </c>
      <c r="J41" s="2">
        <v>1.66</v>
      </c>
      <c r="K41" s="25">
        <f t="shared" si="7"/>
        <v>6.0075412665808328</v>
      </c>
      <c r="L41" s="42">
        <f t="shared" si="8"/>
        <v>5.5697793555998789</v>
      </c>
      <c r="M41" s="42">
        <f t="shared" si="67"/>
        <v>-4.3475412665808326</v>
      </c>
      <c r="N41" s="25">
        <f t="shared" si="68"/>
        <v>-0.78055897532274721</v>
      </c>
      <c r="P41" s="91">
        <v>45962</v>
      </c>
      <c r="Q41" s="101">
        <v>624.57000000000005</v>
      </c>
      <c r="R41" s="30">
        <f t="shared" si="11"/>
        <v>624.81302083333367</v>
      </c>
      <c r="S41" s="30">
        <f t="shared" si="12"/>
        <v>0.34561205357717845</v>
      </c>
      <c r="T41" s="31">
        <f t="shared" si="69"/>
        <v>-0.24302083333361679</v>
      </c>
      <c r="U41" s="30">
        <f t="shared" si="70"/>
        <v>-0.703160757323957</v>
      </c>
    </row>
    <row r="42" spans="1:21" x14ac:dyDescent="0.3">
      <c r="A42" s="14">
        <v>46004</v>
      </c>
      <c r="B42" s="4">
        <v>1.41</v>
      </c>
      <c r="C42" s="4">
        <f t="shared" si="74"/>
        <v>35.813999999999993</v>
      </c>
      <c r="D42" s="5">
        <f t="shared" si="3"/>
        <v>7.6726585365853648</v>
      </c>
      <c r="E42" s="5">
        <f t="shared" si="4"/>
        <v>9.8099577843376977</v>
      </c>
      <c r="F42" s="5">
        <f t="shared" ref="F42" si="83">C42-D42</f>
        <v>28.141341463414626</v>
      </c>
      <c r="G42" s="5">
        <f t="shared" ref="G42" si="84">F42/E42</f>
        <v>2.8686506182875018</v>
      </c>
      <c r="I42" s="40">
        <v>45992</v>
      </c>
      <c r="J42" s="2">
        <v>3.2999000000000001</v>
      </c>
      <c r="K42" s="25">
        <f t="shared" si="7"/>
        <v>6.0075412665808328</v>
      </c>
      <c r="L42" s="42">
        <f t="shared" si="8"/>
        <v>5.5697793555998789</v>
      </c>
      <c r="M42" s="42">
        <f t="shared" ref="M42" si="85">J42-K42</f>
        <v>-2.7076412665808327</v>
      </c>
      <c r="N42" s="25">
        <f t="shared" ref="N42" si="86">M42/L42</f>
        <v>-0.48613079508411033</v>
      </c>
      <c r="P42" s="91">
        <v>45992</v>
      </c>
      <c r="Q42" s="101">
        <v>624.63</v>
      </c>
      <c r="R42" s="30">
        <f t="shared" si="11"/>
        <v>624.81302083333367</v>
      </c>
      <c r="S42" s="30">
        <f t="shared" si="12"/>
        <v>0.34561205357717845</v>
      </c>
      <c r="T42" s="31">
        <f t="shared" ref="T42" si="87">Q42-R42</f>
        <v>-0.18302083333367136</v>
      </c>
      <c r="U42" s="30">
        <f t="shared" ref="U42" si="88">T42/S42</f>
        <v>-0.52955570107973993</v>
      </c>
    </row>
    <row r="43" spans="1:21" x14ac:dyDescent="0.3">
      <c r="A43" s="14">
        <v>45671</v>
      </c>
      <c r="B43" s="4">
        <v>0.35</v>
      </c>
      <c r="C43" s="4">
        <f t="shared" si="74"/>
        <v>8.8899999999999988</v>
      </c>
      <c r="D43" s="5">
        <f t="shared" si="3"/>
        <v>7.6726585365853648</v>
      </c>
      <c r="E43" s="5">
        <f t="shared" si="4"/>
        <v>9.8099577843376977</v>
      </c>
      <c r="F43" s="5">
        <f t="shared" ref="F43" si="89">C43-D43</f>
        <v>1.217341463414634</v>
      </c>
      <c r="G43" s="5">
        <f t="shared" ref="G43" si="90">F43/E43</f>
        <v>0.1240924263056674</v>
      </c>
      <c r="I43" s="40">
        <v>46023</v>
      </c>
      <c r="J43" s="2">
        <v>8.6430000000000007</v>
      </c>
      <c r="K43" s="25">
        <f t="shared" si="7"/>
        <v>6.0075412665808328</v>
      </c>
      <c r="L43" s="42">
        <f t="shared" si="8"/>
        <v>5.5697793555998789</v>
      </c>
      <c r="M43" s="42">
        <f t="shared" ref="M43:M44" si="91">J43-K43</f>
        <v>2.6354587334191679</v>
      </c>
      <c r="N43" s="25">
        <f t="shared" ref="N43:N44" si="92">M43/L43</f>
        <v>0.47317111956499086</v>
      </c>
      <c r="P43" s="91">
        <v>46023</v>
      </c>
      <c r="Q43" s="101">
        <v>625.15</v>
      </c>
      <c r="R43" s="30">
        <f t="shared" si="11"/>
        <v>624.81302083333367</v>
      </c>
      <c r="S43" s="30">
        <f t="shared" si="12"/>
        <v>0.34561205357717845</v>
      </c>
      <c r="T43" s="31">
        <f t="shared" ref="T43" si="93">Q43-R43</f>
        <v>0.33697916666631045</v>
      </c>
      <c r="U43" s="30">
        <f t="shared" ref="U43" si="94">T43/S43</f>
        <v>0.97502145303812393</v>
      </c>
    </row>
    <row r="44" spans="1:21" x14ac:dyDescent="0.3">
      <c r="A44" s="14">
        <v>45703</v>
      </c>
      <c r="B44" s="4">
        <v>0.27</v>
      </c>
      <c r="C44" s="4">
        <f t="shared" ref="C44" si="95">B44*$H$3</f>
        <v>6.8579999999999997</v>
      </c>
      <c r="D44" s="5">
        <f t="shared" si="3"/>
        <v>7.6726585365853648</v>
      </c>
      <c r="E44" s="5">
        <f t="shared" si="4"/>
        <v>9.8099577843376977</v>
      </c>
      <c r="F44" s="5">
        <f t="shared" ref="F44" si="96">C44-D44</f>
        <v>-0.81465853658536513</v>
      </c>
      <c r="G44" s="5">
        <f t="shared" ref="G44" si="97">F44/E44</f>
        <v>-8.3044041013716291E-2</v>
      </c>
      <c r="I44" s="40">
        <v>46054</v>
      </c>
      <c r="J44" s="2">
        <v>8.6396999999999995</v>
      </c>
      <c r="K44" s="25">
        <f t="shared" si="7"/>
        <v>6.0075412665808328</v>
      </c>
      <c r="L44" s="42">
        <f t="shared" si="8"/>
        <v>5.5697793555998789</v>
      </c>
      <c r="M44" s="42">
        <f t="shared" si="91"/>
        <v>2.6321587334191667</v>
      </c>
      <c r="N44" s="25">
        <f t="shared" si="92"/>
        <v>0.4725786364899327</v>
      </c>
      <c r="P44" s="91">
        <v>46055</v>
      </c>
      <c r="Q44" s="101">
        <v>625.67999999999995</v>
      </c>
      <c r="R44" s="30">
        <f t="shared" si="11"/>
        <v>624.81302083333367</v>
      </c>
      <c r="S44" s="30">
        <f t="shared" si="12"/>
        <v>0.34561205357717845</v>
      </c>
      <c r="T44" s="31">
        <f t="shared" ref="T44:T47" si="98">Q44-R44</f>
        <v>0.86697916666628316</v>
      </c>
      <c r="U44" s="30">
        <f t="shared" ref="U44:U47" si="99">T44/S44</f>
        <v>2.5085327831966904</v>
      </c>
    </row>
    <row r="45" spans="1:21" x14ac:dyDescent="0.3">
      <c r="A45" s="14">
        <v>45732</v>
      </c>
      <c r="B45" s="4">
        <v>1.95</v>
      </c>
      <c r="C45" s="4">
        <f t="shared" ref="C45:C46" si="100">B45*$H$3</f>
        <v>49.529999999999994</v>
      </c>
      <c r="D45" s="5">
        <f t="shared" si="3"/>
        <v>7.6726585365853648</v>
      </c>
      <c r="E45" s="5">
        <f t="shared" si="4"/>
        <v>9.8099577843376977</v>
      </c>
      <c r="F45" s="5">
        <f t="shared" ref="F45" si="101">C45-D45</f>
        <v>41.857341463414627</v>
      </c>
      <c r="G45" s="5">
        <f t="shared" ref="G45" si="102">F45/E45</f>
        <v>4.2668217726933424</v>
      </c>
      <c r="I45" s="40">
        <v>46082</v>
      </c>
      <c r="J45" s="30">
        <v>7.8986999999999998</v>
      </c>
      <c r="K45" s="25">
        <f t="shared" si="7"/>
        <v>6.0075412665808328</v>
      </c>
      <c r="L45" s="42">
        <f t="shared" si="8"/>
        <v>5.5697793555998789</v>
      </c>
      <c r="M45" s="42">
        <f t="shared" ref="M45:M47" si="103">J45-K45</f>
        <v>1.8911587334191671</v>
      </c>
      <c r="N45" s="25">
        <f t="shared" ref="N45:N47" si="104">M45/L45</f>
        <v>0.33953925509056088</v>
      </c>
      <c r="P45" s="91">
        <v>46082</v>
      </c>
      <c r="Q45" s="101">
        <v>625.80999999999995</v>
      </c>
      <c r="R45" s="30">
        <f t="shared" si="11"/>
        <v>624.81302083333367</v>
      </c>
      <c r="S45" s="30">
        <f t="shared" si="12"/>
        <v>0.34561205357717845</v>
      </c>
      <c r="T45" s="31">
        <f t="shared" si="98"/>
        <v>0.99697916666627862</v>
      </c>
      <c r="U45" s="30">
        <f t="shared" si="99"/>
        <v>2.8846770717261565</v>
      </c>
    </row>
    <row r="46" spans="1:21" x14ac:dyDescent="0.3">
      <c r="A46" s="14">
        <v>45764</v>
      </c>
      <c r="B46" s="4">
        <v>0.96</v>
      </c>
      <c r="C46" s="4">
        <f t="shared" si="100"/>
        <v>24.383999999999997</v>
      </c>
      <c r="D46" s="5">
        <f t="shared" si="3"/>
        <v>7.6726585365853648</v>
      </c>
      <c r="E46" s="5">
        <f t="shared" si="4"/>
        <v>9.8099577843376977</v>
      </c>
      <c r="F46" s="5">
        <f t="shared" ref="F46" si="105">C46-D46</f>
        <v>16.711341463414634</v>
      </c>
      <c r="G46" s="5">
        <f t="shared" ref="G46" si="106">F46/E46</f>
        <v>1.7035079896159686</v>
      </c>
      <c r="I46" s="40">
        <v>46114</v>
      </c>
      <c r="J46" s="30">
        <v>11.6463333</v>
      </c>
      <c r="K46" s="25">
        <f t="shared" si="7"/>
        <v>6.0075412665808328</v>
      </c>
      <c r="L46" s="42">
        <f t="shared" si="8"/>
        <v>5.5697793555998789</v>
      </c>
      <c r="M46" s="42">
        <f t="shared" si="103"/>
        <v>5.6387920334191675</v>
      </c>
      <c r="N46" s="25">
        <f t="shared" si="104"/>
        <v>1.0123905586582893</v>
      </c>
      <c r="P46" s="91">
        <v>46114</v>
      </c>
      <c r="Q46" s="101">
        <v>625.55999999999995</v>
      </c>
      <c r="R46" s="30">
        <f t="shared" si="11"/>
        <v>624.81302083333367</v>
      </c>
      <c r="S46" s="30">
        <f t="shared" si="12"/>
        <v>0.34561205357717845</v>
      </c>
      <c r="T46" s="31">
        <f t="shared" si="98"/>
        <v>0.74697916666627862</v>
      </c>
      <c r="U46" s="30">
        <f t="shared" si="99"/>
        <v>2.1613226707079276</v>
      </c>
    </row>
    <row r="47" spans="1:21" x14ac:dyDescent="0.3">
      <c r="A47" s="14">
        <v>45795</v>
      </c>
      <c r="B47" s="4">
        <v>0.26</v>
      </c>
      <c r="C47" s="4">
        <f t="shared" ref="C47" si="107">B47*$H$3</f>
        <v>6.6040000000000001</v>
      </c>
      <c r="D47" s="5">
        <f t="shared" si="3"/>
        <v>7.6726585365853648</v>
      </c>
      <c r="E47" s="5">
        <f t="shared" si="4"/>
        <v>9.8099577843376977</v>
      </c>
      <c r="F47" s="5">
        <f t="shared" ref="F47" si="108">C47-D47</f>
        <v>-1.0686585365853647</v>
      </c>
      <c r="G47" s="5">
        <f t="shared" ref="G47" si="109">F47/E47</f>
        <v>-0.10893609942863922</v>
      </c>
      <c r="I47" s="40">
        <v>46145</v>
      </c>
      <c r="J47" s="30">
        <v>13.18774194</v>
      </c>
      <c r="K47" s="25">
        <f t="shared" si="7"/>
        <v>6.0075412665808328</v>
      </c>
      <c r="L47" s="42">
        <f t="shared" si="8"/>
        <v>5.5697793555998789</v>
      </c>
      <c r="M47" s="42">
        <f t="shared" si="103"/>
        <v>7.1802006734191677</v>
      </c>
      <c r="N47" s="25">
        <f t="shared" si="104"/>
        <v>1.2891355680364904</v>
      </c>
      <c r="P47" s="91">
        <v>46145</v>
      </c>
      <c r="Q47" s="101">
        <v>625.59</v>
      </c>
      <c r="R47" s="30">
        <f t="shared" si="11"/>
        <v>624.81302083333367</v>
      </c>
      <c r="S47" s="30">
        <f t="shared" si="12"/>
        <v>0.34561205357717845</v>
      </c>
      <c r="T47" s="31">
        <f t="shared" si="98"/>
        <v>0.77697916666636502</v>
      </c>
      <c r="U47" s="30">
        <f t="shared" si="99"/>
        <v>2.248125198830365</v>
      </c>
    </row>
    <row r="48" spans="1:21" x14ac:dyDescent="0.3">
      <c r="I48" s="24"/>
    </row>
    <row r="49" spans="9:9" x14ac:dyDescent="0.3">
      <c r="I49" s="24"/>
    </row>
    <row r="50" spans="9:9" x14ac:dyDescent="0.3">
      <c r="I50" s="24"/>
    </row>
    <row r="51" spans="9:9" x14ac:dyDescent="0.3">
      <c r="I51" s="24"/>
    </row>
    <row r="52" spans="9:9" x14ac:dyDescent="0.3">
      <c r="I52" s="24"/>
    </row>
    <row r="53" spans="9:9" x14ac:dyDescent="0.3">
      <c r="I53" s="24"/>
    </row>
    <row r="54" spans="9:9" x14ac:dyDescent="0.3">
      <c r="I54" s="24"/>
    </row>
    <row r="55" spans="9:9" x14ac:dyDescent="0.3">
      <c r="I55" s="24"/>
    </row>
    <row r="56" spans="9:9" x14ac:dyDescent="0.3">
      <c r="I56" s="24"/>
    </row>
    <row r="57" spans="9:9" x14ac:dyDescent="0.3">
      <c r="I57" s="24"/>
    </row>
    <row r="58" spans="9:9" x14ac:dyDescent="0.3">
      <c r="I58" s="24"/>
    </row>
    <row r="59" spans="9:9" x14ac:dyDescent="0.3">
      <c r="I59" s="24"/>
    </row>
    <row r="60" spans="9:9" x14ac:dyDescent="0.3">
      <c r="I60" s="24"/>
    </row>
    <row r="61" spans="9:9" x14ac:dyDescent="0.3">
      <c r="I61" s="24"/>
    </row>
    <row r="62" spans="9:9" x14ac:dyDescent="0.3">
      <c r="I62" s="24"/>
    </row>
    <row r="63" spans="9:9" x14ac:dyDescent="0.3">
      <c r="I63" s="24"/>
    </row>
    <row r="64" spans="9:9" x14ac:dyDescent="0.3">
      <c r="I64" s="24"/>
    </row>
    <row r="65" spans="9:9" x14ac:dyDescent="0.3">
      <c r="I65" s="24"/>
    </row>
    <row r="66" spans="9:9" x14ac:dyDescent="0.3">
      <c r="I66" s="24"/>
    </row>
    <row r="67" spans="9:9" x14ac:dyDescent="0.3">
      <c r="I67" s="24"/>
    </row>
    <row r="68" spans="9:9" x14ac:dyDescent="0.3">
      <c r="I68" s="24"/>
    </row>
    <row r="69" spans="9:9" x14ac:dyDescent="0.3">
      <c r="I69" s="24"/>
    </row>
    <row r="70" spans="9:9" x14ac:dyDescent="0.3">
      <c r="I70" s="24"/>
    </row>
    <row r="71" spans="9:9" x14ac:dyDescent="0.3">
      <c r="I71" s="24"/>
    </row>
    <row r="72" spans="9:9" x14ac:dyDescent="0.3">
      <c r="I72" s="24"/>
    </row>
    <row r="73" spans="9:9" x14ac:dyDescent="0.3">
      <c r="I73" s="24"/>
    </row>
    <row r="74" spans="9:9" x14ac:dyDescent="0.3">
      <c r="I74" s="24"/>
    </row>
    <row r="75" spans="9:9" x14ac:dyDescent="0.3">
      <c r="I75" s="24"/>
    </row>
    <row r="76" spans="9:9" x14ac:dyDescent="0.3">
      <c r="I76" s="24"/>
    </row>
    <row r="77" spans="9:9" x14ac:dyDescent="0.3">
      <c r="I77" s="24"/>
    </row>
    <row r="78" spans="9:9" x14ac:dyDescent="0.3">
      <c r="I78" s="24"/>
    </row>
    <row r="79" spans="9:9" x14ac:dyDescent="0.3">
      <c r="I79" s="24"/>
    </row>
    <row r="80" spans="9:9" x14ac:dyDescent="0.3">
      <c r="I80" s="24"/>
    </row>
    <row r="81" spans="9:9" x14ac:dyDescent="0.3">
      <c r="I81" s="24"/>
    </row>
    <row r="82" spans="9:9" x14ac:dyDescent="0.3">
      <c r="I82" s="24"/>
    </row>
    <row r="83" spans="9:9" x14ac:dyDescent="0.3">
      <c r="I83" s="24"/>
    </row>
    <row r="84" spans="9:9" x14ac:dyDescent="0.3">
      <c r="I84" s="24"/>
    </row>
    <row r="85" spans="9:9" x14ac:dyDescent="0.3">
      <c r="I85" s="24"/>
    </row>
    <row r="86" spans="9:9" x14ac:dyDescent="0.3">
      <c r="I86" s="24"/>
    </row>
    <row r="87" spans="9:9" x14ac:dyDescent="0.3">
      <c r="I87" s="24"/>
    </row>
    <row r="88" spans="9:9" x14ac:dyDescent="0.3">
      <c r="I88" s="24"/>
    </row>
    <row r="89" spans="9:9" x14ac:dyDescent="0.3">
      <c r="I89" s="24"/>
    </row>
    <row r="90" spans="9:9" x14ac:dyDescent="0.3">
      <c r="I90" s="24"/>
    </row>
    <row r="91" spans="9:9" x14ac:dyDescent="0.3">
      <c r="I91" s="24"/>
    </row>
    <row r="92" spans="9:9" x14ac:dyDescent="0.3">
      <c r="I92" s="24"/>
    </row>
    <row r="93" spans="9:9" x14ac:dyDescent="0.3">
      <c r="I93" s="24"/>
    </row>
    <row r="94" spans="9:9" x14ac:dyDescent="0.3">
      <c r="I94" s="24"/>
    </row>
    <row r="95" spans="9:9" x14ac:dyDescent="0.3">
      <c r="I95" s="24"/>
    </row>
    <row r="96" spans="9:9" x14ac:dyDescent="0.3">
      <c r="I96" s="24"/>
    </row>
    <row r="97" spans="9:9" x14ac:dyDescent="0.3">
      <c r="I97" s="24"/>
    </row>
    <row r="98" spans="9:9" x14ac:dyDescent="0.3">
      <c r="I98" s="24"/>
    </row>
    <row r="99" spans="9:9" x14ac:dyDescent="0.3">
      <c r="I99" s="24"/>
    </row>
    <row r="100" spans="9:9" x14ac:dyDescent="0.3">
      <c r="I100" s="24"/>
    </row>
    <row r="101" spans="9:9" x14ac:dyDescent="0.3">
      <c r="I101" s="24"/>
    </row>
    <row r="102" spans="9:9" x14ac:dyDescent="0.3">
      <c r="I102" s="24"/>
    </row>
    <row r="103" spans="9:9" x14ac:dyDescent="0.3">
      <c r="I103" s="24"/>
    </row>
    <row r="104" spans="9:9" x14ac:dyDescent="0.3">
      <c r="I104" s="24"/>
    </row>
    <row r="105" spans="9:9" x14ac:dyDescent="0.3">
      <c r="I105" s="24"/>
    </row>
    <row r="106" spans="9:9" x14ac:dyDescent="0.3">
      <c r="I106" s="24"/>
    </row>
    <row r="107" spans="9:9" x14ac:dyDescent="0.3">
      <c r="I107" s="24"/>
    </row>
    <row r="108" spans="9:9" x14ac:dyDescent="0.3">
      <c r="I108" s="24"/>
    </row>
    <row r="109" spans="9:9" x14ac:dyDescent="0.3">
      <c r="I109" s="24"/>
    </row>
    <row r="110" spans="9:9" x14ac:dyDescent="0.3">
      <c r="I110" s="24"/>
    </row>
    <row r="111" spans="9:9" x14ac:dyDescent="0.3">
      <c r="I111" s="24"/>
    </row>
    <row r="112" spans="9:9" x14ac:dyDescent="0.3">
      <c r="I112" s="24"/>
    </row>
    <row r="113" spans="9:9" x14ac:dyDescent="0.3">
      <c r="I113" s="24"/>
    </row>
    <row r="114" spans="9:9" x14ac:dyDescent="0.3">
      <c r="I114" s="24"/>
    </row>
    <row r="115" spans="9:9" x14ac:dyDescent="0.3">
      <c r="I115" s="24"/>
    </row>
    <row r="116" spans="9:9" x14ac:dyDescent="0.3">
      <c r="I116" s="24"/>
    </row>
    <row r="117" spans="9:9" x14ac:dyDescent="0.3">
      <c r="I117" s="24"/>
    </row>
    <row r="118" spans="9:9" x14ac:dyDescent="0.3">
      <c r="I118" s="24"/>
    </row>
    <row r="119" spans="9:9" x14ac:dyDescent="0.3">
      <c r="I119" s="24"/>
    </row>
    <row r="120" spans="9:9" x14ac:dyDescent="0.3">
      <c r="I120" s="24"/>
    </row>
    <row r="121" spans="9:9" x14ac:dyDescent="0.3">
      <c r="I121" s="24"/>
    </row>
    <row r="122" spans="9:9" x14ac:dyDescent="0.3">
      <c r="I122" s="24"/>
    </row>
    <row r="123" spans="9:9" x14ac:dyDescent="0.3">
      <c r="I123" s="24"/>
    </row>
    <row r="124" spans="9:9" x14ac:dyDescent="0.3">
      <c r="I124" s="24"/>
    </row>
    <row r="125" spans="9:9" x14ac:dyDescent="0.3">
      <c r="I125" s="24"/>
    </row>
    <row r="126" spans="9:9" x14ac:dyDescent="0.3">
      <c r="I126" s="24"/>
    </row>
    <row r="127" spans="9:9" x14ac:dyDescent="0.3">
      <c r="I127" s="24"/>
    </row>
    <row r="128" spans="9:9" x14ac:dyDescent="0.3">
      <c r="I128" s="24"/>
    </row>
    <row r="129" spans="9:9" x14ac:dyDescent="0.3">
      <c r="I129" s="24"/>
    </row>
    <row r="130" spans="9:9" x14ac:dyDescent="0.3">
      <c r="I130" s="24"/>
    </row>
    <row r="131" spans="9:9" x14ac:dyDescent="0.3">
      <c r="I131" s="24"/>
    </row>
    <row r="132" spans="9:9" x14ac:dyDescent="0.3">
      <c r="I132" s="24"/>
    </row>
    <row r="133" spans="9:9" x14ac:dyDescent="0.3">
      <c r="I133" s="24"/>
    </row>
    <row r="134" spans="9:9" x14ac:dyDescent="0.3">
      <c r="I134" s="24"/>
    </row>
    <row r="135" spans="9:9" x14ac:dyDescent="0.3">
      <c r="I135" s="24"/>
    </row>
    <row r="136" spans="9:9" x14ac:dyDescent="0.3">
      <c r="I136" s="24"/>
    </row>
    <row r="137" spans="9:9" x14ac:dyDescent="0.3">
      <c r="I137" s="24"/>
    </row>
    <row r="138" spans="9:9" x14ac:dyDescent="0.3">
      <c r="I138" s="24"/>
    </row>
    <row r="139" spans="9:9" x14ac:dyDescent="0.3">
      <c r="I139" s="24"/>
    </row>
    <row r="140" spans="9:9" x14ac:dyDescent="0.3">
      <c r="I140" s="24"/>
    </row>
    <row r="141" spans="9:9" x14ac:dyDescent="0.3">
      <c r="I141" s="24"/>
    </row>
    <row r="142" spans="9:9" x14ac:dyDescent="0.3">
      <c r="I142" s="24"/>
    </row>
    <row r="143" spans="9:9" x14ac:dyDescent="0.3">
      <c r="I143" s="24"/>
    </row>
    <row r="144" spans="9:9" x14ac:dyDescent="0.3">
      <c r="I144" s="24"/>
    </row>
    <row r="145" spans="9:9" x14ac:dyDescent="0.3">
      <c r="I145" s="24"/>
    </row>
    <row r="146" spans="9:9" x14ac:dyDescent="0.3">
      <c r="I146" s="24"/>
    </row>
    <row r="147" spans="9:9" x14ac:dyDescent="0.3">
      <c r="I147" s="24"/>
    </row>
    <row r="148" spans="9:9" x14ac:dyDescent="0.3">
      <c r="I148" s="24"/>
    </row>
    <row r="149" spans="9:9" x14ac:dyDescent="0.3">
      <c r="I149" s="24"/>
    </row>
    <row r="150" spans="9:9" x14ac:dyDescent="0.3">
      <c r="I150" s="24"/>
    </row>
    <row r="151" spans="9:9" x14ac:dyDescent="0.3">
      <c r="I151" s="24"/>
    </row>
    <row r="152" spans="9:9" x14ac:dyDescent="0.3">
      <c r="I152" s="24"/>
    </row>
    <row r="153" spans="9:9" x14ac:dyDescent="0.3">
      <c r="I153" s="24"/>
    </row>
    <row r="154" spans="9:9" x14ac:dyDescent="0.3">
      <c r="I154" s="24"/>
    </row>
    <row r="155" spans="9:9" x14ac:dyDescent="0.3">
      <c r="I155" s="24"/>
    </row>
    <row r="156" spans="9:9" x14ac:dyDescent="0.3">
      <c r="I156" s="24"/>
    </row>
    <row r="157" spans="9:9" x14ac:dyDescent="0.3">
      <c r="I157" s="24"/>
    </row>
    <row r="158" spans="9:9" x14ac:dyDescent="0.3">
      <c r="I158" s="24"/>
    </row>
    <row r="159" spans="9:9" x14ac:dyDescent="0.3">
      <c r="I159" s="24"/>
    </row>
    <row r="160" spans="9:9" x14ac:dyDescent="0.3">
      <c r="I160" s="24"/>
    </row>
    <row r="161" spans="9:9" x14ac:dyDescent="0.3">
      <c r="I161" s="24"/>
    </row>
    <row r="162" spans="9:9" x14ac:dyDescent="0.3">
      <c r="I162" s="24"/>
    </row>
    <row r="163" spans="9:9" x14ac:dyDescent="0.3">
      <c r="I163" s="24"/>
    </row>
    <row r="164" spans="9:9" x14ac:dyDescent="0.3">
      <c r="I164" s="24"/>
    </row>
    <row r="165" spans="9:9" x14ac:dyDescent="0.3">
      <c r="I165" s="24"/>
    </row>
    <row r="166" spans="9:9" x14ac:dyDescent="0.3">
      <c r="I166" s="24"/>
    </row>
    <row r="167" spans="9:9" x14ac:dyDescent="0.3">
      <c r="I167" s="24"/>
    </row>
    <row r="168" spans="9:9" x14ac:dyDescent="0.3">
      <c r="I168" s="24"/>
    </row>
    <row r="169" spans="9:9" x14ac:dyDescent="0.3">
      <c r="I169" s="24"/>
    </row>
    <row r="170" spans="9:9" x14ac:dyDescent="0.3">
      <c r="I170" s="24"/>
    </row>
    <row r="171" spans="9:9" x14ac:dyDescent="0.3">
      <c r="I171" s="24"/>
    </row>
    <row r="172" spans="9:9" x14ac:dyDescent="0.3">
      <c r="I172" s="24"/>
    </row>
    <row r="173" spans="9:9" x14ac:dyDescent="0.3">
      <c r="I173" s="24"/>
    </row>
    <row r="174" spans="9:9" x14ac:dyDescent="0.3">
      <c r="I174" s="24"/>
    </row>
    <row r="175" spans="9:9" x14ac:dyDescent="0.3">
      <c r="I175" s="24"/>
    </row>
    <row r="176" spans="9:9" x14ac:dyDescent="0.3">
      <c r="I176" s="24"/>
    </row>
    <row r="177" spans="9:9" x14ac:dyDescent="0.3">
      <c r="I177" s="24"/>
    </row>
    <row r="178" spans="9:9" x14ac:dyDescent="0.3">
      <c r="I178" s="24"/>
    </row>
    <row r="179" spans="9:9" x14ac:dyDescent="0.3">
      <c r="I179" s="24"/>
    </row>
    <row r="180" spans="9:9" x14ac:dyDescent="0.3">
      <c r="I180" s="24"/>
    </row>
    <row r="181" spans="9:9" x14ac:dyDescent="0.3">
      <c r="I181" s="24"/>
    </row>
    <row r="182" spans="9:9" x14ac:dyDescent="0.3">
      <c r="I182" s="24"/>
    </row>
    <row r="183" spans="9:9" x14ac:dyDescent="0.3">
      <c r="I183" s="24"/>
    </row>
    <row r="184" spans="9:9" x14ac:dyDescent="0.3">
      <c r="I184" s="24"/>
    </row>
    <row r="185" spans="9:9" x14ac:dyDescent="0.3">
      <c r="I185" s="24"/>
    </row>
    <row r="186" spans="9:9" x14ac:dyDescent="0.3">
      <c r="I186" s="24"/>
    </row>
    <row r="187" spans="9:9" x14ac:dyDescent="0.3">
      <c r="I187" s="24"/>
    </row>
    <row r="188" spans="9:9" x14ac:dyDescent="0.3">
      <c r="I188" s="24"/>
    </row>
    <row r="189" spans="9:9" x14ac:dyDescent="0.3">
      <c r="I189" s="24"/>
    </row>
    <row r="190" spans="9:9" x14ac:dyDescent="0.3">
      <c r="I190" s="24"/>
    </row>
    <row r="191" spans="9:9" x14ac:dyDescent="0.3">
      <c r="I191" s="24"/>
    </row>
    <row r="192" spans="9:9" x14ac:dyDescent="0.3">
      <c r="I192" s="24"/>
    </row>
    <row r="193" spans="9:9" x14ac:dyDescent="0.3">
      <c r="I193" s="24"/>
    </row>
    <row r="194" spans="9:9" x14ac:dyDescent="0.3">
      <c r="I194" s="24"/>
    </row>
    <row r="195" spans="9:9" x14ac:dyDescent="0.3">
      <c r="I195" s="24"/>
    </row>
    <row r="196" spans="9:9" x14ac:dyDescent="0.3">
      <c r="I196" s="24"/>
    </row>
    <row r="197" spans="9:9" x14ac:dyDescent="0.3">
      <c r="I197" s="24"/>
    </row>
    <row r="198" spans="9:9" x14ac:dyDescent="0.3">
      <c r="I198" s="24"/>
    </row>
    <row r="199" spans="9:9" x14ac:dyDescent="0.3">
      <c r="I199" s="24"/>
    </row>
    <row r="200" spans="9:9" x14ac:dyDescent="0.3">
      <c r="I200" s="24"/>
    </row>
    <row r="201" spans="9:9" x14ac:dyDescent="0.3">
      <c r="I201" s="24"/>
    </row>
    <row r="202" spans="9:9" x14ac:dyDescent="0.3">
      <c r="I202" s="24"/>
    </row>
    <row r="203" spans="9:9" x14ac:dyDescent="0.3">
      <c r="I203" s="24"/>
    </row>
    <row r="204" spans="9:9" x14ac:dyDescent="0.3">
      <c r="I204" s="24"/>
    </row>
    <row r="205" spans="9:9" x14ac:dyDescent="0.3">
      <c r="I205" s="24"/>
    </row>
    <row r="206" spans="9:9" x14ac:dyDescent="0.3">
      <c r="I206" s="24"/>
    </row>
    <row r="207" spans="9:9" x14ac:dyDescent="0.3">
      <c r="I207" s="24"/>
    </row>
    <row r="208" spans="9:9" x14ac:dyDescent="0.3">
      <c r="I208" s="24"/>
    </row>
    <row r="209" spans="9:9" x14ac:dyDescent="0.3">
      <c r="I209" s="24"/>
    </row>
    <row r="210" spans="9:9" x14ac:dyDescent="0.3">
      <c r="I210" s="24"/>
    </row>
    <row r="211" spans="9:9" x14ac:dyDescent="0.3">
      <c r="I211" s="24"/>
    </row>
    <row r="212" spans="9:9" x14ac:dyDescent="0.3">
      <c r="I212" s="24"/>
    </row>
    <row r="213" spans="9:9" x14ac:dyDescent="0.3">
      <c r="I213" s="24"/>
    </row>
    <row r="214" spans="9:9" x14ac:dyDescent="0.3">
      <c r="I214" s="24"/>
    </row>
    <row r="215" spans="9:9" x14ac:dyDescent="0.3">
      <c r="I215" s="24"/>
    </row>
    <row r="216" spans="9:9" x14ac:dyDescent="0.3">
      <c r="I216" s="24"/>
    </row>
    <row r="217" spans="9:9" x14ac:dyDescent="0.3">
      <c r="I217" s="24"/>
    </row>
    <row r="218" spans="9:9" x14ac:dyDescent="0.3">
      <c r="I218" s="24"/>
    </row>
    <row r="219" spans="9:9" x14ac:dyDescent="0.3">
      <c r="I219" s="24"/>
    </row>
    <row r="220" spans="9:9" x14ac:dyDescent="0.3">
      <c r="I220" s="24"/>
    </row>
    <row r="221" spans="9:9" x14ac:dyDescent="0.3">
      <c r="I221" s="24"/>
    </row>
    <row r="222" spans="9:9" x14ac:dyDescent="0.3">
      <c r="I222" s="24"/>
    </row>
    <row r="223" spans="9:9" x14ac:dyDescent="0.3">
      <c r="I223" s="24"/>
    </row>
    <row r="224" spans="9:9" x14ac:dyDescent="0.3">
      <c r="I224" s="24"/>
    </row>
    <row r="225" spans="9:9" x14ac:dyDescent="0.3">
      <c r="I225" s="24"/>
    </row>
    <row r="226" spans="9:9" x14ac:dyDescent="0.3">
      <c r="I226" s="24"/>
    </row>
    <row r="227" spans="9:9" x14ac:dyDescent="0.3">
      <c r="I227" s="24"/>
    </row>
    <row r="228" spans="9:9" x14ac:dyDescent="0.3">
      <c r="I228" s="24"/>
    </row>
    <row r="229" spans="9:9" x14ac:dyDescent="0.3">
      <c r="I229" s="24"/>
    </row>
    <row r="230" spans="9:9" x14ac:dyDescent="0.3">
      <c r="I230" s="24"/>
    </row>
    <row r="231" spans="9:9" x14ac:dyDescent="0.3">
      <c r="I231" s="24"/>
    </row>
    <row r="232" spans="9:9" x14ac:dyDescent="0.3">
      <c r="I232" s="24"/>
    </row>
    <row r="233" spans="9:9" x14ac:dyDescent="0.3">
      <c r="I233" s="24"/>
    </row>
    <row r="234" spans="9:9" x14ac:dyDescent="0.3">
      <c r="I234" s="24"/>
    </row>
    <row r="235" spans="9:9" x14ac:dyDescent="0.3">
      <c r="I235" s="24"/>
    </row>
    <row r="236" spans="9:9" x14ac:dyDescent="0.3">
      <c r="I236" s="24"/>
    </row>
    <row r="237" spans="9:9" x14ac:dyDescent="0.3">
      <c r="I237" s="24"/>
    </row>
    <row r="238" spans="9:9" x14ac:dyDescent="0.3">
      <c r="I238" s="24"/>
    </row>
    <row r="239" spans="9:9" x14ac:dyDescent="0.3">
      <c r="I239" s="24"/>
    </row>
    <row r="240" spans="9:9" x14ac:dyDescent="0.3">
      <c r="I240" s="24"/>
    </row>
    <row r="241" spans="9:9" x14ac:dyDescent="0.3">
      <c r="I241" s="24"/>
    </row>
    <row r="242" spans="9:9" x14ac:dyDescent="0.3">
      <c r="I242" s="24"/>
    </row>
    <row r="243" spans="9:9" x14ac:dyDescent="0.3">
      <c r="I243" s="24"/>
    </row>
    <row r="244" spans="9:9" x14ac:dyDescent="0.3">
      <c r="I244" s="24"/>
    </row>
    <row r="245" spans="9:9" x14ac:dyDescent="0.3">
      <c r="I245" s="24"/>
    </row>
    <row r="246" spans="9:9" x14ac:dyDescent="0.3">
      <c r="I246" s="24"/>
    </row>
    <row r="247" spans="9:9" x14ac:dyDescent="0.3">
      <c r="I247" s="24"/>
    </row>
    <row r="248" spans="9:9" x14ac:dyDescent="0.3">
      <c r="I248" s="24"/>
    </row>
    <row r="249" spans="9:9" x14ac:dyDescent="0.3">
      <c r="I249" s="24"/>
    </row>
    <row r="250" spans="9:9" x14ac:dyDescent="0.3">
      <c r="I250" s="24"/>
    </row>
    <row r="251" spans="9:9" x14ac:dyDescent="0.3">
      <c r="I251" s="24"/>
    </row>
    <row r="252" spans="9:9" x14ac:dyDescent="0.3">
      <c r="I252" s="24"/>
    </row>
    <row r="253" spans="9:9" x14ac:dyDescent="0.3">
      <c r="I253" s="24"/>
    </row>
    <row r="254" spans="9:9" x14ac:dyDescent="0.3">
      <c r="I254" s="24"/>
    </row>
    <row r="255" spans="9:9" x14ac:dyDescent="0.3">
      <c r="I255" s="24"/>
    </row>
    <row r="256" spans="9:9" x14ac:dyDescent="0.3">
      <c r="I256" s="24"/>
    </row>
    <row r="257" spans="9:9" x14ac:dyDescent="0.3">
      <c r="I257" s="24"/>
    </row>
    <row r="258" spans="9:9" x14ac:dyDescent="0.3">
      <c r="I258" s="24"/>
    </row>
    <row r="259" spans="9:9" x14ac:dyDescent="0.3">
      <c r="I259" s="24"/>
    </row>
    <row r="260" spans="9:9" x14ac:dyDescent="0.3">
      <c r="I260" s="24"/>
    </row>
    <row r="261" spans="9:9" x14ac:dyDescent="0.3">
      <c r="I261" s="24"/>
    </row>
    <row r="262" spans="9:9" x14ac:dyDescent="0.3">
      <c r="I262" s="24"/>
    </row>
    <row r="263" spans="9:9" x14ac:dyDescent="0.3">
      <c r="I263" s="24"/>
    </row>
    <row r="264" spans="9:9" x14ac:dyDescent="0.3">
      <c r="I264" s="24"/>
    </row>
    <row r="265" spans="9:9" x14ac:dyDescent="0.3">
      <c r="I265" s="24"/>
    </row>
    <row r="266" spans="9:9" x14ac:dyDescent="0.3">
      <c r="I266" s="24"/>
    </row>
    <row r="267" spans="9:9" x14ac:dyDescent="0.3">
      <c r="I267" s="24"/>
    </row>
    <row r="268" spans="9:9" x14ac:dyDescent="0.3">
      <c r="I268" s="24"/>
    </row>
    <row r="269" spans="9:9" x14ac:dyDescent="0.3">
      <c r="I269" s="24"/>
    </row>
    <row r="270" spans="9:9" x14ac:dyDescent="0.3">
      <c r="I270" s="24"/>
    </row>
    <row r="271" spans="9:9" x14ac:dyDescent="0.3">
      <c r="I271" s="24"/>
    </row>
    <row r="272" spans="9:9" x14ac:dyDescent="0.3">
      <c r="I272" s="24"/>
    </row>
    <row r="273" spans="9:9" x14ac:dyDescent="0.3">
      <c r="I273" s="24"/>
    </row>
    <row r="274" spans="9:9" x14ac:dyDescent="0.3">
      <c r="I274" s="24"/>
    </row>
    <row r="275" spans="9:9" x14ac:dyDescent="0.3">
      <c r="I275" s="24"/>
    </row>
    <row r="276" spans="9:9" x14ac:dyDescent="0.3">
      <c r="I276" s="24"/>
    </row>
    <row r="277" spans="9:9" x14ac:dyDescent="0.3">
      <c r="I277" s="24"/>
    </row>
    <row r="278" spans="9:9" x14ac:dyDescent="0.3">
      <c r="I278" s="24"/>
    </row>
    <row r="279" spans="9:9" x14ac:dyDescent="0.3">
      <c r="I279" s="24"/>
    </row>
    <row r="280" spans="9:9" x14ac:dyDescent="0.3">
      <c r="I280" s="24"/>
    </row>
    <row r="281" spans="9:9" x14ac:dyDescent="0.3">
      <c r="I281" s="24"/>
    </row>
    <row r="282" spans="9:9" x14ac:dyDescent="0.3">
      <c r="I282" s="24"/>
    </row>
    <row r="283" spans="9:9" x14ac:dyDescent="0.3">
      <c r="I283" s="24"/>
    </row>
    <row r="284" spans="9:9" x14ac:dyDescent="0.3">
      <c r="I284" s="24"/>
    </row>
    <row r="285" spans="9:9" x14ac:dyDescent="0.3">
      <c r="I285" s="24"/>
    </row>
    <row r="286" spans="9:9" x14ac:dyDescent="0.3">
      <c r="I286" s="24"/>
    </row>
    <row r="287" spans="9:9" x14ac:dyDescent="0.3">
      <c r="I287" s="24"/>
    </row>
    <row r="288" spans="9:9" x14ac:dyDescent="0.3">
      <c r="I288" s="24"/>
    </row>
    <row r="289" spans="9:9" x14ac:dyDescent="0.3">
      <c r="I289" s="24"/>
    </row>
    <row r="290" spans="9:9" x14ac:dyDescent="0.3">
      <c r="I290" s="24"/>
    </row>
    <row r="291" spans="9:9" x14ac:dyDescent="0.3">
      <c r="I291" s="24"/>
    </row>
    <row r="292" spans="9:9" x14ac:dyDescent="0.3">
      <c r="I292" s="24"/>
    </row>
    <row r="293" spans="9:9" x14ac:dyDescent="0.3">
      <c r="I293" s="24"/>
    </row>
    <row r="294" spans="9:9" x14ac:dyDescent="0.3">
      <c r="I294" s="24"/>
    </row>
    <row r="295" spans="9:9" x14ac:dyDescent="0.3">
      <c r="I295" s="24"/>
    </row>
    <row r="296" spans="9:9" x14ac:dyDescent="0.3">
      <c r="I296" s="24"/>
    </row>
    <row r="297" spans="9:9" x14ac:dyDescent="0.3">
      <c r="I297" s="24"/>
    </row>
    <row r="298" spans="9:9" x14ac:dyDescent="0.3">
      <c r="I298" s="24"/>
    </row>
    <row r="299" spans="9:9" x14ac:dyDescent="0.3">
      <c r="I299" s="24"/>
    </row>
    <row r="300" spans="9:9" x14ac:dyDescent="0.3">
      <c r="I300" s="24"/>
    </row>
    <row r="301" spans="9:9" x14ac:dyDescent="0.3">
      <c r="I301" s="24"/>
    </row>
    <row r="302" spans="9:9" x14ac:dyDescent="0.3">
      <c r="I302" s="24"/>
    </row>
    <row r="303" spans="9:9" x14ac:dyDescent="0.3">
      <c r="I303" s="24"/>
    </row>
    <row r="304" spans="9:9" x14ac:dyDescent="0.3">
      <c r="I304" s="24"/>
    </row>
    <row r="305" spans="9:9" x14ac:dyDescent="0.3">
      <c r="I305" s="24"/>
    </row>
    <row r="306" spans="9:9" x14ac:dyDescent="0.3">
      <c r="I306" s="24"/>
    </row>
    <row r="307" spans="9:9" x14ac:dyDescent="0.3">
      <c r="I307" s="24"/>
    </row>
    <row r="308" spans="9:9" x14ac:dyDescent="0.3">
      <c r="I308" s="24"/>
    </row>
    <row r="309" spans="9:9" x14ac:dyDescent="0.3">
      <c r="I309" s="24"/>
    </row>
    <row r="310" spans="9:9" x14ac:dyDescent="0.3">
      <c r="I310" s="24"/>
    </row>
    <row r="311" spans="9:9" x14ac:dyDescent="0.3">
      <c r="I311" s="24"/>
    </row>
    <row r="312" spans="9:9" x14ac:dyDescent="0.3">
      <c r="I312" s="24"/>
    </row>
    <row r="313" spans="9:9" x14ac:dyDescent="0.3">
      <c r="I313" s="24"/>
    </row>
    <row r="314" spans="9:9" x14ac:dyDescent="0.3">
      <c r="I314" s="24"/>
    </row>
    <row r="315" spans="9:9" x14ac:dyDescent="0.3">
      <c r="I315" s="24"/>
    </row>
    <row r="316" spans="9:9" x14ac:dyDescent="0.3">
      <c r="I316" s="24"/>
    </row>
    <row r="317" spans="9:9" x14ac:dyDescent="0.3">
      <c r="I317" s="24"/>
    </row>
    <row r="318" spans="9:9" x14ac:dyDescent="0.3">
      <c r="I318" s="24"/>
    </row>
    <row r="319" spans="9:9" x14ac:dyDescent="0.3">
      <c r="I319" s="24"/>
    </row>
    <row r="320" spans="9:9" x14ac:dyDescent="0.3">
      <c r="I320" s="24"/>
    </row>
    <row r="321" spans="9:9" x14ac:dyDescent="0.3">
      <c r="I321" s="24"/>
    </row>
    <row r="322" spans="9:9" x14ac:dyDescent="0.3">
      <c r="I322" s="24"/>
    </row>
    <row r="323" spans="9:9" x14ac:dyDescent="0.3">
      <c r="I323" s="24"/>
    </row>
    <row r="324" spans="9:9" x14ac:dyDescent="0.3">
      <c r="I324" s="24"/>
    </row>
    <row r="325" spans="9:9" x14ac:dyDescent="0.3">
      <c r="I325" s="24"/>
    </row>
    <row r="326" spans="9:9" x14ac:dyDescent="0.3">
      <c r="I326" s="24"/>
    </row>
    <row r="327" spans="9:9" x14ac:dyDescent="0.3">
      <c r="I327" s="24"/>
    </row>
    <row r="328" spans="9:9" x14ac:dyDescent="0.3">
      <c r="I328" s="24"/>
    </row>
    <row r="329" spans="9:9" x14ac:dyDescent="0.3">
      <c r="I329" s="24"/>
    </row>
    <row r="330" spans="9:9" x14ac:dyDescent="0.3">
      <c r="I330" s="24"/>
    </row>
    <row r="331" spans="9:9" x14ac:dyDescent="0.3">
      <c r="I331" s="24"/>
    </row>
    <row r="332" spans="9:9" x14ac:dyDescent="0.3">
      <c r="I332" s="24"/>
    </row>
    <row r="333" spans="9:9" x14ac:dyDescent="0.3">
      <c r="I333" s="24"/>
    </row>
    <row r="334" spans="9:9" x14ac:dyDescent="0.3">
      <c r="I334" s="24"/>
    </row>
    <row r="335" spans="9:9" x14ac:dyDescent="0.3">
      <c r="I335" s="24"/>
    </row>
    <row r="336" spans="9:9" x14ac:dyDescent="0.3">
      <c r="I336" s="24"/>
    </row>
    <row r="337" spans="9:9" x14ac:dyDescent="0.3">
      <c r="I337" s="24"/>
    </row>
    <row r="338" spans="9:9" x14ac:dyDescent="0.3">
      <c r="I338" s="24"/>
    </row>
    <row r="339" spans="9:9" x14ac:dyDescent="0.3">
      <c r="I339" s="24"/>
    </row>
    <row r="340" spans="9:9" x14ac:dyDescent="0.3">
      <c r="I340" s="24"/>
    </row>
    <row r="341" spans="9:9" x14ac:dyDescent="0.3">
      <c r="I341" s="24"/>
    </row>
    <row r="342" spans="9:9" x14ac:dyDescent="0.3">
      <c r="I342" s="24"/>
    </row>
    <row r="343" spans="9:9" x14ac:dyDescent="0.3">
      <c r="I343" s="24"/>
    </row>
    <row r="344" spans="9:9" x14ac:dyDescent="0.3">
      <c r="I344" s="24"/>
    </row>
    <row r="345" spans="9:9" x14ac:dyDescent="0.3">
      <c r="I345" s="24"/>
    </row>
    <row r="346" spans="9:9" x14ac:dyDescent="0.3">
      <c r="I346" s="24"/>
    </row>
    <row r="347" spans="9:9" x14ac:dyDescent="0.3">
      <c r="I347" s="24"/>
    </row>
    <row r="348" spans="9:9" x14ac:dyDescent="0.3">
      <c r="I348" s="24"/>
    </row>
    <row r="349" spans="9:9" x14ac:dyDescent="0.3">
      <c r="I349" s="24"/>
    </row>
    <row r="350" spans="9:9" x14ac:dyDescent="0.3">
      <c r="I350" s="24"/>
    </row>
    <row r="351" spans="9:9" x14ac:dyDescent="0.3">
      <c r="I351" s="24"/>
    </row>
    <row r="352" spans="9:9" x14ac:dyDescent="0.3">
      <c r="I352" s="24"/>
    </row>
    <row r="353" spans="9:9" x14ac:dyDescent="0.3">
      <c r="I353" s="24"/>
    </row>
    <row r="354" spans="9:9" x14ac:dyDescent="0.3">
      <c r="I354" s="24"/>
    </row>
    <row r="355" spans="9:9" x14ac:dyDescent="0.3">
      <c r="I355" s="24"/>
    </row>
    <row r="356" spans="9:9" x14ac:dyDescent="0.3">
      <c r="I356" s="24"/>
    </row>
    <row r="357" spans="9:9" x14ac:dyDescent="0.3">
      <c r="I357" s="24"/>
    </row>
    <row r="358" spans="9:9" x14ac:dyDescent="0.3">
      <c r="I358" s="24"/>
    </row>
    <row r="359" spans="9:9" x14ac:dyDescent="0.3">
      <c r="I359" s="24"/>
    </row>
    <row r="360" spans="9:9" x14ac:dyDescent="0.3">
      <c r="I360" s="24"/>
    </row>
    <row r="361" spans="9:9" x14ac:dyDescent="0.3">
      <c r="I361" s="24"/>
    </row>
    <row r="362" spans="9:9" x14ac:dyDescent="0.3">
      <c r="I362" s="24"/>
    </row>
    <row r="363" spans="9:9" x14ac:dyDescent="0.3">
      <c r="I363" s="24"/>
    </row>
    <row r="364" spans="9:9" x14ac:dyDescent="0.3">
      <c r="I364" s="24"/>
    </row>
    <row r="365" spans="9:9" x14ac:dyDescent="0.3">
      <c r="I365" s="24"/>
    </row>
    <row r="366" spans="9:9" x14ac:dyDescent="0.3">
      <c r="I366" s="24"/>
    </row>
    <row r="367" spans="9:9" x14ac:dyDescent="0.3">
      <c r="I367" s="24"/>
    </row>
    <row r="368" spans="9:9" x14ac:dyDescent="0.3">
      <c r="I368" s="24"/>
    </row>
    <row r="369" spans="9:9" x14ac:dyDescent="0.3">
      <c r="I369" s="24"/>
    </row>
    <row r="370" spans="9:9" x14ac:dyDescent="0.3">
      <c r="I370" s="24"/>
    </row>
    <row r="371" spans="9:9" x14ac:dyDescent="0.3">
      <c r="I371" s="24"/>
    </row>
    <row r="372" spans="9:9" x14ac:dyDescent="0.3">
      <c r="I372" s="24"/>
    </row>
    <row r="373" spans="9:9" x14ac:dyDescent="0.3">
      <c r="I373" s="24"/>
    </row>
    <row r="374" spans="9:9" x14ac:dyDescent="0.3">
      <c r="I374" s="24"/>
    </row>
    <row r="375" spans="9:9" x14ac:dyDescent="0.3">
      <c r="I375" s="24"/>
    </row>
    <row r="376" spans="9:9" x14ac:dyDescent="0.3">
      <c r="I376" s="24"/>
    </row>
    <row r="377" spans="9:9" x14ac:dyDescent="0.3">
      <c r="I377" s="24"/>
    </row>
    <row r="378" spans="9:9" x14ac:dyDescent="0.3">
      <c r="I378" s="24"/>
    </row>
    <row r="379" spans="9:9" x14ac:dyDescent="0.3">
      <c r="I379" s="24"/>
    </row>
    <row r="380" spans="9:9" x14ac:dyDescent="0.3">
      <c r="I380" s="24"/>
    </row>
    <row r="381" spans="9:9" x14ac:dyDescent="0.3">
      <c r="I381" s="24"/>
    </row>
    <row r="382" spans="9:9" x14ac:dyDescent="0.3">
      <c r="I382" s="24"/>
    </row>
    <row r="383" spans="9:9" x14ac:dyDescent="0.3">
      <c r="I383" s="24"/>
    </row>
    <row r="384" spans="9:9" x14ac:dyDescent="0.3">
      <c r="I384" s="24"/>
    </row>
    <row r="385" spans="9:9" x14ac:dyDescent="0.3">
      <c r="I385" s="24"/>
    </row>
    <row r="386" spans="9:9" x14ac:dyDescent="0.3">
      <c r="I386" s="24"/>
    </row>
    <row r="387" spans="9:9" x14ac:dyDescent="0.3">
      <c r="I387" s="24"/>
    </row>
    <row r="388" spans="9:9" x14ac:dyDescent="0.3">
      <c r="I388" s="24"/>
    </row>
    <row r="389" spans="9:9" x14ac:dyDescent="0.3">
      <c r="I389" s="24"/>
    </row>
    <row r="390" spans="9:9" x14ac:dyDescent="0.3">
      <c r="I390" s="24"/>
    </row>
    <row r="391" spans="9:9" x14ac:dyDescent="0.3">
      <c r="I391" s="24"/>
    </row>
    <row r="392" spans="9:9" x14ac:dyDescent="0.3">
      <c r="I392" s="24"/>
    </row>
    <row r="393" spans="9:9" x14ac:dyDescent="0.3">
      <c r="I393" s="24"/>
    </row>
    <row r="394" spans="9:9" x14ac:dyDescent="0.3">
      <c r="I394" s="24"/>
    </row>
    <row r="395" spans="9:9" x14ac:dyDescent="0.3">
      <c r="I395" s="24"/>
    </row>
    <row r="396" spans="9:9" x14ac:dyDescent="0.3">
      <c r="I396" s="24"/>
    </row>
    <row r="397" spans="9:9" x14ac:dyDescent="0.3">
      <c r="I397" s="24"/>
    </row>
    <row r="398" spans="9:9" x14ac:dyDescent="0.3">
      <c r="I398" s="24"/>
    </row>
    <row r="399" spans="9:9" x14ac:dyDescent="0.3">
      <c r="I399" s="24"/>
    </row>
    <row r="400" spans="9:9" x14ac:dyDescent="0.3">
      <c r="I400" s="24"/>
    </row>
    <row r="401" spans="9:9" x14ac:dyDescent="0.3">
      <c r="I401" s="24"/>
    </row>
    <row r="402" spans="9:9" x14ac:dyDescent="0.3">
      <c r="I402" s="24"/>
    </row>
    <row r="403" spans="9:9" x14ac:dyDescent="0.3">
      <c r="I403" s="24"/>
    </row>
    <row r="404" spans="9:9" x14ac:dyDescent="0.3">
      <c r="I404" s="24"/>
    </row>
    <row r="405" spans="9:9" x14ac:dyDescent="0.3">
      <c r="I405" s="24"/>
    </row>
    <row r="406" spans="9:9" x14ac:dyDescent="0.3">
      <c r="I406" s="24"/>
    </row>
    <row r="407" spans="9:9" x14ac:dyDescent="0.3">
      <c r="I407" s="24"/>
    </row>
    <row r="408" spans="9:9" x14ac:dyDescent="0.3">
      <c r="I408" s="24"/>
    </row>
    <row r="409" spans="9:9" x14ac:dyDescent="0.3">
      <c r="I409" s="24"/>
    </row>
    <row r="410" spans="9:9" x14ac:dyDescent="0.3">
      <c r="I410" s="24"/>
    </row>
    <row r="411" spans="9:9" x14ac:dyDescent="0.3">
      <c r="I411" s="24"/>
    </row>
    <row r="412" spans="9:9" x14ac:dyDescent="0.3">
      <c r="I412" s="24"/>
    </row>
    <row r="413" spans="9:9" x14ac:dyDescent="0.3">
      <c r="I413" s="24"/>
    </row>
    <row r="414" spans="9:9" x14ac:dyDescent="0.3">
      <c r="I414" s="24"/>
    </row>
    <row r="415" spans="9:9" x14ac:dyDescent="0.3">
      <c r="I415" s="24"/>
    </row>
    <row r="416" spans="9:9" x14ac:dyDescent="0.3">
      <c r="I416" s="24"/>
    </row>
    <row r="417" spans="9:9" x14ac:dyDescent="0.3">
      <c r="I417" s="24"/>
    </row>
    <row r="418" spans="9:9" x14ac:dyDescent="0.3">
      <c r="I418" s="24"/>
    </row>
    <row r="419" spans="9:9" x14ac:dyDescent="0.3">
      <c r="I419" s="24"/>
    </row>
    <row r="420" spans="9:9" x14ac:dyDescent="0.3">
      <c r="I420" s="24"/>
    </row>
    <row r="421" spans="9:9" x14ac:dyDescent="0.3">
      <c r="I421" s="24"/>
    </row>
    <row r="422" spans="9:9" x14ac:dyDescent="0.3">
      <c r="I422" s="24"/>
    </row>
    <row r="423" spans="9:9" x14ac:dyDescent="0.3">
      <c r="I423" s="24"/>
    </row>
    <row r="424" spans="9:9" x14ac:dyDescent="0.3">
      <c r="I424" s="24"/>
    </row>
    <row r="425" spans="9:9" x14ac:dyDescent="0.3">
      <c r="I425" s="24"/>
    </row>
    <row r="426" spans="9:9" x14ac:dyDescent="0.3">
      <c r="I426" s="24"/>
    </row>
    <row r="427" spans="9:9" x14ac:dyDescent="0.3">
      <c r="I427" s="24"/>
    </row>
    <row r="428" spans="9:9" x14ac:dyDescent="0.3">
      <c r="I428" s="24"/>
    </row>
    <row r="429" spans="9:9" x14ac:dyDescent="0.3">
      <c r="I429" s="24"/>
    </row>
    <row r="430" spans="9:9" x14ac:dyDescent="0.3">
      <c r="I430" s="24"/>
    </row>
    <row r="431" spans="9:9" x14ac:dyDescent="0.3">
      <c r="I431" s="24"/>
    </row>
    <row r="432" spans="9:9" x14ac:dyDescent="0.3">
      <c r="I432" s="24"/>
    </row>
    <row r="433" spans="9:9" x14ac:dyDescent="0.3">
      <c r="I433" s="24"/>
    </row>
    <row r="434" spans="9:9" x14ac:dyDescent="0.3">
      <c r="I434" s="24"/>
    </row>
    <row r="435" spans="9:9" x14ac:dyDescent="0.3">
      <c r="I435" s="24"/>
    </row>
    <row r="436" spans="9:9" x14ac:dyDescent="0.3">
      <c r="I436" s="24"/>
    </row>
    <row r="437" spans="9:9" x14ac:dyDescent="0.3">
      <c r="I437" s="24"/>
    </row>
    <row r="438" spans="9:9" x14ac:dyDescent="0.3">
      <c r="I438" s="24"/>
    </row>
    <row r="439" spans="9:9" x14ac:dyDescent="0.3">
      <c r="I439" s="24"/>
    </row>
    <row r="440" spans="9:9" x14ac:dyDescent="0.3">
      <c r="I440" s="24"/>
    </row>
    <row r="441" spans="9:9" x14ac:dyDescent="0.3">
      <c r="I441" s="24"/>
    </row>
    <row r="442" spans="9:9" x14ac:dyDescent="0.3">
      <c r="I442" s="24"/>
    </row>
    <row r="443" spans="9:9" x14ac:dyDescent="0.3">
      <c r="I443" s="24"/>
    </row>
    <row r="444" spans="9:9" x14ac:dyDescent="0.3">
      <c r="I444" s="24"/>
    </row>
    <row r="445" spans="9:9" x14ac:dyDescent="0.3">
      <c r="I445" s="24"/>
    </row>
    <row r="446" spans="9:9" x14ac:dyDescent="0.3">
      <c r="I446" s="24"/>
    </row>
    <row r="447" spans="9:9" x14ac:dyDescent="0.3">
      <c r="I447" s="24"/>
    </row>
    <row r="448" spans="9:9" x14ac:dyDescent="0.3">
      <c r="I448" s="24"/>
    </row>
    <row r="449" spans="9:9" x14ac:dyDescent="0.3">
      <c r="I449" s="24"/>
    </row>
    <row r="450" spans="9:9" x14ac:dyDescent="0.3">
      <c r="I450" s="24"/>
    </row>
    <row r="451" spans="9:9" x14ac:dyDescent="0.3">
      <c r="I451" s="24"/>
    </row>
    <row r="452" spans="9:9" x14ac:dyDescent="0.3">
      <c r="I452" s="24"/>
    </row>
    <row r="453" spans="9:9" x14ac:dyDescent="0.3">
      <c r="I453" s="24"/>
    </row>
    <row r="454" spans="9:9" x14ac:dyDescent="0.3">
      <c r="I454" s="24"/>
    </row>
    <row r="455" spans="9:9" x14ac:dyDescent="0.3">
      <c r="I455" s="24"/>
    </row>
    <row r="456" spans="9:9" x14ac:dyDescent="0.3">
      <c r="I456" s="24"/>
    </row>
    <row r="457" spans="9:9" x14ac:dyDescent="0.3">
      <c r="I457" s="24"/>
    </row>
    <row r="458" spans="9:9" x14ac:dyDescent="0.3">
      <c r="I458" s="24"/>
    </row>
    <row r="459" spans="9:9" x14ac:dyDescent="0.3">
      <c r="I459" s="24"/>
    </row>
    <row r="460" spans="9:9" x14ac:dyDescent="0.3">
      <c r="I460" s="24"/>
    </row>
    <row r="461" spans="9:9" x14ac:dyDescent="0.3">
      <c r="I461" s="24"/>
    </row>
    <row r="462" spans="9:9" x14ac:dyDescent="0.3">
      <c r="I462" s="24"/>
    </row>
    <row r="463" spans="9:9" x14ac:dyDescent="0.3">
      <c r="I463" s="24"/>
    </row>
    <row r="464" spans="9:9" x14ac:dyDescent="0.3">
      <c r="I464" s="24"/>
    </row>
    <row r="465" spans="9:9" x14ac:dyDescent="0.3">
      <c r="I465" s="24"/>
    </row>
    <row r="466" spans="9:9" x14ac:dyDescent="0.3">
      <c r="I466" s="24"/>
    </row>
    <row r="467" spans="9:9" x14ac:dyDescent="0.3">
      <c r="I467" s="24"/>
    </row>
    <row r="468" spans="9:9" x14ac:dyDescent="0.3">
      <c r="I468" s="24"/>
    </row>
    <row r="469" spans="9:9" x14ac:dyDescent="0.3">
      <c r="I469" s="24"/>
    </row>
    <row r="470" spans="9:9" x14ac:dyDescent="0.3">
      <c r="I470" s="24"/>
    </row>
    <row r="471" spans="9:9" x14ac:dyDescent="0.3">
      <c r="I471" s="24"/>
    </row>
    <row r="472" spans="9:9" x14ac:dyDescent="0.3">
      <c r="I472" s="24"/>
    </row>
    <row r="473" spans="9:9" x14ac:dyDescent="0.3">
      <c r="I473" s="24"/>
    </row>
    <row r="474" spans="9:9" x14ac:dyDescent="0.3">
      <c r="I474" s="24"/>
    </row>
    <row r="475" spans="9:9" x14ac:dyDescent="0.3">
      <c r="I475" s="24"/>
    </row>
    <row r="476" spans="9:9" x14ac:dyDescent="0.3">
      <c r="I476" s="24"/>
    </row>
    <row r="477" spans="9:9" x14ac:dyDescent="0.3">
      <c r="I477" s="24"/>
    </row>
    <row r="478" spans="9:9" x14ac:dyDescent="0.3">
      <c r="I478" s="24"/>
    </row>
    <row r="479" spans="9:9" x14ac:dyDescent="0.3">
      <c r="I479" s="24"/>
    </row>
    <row r="480" spans="9:9" x14ac:dyDescent="0.3">
      <c r="I480" s="24"/>
    </row>
    <row r="481" spans="9:9" x14ac:dyDescent="0.3">
      <c r="I481" s="24"/>
    </row>
    <row r="482" spans="9:9" x14ac:dyDescent="0.3">
      <c r="I482" s="24"/>
    </row>
    <row r="483" spans="9:9" x14ac:dyDescent="0.3">
      <c r="I483" s="24"/>
    </row>
    <row r="484" spans="9:9" x14ac:dyDescent="0.3">
      <c r="I484" s="24"/>
    </row>
    <row r="485" spans="9:9" x14ac:dyDescent="0.3">
      <c r="I485" s="24"/>
    </row>
    <row r="486" spans="9:9" x14ac:dyDescent="0.3">
      <c r="I486" s="24"/>
    </row>
    <row r="487" spans="9:9" x14ac:dyDescent="0.3">
      <c r="I487" s="24"/>
    </row>
    <row r="488" spans="9:9" x14ac:dyDescent="0.3">
      <c r="I488" s="24"/>
    </row>
    <row r="489" spans="9:9" x14ac:dyDescent="0.3">
      <c r="I489" s="24"/>
    </row>
    <row r="490" spans="9:9" x14ac:dyDescent="0.3">
      <c r="I490" s="24"/>
    </row>
    <row r="491" spans="9:9" x14ac:dyDescent="0.3">
      <c r="I491" s="24"/>
    </row>
    <row r="492" spans="9:9" x14ac:dyDescent="0.3">
      <c r="I492" s="24"/>
    </row>
    <row r="493" spans="9:9" x14ac:dyDescent="0.3">
      <c r="I493" s="24"/>
    </row>
    <row r="494" spans="9:9" x14ac:dyDescent="0.3">
      <c r="I494" s="24"/>
    </row>
    <row r="495" spans="9:9" x14ac:dyDescent="0.3">
      <c r="I495" s="24"/>
    </row>
    <row r="496" spans="9:9" x14ac:dyDescent="0.3">
      <c r="I496" s="24"/>
    </row>
    <row r="497" spans="9:9" x14ac:dyDescent="0.3">
      <c r="I497" s="24"/>
    </row>
    <row r="498" spans="9:9" x14ac:dyDescent="0.3">
      <c r="I498" s="24"/>
    </row>
    <row r="499" spans="9:9" x14ac:dyDescent="0.3">
      <c r="I499" s="24"/>
    </row>
    <row r="500" spans="9:9" x14ac:dyDescent="0.3">
      <c r="I500" s="24"/>
    </row>
    <row r="501" spans="9:9" x14ac:dyDescent="0.3">
      <c r="I501" s="24"/>
    </row>
    <row r="502" spans="9:9" x14ac:dyDescent="0.3">
      <c r="I502" s="24"/>
    </row>
    <row r="503" spans="9:9" x14ac:dyDescent="0.3">
      <c r="I503" s="24"/>
    </row>
    <row r="504" spans="9:9" x14ac:dyDescent="0.3">
      <c r="I504" s="24"/>
    </row>
    <row r="505" spans="9:9" x14ac:dyDescent="0.3">
      <c r="I505" s="24"/>
    </row>
    <row r="506" spans="9:9" x14ac:dyDescent="0.3">
      <c r="I506" s="24"/>
    </row>
    <row r="507" spans="9:9" x14ac:dyDescent="0.3">
      <c r="I507" s="24"/>
    </row>
    <row r="508" spans="9:9" x14ac:dyDescent="0.3">
      <c r="I508" s="24"/>
    </row>
    <row r="509" spans="9:9" x14ac:dyDescent="0.3">
      <c r="I509" s="24"/>
    </row>
    <row r="510" spans="9:9" x14ac:dyDescent="0.3">
      <c r="I510" s="24"/>
    </row>
    <row r="511" spans="9:9" x14ac:dyDescent="0.3">
      <c r="I511" s="24"/>
    </row>
    <row r="512" spans="9:9" x14ac:dyDescent="0.3">
      <c r="I512" s="24"/>
    </row>
    <row r="513" spans="9:9" x14ac:dyDescent="0.3">
      <c r="I513" s="24"/>
    </row>
    <row r="514" spans="9:9" x14ac:dyDescent="0.3">
      <c r="I514" s="24"/>
    </row>
    <row r="515" spans="9:9" x14ac:dyDescent="0.3">
      <c r="I515" s="24"/>
    </row>
    <row r="516" spans="9:9" x14ac:dyDescent="0.3">
      <c r="I516" s="24"/>
    </row>
    <row r="517" spans="9:9" x14ac:dyDescent="0.3">
      <c r="I517" s="24"/>
    </row>
    <row r="518" spans="9:9" x14ac:dyDescent="0.3">
      <c r="I518" s="24"/>
    </row>
    <row r="519" spans="9:9" x14ac:dyDescent="0.3">
      <c r="I519" s="24"/>
    </row>
    <row r="520" spans="9:9" x14ac:dyDescent="0.3">
      <c r="I520" s="24"/>
    </row>
    <row r="521" spans="9:9" x14ac:dyDescent="0.3">
      <c r="I521" s="24"/>
    </row>
    <row r="522" spans="9:9" x14ac:dyDescent="0.3">
      <c r="I522" s="24"/>
    </row>
    <row r="523" spans="9:9" x14ac:dyDescent="0.3">
      <c r="I523" s="24"/>
    </row>
    <row r="524" spans="9:9" x14ac:dyDescent="0.3">
      <c r="I524" s="24"/>
    </row>
    <row r="525" spans="9:9" x14ac:dyDescent="0.3">
      <c r="I525" s="24"/>
    </row>
    <row r="526" spans="9:9" x14ac:dyDescent="0.3">
      <c r="I526" s="24"/>
    </row>
    <row r="527" spans="9:9" x14ac:dyDescent="0.3">
      <c r="I527" s="24"/>
    </row>
    <row r="528" spans="9:9" x14ac:dyDescent="0.3">
      <c r="I528" s="24"/>
    </row>
    <row r="529" spans="9:9" x14ac:dyDescent="0.3">
      <c r="I529" s="24"/>
    </row>
    <row r="530" spans="9:9" x14ac:dyDescent="0.3">
      <c r="I530" s="24"/>
    </row>
    <row r="531" spans="9:9" x14ac:dyDescent="0.3">
      <c r="I531" s="24"/>
    </row>
    <row r="532" spans="9:9" x14ac:dyDescent="0.3">
      <c r="I532" s="24"/>
    </row>
    <row r="533" spans="9:9" x14ac:dyDescent="0.3">
      <c r="I533" s="24"/>
    </row>
    <row r="534" spans="9:9" x14ac:dyDescent="0.3">
      <c r="I534" s="24"/>
    </row>
    <row r="535" spans="9:9" x14ac:dyDescent="0.3">
      <c r="I535" s="24"/>
    </row>
    <row r="536" spans="9:9" x14ac:dyDescent="0.3">
      <c r="I536" s="24"/>
    </row>
    <row r="537" spans="9:9" x14ac:dyDescent="0.3">
      <c r="I537" s="24"/>
    </row>
    <row r="538" spans="9:9" x14ac:dyDescent="0.3">
      <c r="I538" s="24"/>
    </row>
    <row r="539" spans="9:9" x14ac:dyDescent="0.3">
      <c r="I539" s="24"/>
    </row>
    <row r="540" spans="9:9" x14ac:dyDescent="0.3">
      <c r="I540" s="24"/>
    </row>
    <row r="541" spans="9:9" x14ac:dyDescent="0.3">
      <c r="I541" s="24"/>
    </row>
    <row r="542" spans="9:9" x14ac:dyDescent="0.3">
      <c r="I542" s="24"/>
    </row>
    <row r="543" spans="9:9" x14ac:dyDescent="0.3">
      <c r="I543" s="24"/>
    </row>
    <row r="544" spans="9:9" x14ac:dyDescent="0.3">
      <c r="I544" s="24"/>
    </row>
    <row r="545" spans="9:9" x14ac:dyDescent="0.3">
      <c r="I545" s="24"/>
    </row>
    <row r="546" spans="9:9" x14ac:dyDescent="0.3">
      <c r="I546" s="24"/>
    </row>
    <row r="547" spans="9:9" x14ac:dyDescent="0.3">
      <c r="I547" s="24"/>
    </row>
    <row r="548" spans="9:9" x14ac:dyDescent="0.3">
      <c r="I548" s="24"/>
    </row>
    <row r="549" spans="9:9" x14ac:dyDescent="0.3">
      <c r="I549" s="24"/>
    </row>
    <row r="550" spans="9:9" x14ac:dyDescent="0.3">
      <c r="I550" s="24"/>
    </row>
    <row r="551" spans="9:9" x14ac:dyDescent="0.3">
      <c r="I551" s="24"/>
    </row>
    <row r="552" spans="9:9" x14ac:dyDescent="0.3">
      <c r="I552" s="24"/>
    </row>
    <row r="553" spans="9:9" x14ac:dyDescent="0.3">
      <c r="I553" s="24"/>
    </row>
    <row r="554" spans="9:9" x14ac:dyDescent="0.3">
      <c r="I554" s="24"/>
    </row>
    <row r="555" spans="9:9" x14ac:dyDescent="0.3">
      <c r="I555" s="24"/>
    </row>
    <row r="556" spans="9:9" x14ac:dyDescent="0.3">
      <c r="I556" s="24"/>
    </row>
    <row r="557" spans="9:9" x14ac:dyDescent="0.3">
      <c r="I557" s="24"/>
    </row>
    <row r="558" spans="9:9" x14ac:dyDescent="0.3">
      <c r="I558" s="24"/>
    </row>
    <row r="559" spans="9:9" x14ac:dyDescent="0.3">
      <c r="I559" s="24"/>
    </row>
    <row r="560" spans="9:9" x14ac:dyDescent="0.3">
      <c r="I560" s="24"/>
    </row>
    <row r="561" spans="9:9" x14ac:dyDescent="0.3">
      <c r="I561" s="24"/>
    </row>
    <row r="562" spans="9:9" x14ac:dyDescent="0.3">
      <c r="I562" s="24"/>
    </row>
    <row r="563" spans="9:9" x14ac:dyDescent="0.3">
      <c r="I563" s="24"/>
    </row>
    <row r="564" spans="9:9" x14ac:dyDescent="0.3">
      <c r="I564" s="24"/>
    </row>
    <row r="565" spans="9:9" x14ac:dyDescent="0.3">
      <c r="I565" s="24"/>
    </row>
    <row r="566" spans="9:9" x14ac:dyDescent="0.3">
      <c r="I566" s="24"/>
    </row>
    <row r="567" spans="9:9" x14ac:dyDescent="0.3">
      <c r="I567" s="24"/>
    </row>
    <row r="568" spans="9:9" x14ac:dyDescent="0.3">
      <c r="I568" s="24"/>
    </row>
    <row r="569" spans="9:9" x14ac:dyDescent="0.3">
      <c r="I569" s="24"/>
    </row>
    <row r="570" spans="9:9" x14ac:dyDescent="0.3">
      <c r="I570" s="24"/>
    </row>
    <row r="571" spans="9:9" x14ac:dyDescent="0.3">
      <c r="I571" s="24"/>
    </row>
    <row r="572" spans="9:9" x14ac:dyDescent="0.3">
      <c r="I572" s="24"/>
    </row>
    <row r="573" spans="9:9" x14ac:dyDescent="0.3">
      <c r="I573" s="24"/>
    </row>
    <row r="574" spans="9:9" x14ac:dyDescent="0.3">
      <c r="I574" s="24"/>
    </row>
    <row r="575" spans="9:9" x14ac:dyDescent="0.3">
      <c r="I575" s="24"/>
    </row>
    <row r="576" spans="9:9" x14ac:dyDescent="0.3">
      <c r="I576" s="24"/>
    </row>
    <row r="577" spans="9:9" x14ac:dyDescent="0.3">
      <c r="I577" s="24"/>
    </row>
    <row r="578" spans="9:9" x14ac:dyDescent="0.3">
      <c r="I578" s="24"/>
    </row>
    <row r="579" spans="9:9" x14ac:dyDescent="0.3">
      <c r="I579" s="24"/>
    </row>
    <row r="580" spans="9:9" x14ac:dyDescent="0.3">
      <c r="I580" s="24"/>
    </row>
    <row r="581" spans="9:9" x14ac:dyDescent="0.3">
      <c r="I581" s="24"/>
    </row>
    <row r="582" spans="9:9" x14ac:dyDescent="0.3">
      <c r="I582" s="24"/>
    </row>
    <row r="583" spans="9:9" x14ac:dyDescent="0.3">
      <c r="I583" s="24"/>
    </row>
    <row r="584" spans="9:9" x14ac:dyDescent="0.3">
      <c r="I584" s="24"/>
    </row>
    <row r="585" spans="9:9" x14ac:dyDescent="0.3">
      <c r="I585" s="24"/>
    </row>
    <row r="586" spans="9:9" x14ac:dyDescent="0.3">
      <c r="I586" s="24"/>
    </row>
    <row r="587" spans="9:9" x14ac:dyDescent="0.3">
      <c r="I587" s="24"/>
    </row>
    <row r="588" spans="9:9" x14ac:dyDescent="0.3">
      <c r="I588" s="24"/>
    </row>
    <row r="589" spans="9:9" x14ac:dyDescent="0.3">
      <c r="I589" s="24"/>
    </row>
    <row r="590" spans="9:9" x14ac:dyDescent="0.3">
      <c r="I590" s="24"/>
    </row>
    <row r="591" spans="9:9" x14ac:dyDescent="0.3">
      <c r="I591" s="24"/>
    </row>
    <row r="592" spans="9:9" x14ac:dyDescent="0.3">
      <c r="I592" s="24"/>
    </row>
    <row r="593" spans="9:9" x14ac:dyDescent="0.3">
      <c r="I593" s="24"/>
    </row>
    <row r="594" spans="9:9" x14ac:dyDescent="0.3">
      <c r="I594" s="24"/>
    </row>
    <row r="595" spans="9:9" x14ac:dyDescent="0.3">
      <c r="I595" s="24"/>
    </row>
    <row r="596" spans="9:9" x14ac:dyDescent="0.3">
      <c r="I596" s="24"/>
    </row>
    <row r="597" spans="9:9" x14ac:dyDescent="0.3">
      <c r="I597" s="24"/>
    </row>
    <row r="598" spans="9:9" x14ac:dyDescent="0.3">
      <c r="I598" s="24"/>
    </row>
    <row r="599" spans="9:9" x14ac:dyDescent="0.3">
      <c r="I599" s="24"/>
    </row>
    <row r="600" spans="9:9" x14ac:dyDescent="0.3">
      <c r="I600" s="24"/>
    </row>
    <row r="601" spans="9:9" x14ac:dyDescent="0.3">
      <c r="I601" s="24"/>
    </row>
    <row r="602" spans="9:9" x14ac:dyDescent="0.3">
      <c r="I602" s="24"/>
    </row>
    <row r="603" spans="9:9" x14ac:dyDescent="0.3">
      <c r="I603" s="24"/>
    </row>
    <row r="604" spans="9:9" x14ac:dyDescent="0.3">
      <c r="I604" s="24"/>
    </row>
    <row r="605" spans="9:9" x14ac:dyDescent="0.3">
      <c r="I605" s="24"/>
    </row>
    <row r="606" spans="9:9" x14ac:dyDescent="0.3">
      <c r="I606" s="24"/>
    </row>
    <row r="607" spans="9:9" x14ac:dyDescent="0.3">
      <c r="I607" s="24"/>
    </row>
    <row r="608" spans="9:9" x14ac:dyDescent="0.3">
      <c r="I608" s="24"/>
    </row>
    <row r="609" spans="9:9" x14ac:dyDescent="0.3">
      <c r="I609" s="24"/>
    </row>
    <row r="610" spans="9:9" x14ac:dyDescent="0.3">
      <c r="I610" s="24"/>
    </row>
    <row r="611" spans="9:9" x14ac:dyDescent="0.3">
      <c r="I611" s="24"/>
    </row>
    <row r="612" spans="9:9" x14ac:dyDescent="0.3">
      <c r="I612" s="24"/>
    </row>
    <row r="613" spans="9:9" x14ac:dyDescent="0.3">
      <c r="I613" s="24"/>
    </row>
    <row r="614" spans="9:9" x14ac:dyDescent="0.3">
      <c r="I614" s="24"/>
    </row>
    <row r="615" spans="9:9" x14ac:dyDescent="0.3">
      <c r="I615" s="24"/>
    </row>
    <row r="616" spans="9:9" x14ac:dyDescent="0.3">
      <c r="I616" s="24"/>
    </row>
    <row r="617" spans="9:9" x14ac:dyDescent="0.3">
      <c r="I617" s="24"/>
    </row>
    <row r="618" spans="9:9" x14ac:dyDescent="0.3">
      <c r="I618" s="24"/>
    </row>
    <row r="619" spans="9:9" x14ac:dyDescent="0.3">
      <c r="I619" s="24"/>
    </row>
    <row r="620" spans="9:9" x14ac:dyDescent="0.3">
      <c r="I620" s="24"/>
    </row>
    <row r="621" spans="9:9" x14ac:dyDescent="0.3">
      <c r="I621" s="24"/>
    </row>
    <row r="622" spans="9:9" x14ac:dyDescent="0.3">
      <c r="I622" s="24"/>
    </row>
    <row r="623" spans="9:9" x14ac:dyDescent="0.3">
      <c r="I623" s="24"/>
    </row>
    <row r="624" spans="9:9" x14ac:dyDescent="0.3">
      <c r="I624" s="24"/>
    </row>
    <row r="625" spans="9:9" x14ac:dyDescent="0.3">
      <c r="I625" s="24"/>
    </row>
    <row r="626" spans="9:9" x14ac:dyDescent="0.3">
      <c r="I626" s="24"/>
    </row>
    <row r="627" spans="9:9" x14ac:dyDescent="0.3">
      <c r="I627" s="24"/>
    </row>
    <row r="628" spans="9:9" x14ac:dyDescent="0.3">
      <c r="I628" s="24"/>
    </row>
    <row r="629" spans="9:9" x14ac:dyDescent="0.3">
      <c r="I629" s="24"/>
    </row>
    <row r="630" spans="9:9" x14ac:dyDescent="0.3">
      <c r="I630" s="24"/>
    </row>
    <row r="631" spans="9:9" x14ac:dyDescent="0.3">
      <c r="I631" s="24"/>
    </row>
    <row r="632" spans="9:9" x14ac:dyDescent="0.3">
      <c r="I632" s="24"/>
    </row>
    <row r="633" spans="9:9" x14ac:dyDescent="0.3">
      <c r="I633" s="24"/>
    </row>
    <row r="634" spans="9:9" x14ac:dyDescent="0.3">
      <c r="I634" s="24"/>
    </row>
    <row r="635" spans="9:9" x14ac:dyDescent="0.3">
      <c r="I635" s="24"/>
    </row>
    <row r="636" spans="9:9" x14ac:dyDescent="0.3">
      <c r="I636" s="24"/>
    </row>
    <row r="637" spans="9:9" x14ac:dyDescent="0.3">
      <c r="I637" s="24"/>
    </row>
    <row r="638" spans="9:9" x14ac:dyDescent="0.3">
      <c r="I638" s="24"/>
    </row>
    <row r="639" spans="9:9" x14ac:dyDescent="0.3">
      <c r="I639" s="24"/>
    </row>
    <row r="640" spans="9:9" x14ac:dyDescent="0.3">
      <c r="I640" s="24"/>
    </row>
    <row r="641" spans="9:9" x14ac:dyDescent="0.3">
      <c r="I641" s="24"/>
    </row>
    <row r="642" spans="9:9" x14ac:dyDescent="0.3">
      <c r="I642" s="24"/>
    </row>
    <row r="643" spans="9:9" x14ac:dyDescent="0.3">
      <c r="I643" s="24"/>
    </row>
    <row r="644" spans="9:9" x14ac:dyDescent="0.3">
      <c r="I644" s="24"/>
    </row>
    <row r="645" spans="9:9" x14ac:dyDescent="0.3">
      <c r="I645" s="24"/>
    </row>
    <row r="646" spans="9:9" x14ac:dyDescent="0.3">
      <c r="I646" s="24"/>
    </row>
    <row r="647" spans="9:9" x14ac:dyDescent="0.3">
      <c r="I647" s="24"/>
    </row>
    <row r="648" spans="9:9" x14ac:dyDescent="0.3">
      <c r="I648" s="24"/>
    </row>
    <row r="649" spans="9:9" x14ac:dyDescent="0.3">
      <c r="I649" s="24"/>
    </row>
    <row r="650" spans="9:9" x14ac:dyDescent="0.3">
      <c r="I650" s="24"/>
    </row>
    <row r="651" spans="9:9" x14ac:dyDescent="0.3">
      <c r="I651" s="24"/>
    </row>
    <row r="652" spans="9:9" x14ac:dyDescent="0.3">
      <c r="I652" s="24"/>
    </row>
    <row r="653" spans="9:9" x14ac:dyDescent="0.3">
      <c r="I653" s="24"/>
    </row>
    <row r="654" spans="9:9" x14ac:dyDescent="0.3">
      <c r="I654" s="24"/>
    </row>
    <row r="655" spans="9:9" x14ac:dyDescent="0.3">
      <c r="I655" s="24"/>
    </row>
    <row r="656" spans="9:9" x14ac:dyDescent="0.3">
      <c r="I656" s="24"/>
    </row>
    <row r="657" spans="9:9" x14ac:dyDescent="0.3">
      <c r="I657" s="24"/>
    </row>
    <row r="658" spans="9:9" x14ac:dyDescent="0.3">
      <c r="I658" s="24"/>
    </row>
    <row r="659" spans="9:9" x14ac:dyDescent="0.3">
      <c r="I659" s="24"/>
    </row>
    <row r="660" spans="9:9" x14ac:dyDescent="0.3">
      <c r="I660" s="24"/>
    </row>
    <row r="661" spans="9:9" x14ac:dyDescent="0.3">
      <c r="I661" s="24"/>
    </row>
    <row r="662" spans="9:9" x14ac:dyDescent="0.3">
      <c r="I662" s="24"/>
    </row>
    <row r="663" spans="9:9" x14ac:dyDescent="0.3">
      <c r="I663" s="24"/>
    </row>
    <row r="664" spans="9:9" x14ac:dyDescent="0.3">
      <c r="I664" s="24"/>
    </row>
    <row r="665" spans="9:9" x14ac:dyDescent="0.3">
      <c r="I665" s="24"/>
    </row>
    <row r="666" spans="9:9" x14ac:dyDescent="0.3">
      <c r="I666" s="24"/>
    </row>
    <row r="667" spans="9:9" x14ac:dyDescent="0.3">
      <c r="I667" s="24"/>
    </row>
    <row r="668" spans="9:9" x14ac:dyDescent="0.3">
      <c r="I668" s="24"/>
    </row>
    <row r="669" spans="9:9" x14ac:dyDescent="0.3">
      <c r="I669" s="24"/>
    </row>
    <row r="670" spans="9:9" x14ac:dyDescent="0.3">
      <c r="I670" s="24"/>
    </row>
    <row r="671" spans="9:9" x14ac:dyDescent="0.3">
      <c r="I671" s="24"/>
    </row>
    <row r="672" spans="9:9" x14ac:dyDescent="0.3">
      <c r="I672" s="24"/>
    </row>
    <row r="673" spans="9:9" x14ac:dyDescent="0.3">
      <c r="I673" s="24"/>
    </row>
    <row r="674" spans="9:9" x14ac:dyDescent="0.3">
      <c r="I674" s="24"/>
    </row>
    <row r="675" spans="9:9" x14ac:dyDescent="0.3">
      <c r="I675" s="24"/>
    </row>
    <row r="676" spans="9:9" x14ac:dyDescent="0.3">
      <c r="I676" s="24"/>
    </row>
    <row r="677" spans="9:9" x14ac:dyDescent="0.3">
      <c r="I677" s="24"/>
    </row>
    <row r="678" spans="9:9" x14ac:dyDescent="0.3">
      <c r="I678" s="24"/>
    </row>
    <row r="679" spans="9:9" x14ac:dyDescent="0.3">
      <c r="I679" s="24"/>
    </row>
    <row r="680" spans="9:9" x14ac:dyDescent="0.3">
      <c r="I680" s="24"/>
    </row>
    <row r="681" spans="9:9" x14ac:dyDescent="0.3">
      <c r="I681" s="24"/>
    </row>
    <row r="682" spans="9:9" x14ac:dyDescent="0.3">
      <c r="I682" s="24"/>
    </row>
    <row r="683" spans="9:9" x14ac:dyDescent="0.3">
      <c r="I683" s="24"/>
    </row>
    <row r="684" spans="9:9" x14ac:dyDescent="0.3">
      <c r="I684" s="24"/>
    </row>
    <row r="685" spans="9:9" x14ac:dyDescent="0.3">
      <c r="I685" s="24"/>
    </row>
    <row r="686" spans="9:9" x14ac:dyDescent="0.3">
      <c r="I686" s="24"/>
    </row>
    <row r="687" spans="9:9" x14ac:dyDescent="0.3">
      <c r="I687" s="24"/>
    </row>
    <row r="688" spans="9:9" x14ac:dyDescent="0.3">
      <c r="I688" s="24"/>
    </row>
    <row r="689" spans="9:9" x14ac:dyDescent="0.3">
      <c r="I689" s="24"/>
    </row>
    <row r="690" spans="9:9" x14ac:dyDescent="0.3">
      <c r="I690" s="24"/>
    </row>
    <row r="691" spans="9:9" x14ac:dyDescent="0.3">
      <c r="I691" s="24"/>
    </row>
    <row r="692" spans="9:9" x14ac:dyDescent="0.3">
      <c r="I692" s="24"/>
    </row>
    <row r="693" spans="9:9" x14ac:dyDescent="0.3">
      <c r="I693" s="24"/>
    </row>
    <row r="694" spans="9:9" x14ac:dyDescent="0.3">
      <c r="I694" s="24"/>
    </row>
    <row r="695" spans="9:9" x14ac:dyDescent="0.3">
      <c r="I695" s="24"/>
    </row>
    <row r="696" spans="9:9" x14ac:dyDescent="0.3">
      <c r="I696" s="24"/>
    </row>
    <row r="697" spans="9:9" x14ac:dyDescent="0.3">
      <c r="I697" s="24"/>
    </row>
    <row r="698" spans="9:9" x14ac:dyDescent="0.3">
      <c r="I698" s="24"/>
    </row>
    <row r="699" spans="9:9" x14ac:dyDescent="0.3">
      <c r="I699" s="24"/>
    </row>
    <row r="700" spans="9:9" x14ac:dyDescent="0.3">
      <c r="I700" s="24"/>
    </row>
    <row r="701" spans="9:9" x14ac:dyDescent="0.3">
      <c r="I701" s="24"/>
    </row>
    <row r="702" spans="9:9" x14ac:dyDescent="0.3">
      <c r="I702" s="24"/>
    </row>
    <row r="703" spans="9:9" x14ac:dyDescent="0.3">
      <c r="I703" s="24"/>
    </row>
    <row r="704" spans="9:9" x14ac:dyDescent="0.3">
      <c r="I704" s="24"/>
    </row>
    <row r="705" spans="9:9" x14ac:dyDescent="0.3">
      <c r="I705" s="24"/>
    </row>
    <row r="706" spans="9:9" x14ac:dyDescent="0.3">
      <c r="I706" s="24"/>
    </row>
    <row r="707" spans="9:9" x14ac:dyDescent="0.3">
      <c r="I707" s="24"/>
    </row>
    <row r="708" spans="9:9" x14ac:dyDescent="0.3">
      <c r="I708" s="24"/>
    </row>
    <row r="709" spans="9:9" x14ac:dyDescent="0.3">
      <c r="I709" s="24"/>
    </row>
    <row r="710" spans="9:9" x14ac:dyDescent="0.3">
      <c r="I710" s="24"/>
    </row>
    <row r="711" spans="9:9" x14ac:dyDescent="0.3">
      <c r="I711" s="24"/>
    </row>
    <row r="712" spans="9:9" x14ac:dyDescent="0.3">
      <c r="I712" s="24"/>
    </row>
    <row r="713" spans="9:9" x14ac:dyDescent="0.3">
      <c r="I713" s="24"/>
    </row>
    <row r="714" spans="9:9" x14ac:dyDescent="0.3">
      <c r="I714" s="24"/>
    </row>
    <row r="715" spans="9:9" x14ac:dyDescent="0.3">
      <c r="I715" s="24"/>
    </row>
    <row r="716" spans="9:9" x14ac:dyDescent="0.3">
      <c r="I716" s="24"/>
    </row>
    <row r="717" spans="9:9" x14ac:dyDescent="0.3">
      <c r="I717" s="24"/>
    </row>
    <row r="718" spans="9:9" x14ac:dyDescent="0.3">
      <c r="I718" s="24"/>
    </row>
    <row r="719" spans="9:9" x14ac:dyDescent="0.3">
      <c r="I719" s="24"/>
    </row>
    <row r="720" spans="9:9" x14ac:dyDescent="0.3">
      <c r="I720" s="24"/>
    </row>
    <row r="721" spans="9:9" x14ac:dyDescent="0.3">
      <c r="I721" s="24"/>
    </row>
    <row r="722" spans="9:9" x14ac:dyDescent="0.3">
      <c r="I722" s="24"/>
    </row>
    <row r="723" spans="9:9" x14ac:dyDescent="0.3">
      <c r="I723" s="24"/>
    </row>
    <row r="724" spans="9:9" x14ac:dyDescent="0.3">
      <c r="I724" s="24"/>
    </row>
    <row r="725" spans="9:9" x14ac:dyDescent="0.3">
      <c r="I725" s="24"/>
    </row>
    <row r="726" spans="9:9" x14ac:dyDescent="0.3">
      <c r="I726" s="24"/>
    </row>
    <row r="727" spans="9:9" x14ac:dyDescent="0.3">
      <c r="I727" s="24"/>
    </row>
    <row r="728" spans="9:9" x14ac:dyDescent="0.3">
      <c r="I728" s="24"/>
    </row>
    <row r="729" spans="9:9" x14ac:dyDescent="0.3">
      <c r="I729" s="24"/>
    </row>
    <row r="730" spans="9:9" x14ac:dyDescent="0.3">
      <c r="I730" s="24"/>
    </row>
    <row r="731" spans="9:9" x14ac:dyDescent="0.3">
      <c r="I731" s="24"/>
    </row>
    <row r="732" spans="9:9" x14ac:dyDescent="0.3">
      <c r="I732" s="24"/>
    </row>
    <row r="733" spans="9:9" x14ac:dyDescent="0.3">
      <c r="I733" s="24"/>
    </row>
    <row r="734" spans="9:9" x14ac:dyDescent="0.3">
      <c r="I734" s="24"/>
    </row>
    <row r="735" spans="9:9" x14ac:dyDescent="0.3">
      <c r="I735" s="24"/>
    </row>
    <row r="736" spans="9:9" x14ac:dyDescent="0.3">
      <c r="I736" s="24"/>
    </row>
    <row r="737" spans="9:9" x14ac:dyDescent="0.3">
      <c r="I737" s="24"/>
    </row>
    <row r="738" spans="9:9" x14ac:dyDescent="0.3">
      <c r="I738" s="24"/>
    </row>
    <row r="739" spans="9:9" x14ac:dyDescent="0.3">
      <c r="I739" s="24"/>
    </row>
    <row r="740" spans="9:9" x14ac:dyDescent="0.3">
      <c r="I740" s="24"/>
    </row>
    <row r="741" spans="9:9" x14ac:dyDescent="0.3">
      <c r="I741" s="24"/>
    </row>
    <row r="742" spans="9:9" x14ac:dyDescent="0.3">
      <c r="I742" s="24"/>
    </row>
    <row r="743" spans="9:9" x14ac:dyDescent="0.3">
      <c r="I743" s="24"/>
    </row>
    <row r="744" spans="9:9" x14ac:dyDescent="0.3">
      <c r="I744" s="24"/>
    </row>
    <row r="745" spans="9:9" x14ac:dyDescent="0.3">
      <c r="I745" s="24"/>
    </row>
    <row r="746" spans="9:9" x14ac:dyDescent="0.3">
      <c r="I746" s="24"/>
    </row>
    <row r="747" spans="9:9" x14ac:dyDescent="0.3">
      <c r="I747" s="24"/>
    </row>
    <row r="748" spans="9:9" x14ac:dyDescent="0.3">
      <c r="I748" s="24"/>
    </row>
    <row r="749" spans="9:9" x14ac:dyDescent="0.3">
      <c r="I749" s="24"/>
    </row>
    <row r="750" spans="9:9" x14ac:dyDescent="0.3">
      <c r="I750" s="24"/>
    </row>
    <row r="751" spans="9:9" x14ac:dyDescent="0.3">
      <c r="I751" s="24"/>
    </row>
    <row r="752" spans="9:9" x14ac:dyDescent="0.3">
      <c r="I752" s="24"/>
    </row>
    <row r="753" spans="9:9" x14ac:dyDescent="0.3">
      <c r="I753" s="24"/>
    </row>
    <row r="754" spans="9:9" x14ac:dyDescent="0.3">
      <c r="I754" s="24"/>
    </row>
    <row r="755" spans="9:9" x14ac:dyDescent="0.3">
      <c r="I755" s="24"/>
    </row>
    <row r="756" spans="9:9" x14ac:dyDescent="0.3">
      <c r="I756" s="24"/>
    </row>
    <row r="757" spans="9:9" x14ac:dyDescent="0.3">
      <c r="I757" s="24"/>
    </row>
    <row r="758" spans="9:9" x14ac:dyDescent="0.3">
      <c r="I758" s="24"/>
    </row>
    <row r="759" spans="9:9" x14ac:dyDescent="0.3">
      <c r="I759" s="24"/>
    </row>
    <row r="760" spans="9:9" x14ac:dyDescent="0.3">
      <c r="I760" s="24"/>
    </row>
    <row r="761" spans="9:9" x14ac:dyDescent="0.3">
      <c r="I761" s="24"/>
    </row>
    <row r="762" spans="9:9" x14ac:dyDescent="0.3">
      <c r="I762" s="24"/>
    </row>
    <row r="763" spans="9:9" x14ac:dyDescent="0.3">
      <c r="I763" s="24"/>
    </row>
    <row r="764" spans="9:9" x14ac:dyDescent="0.3">
      <c r="I764" s="24"/>
    </row>
    <row r="765" spans="9:9" x14ac:dyDescent="0.3">
      <c r="I765" s="24"/>
    </row>
    <row r="766" spans="9:9" x14ac:dyDescent="0.3">
      <c r="I766" s="24"/>
    </row>
    <row r="767" spans="9:9" x14ac:dyDescent="0.3">
      <c r="I767" s="24"/>
    </row>
    <row r="768" spans="9:9" x14ac:dyDescent="0.3">
      <c r="I768" s="24"/>
    </row>
    <row r="769" spans="9:9" x14ac:dyDescent="0.3">
      <c r="I769" s="24"/>
    </row>
    <row r="770" spans="9:9" x14ac:dyDescent="0.3">
      <c r="I770" s="24"/>
    </row>
    <row r="771" spans="9:9" x14ac:dyDescent="0.3">
      <c r="I771" s="24"/>
    </row>
    <row r="772" spans="9:9" x14ac:dyDescent="0.3">
      <c r="I772" s="24"/>
    </row>
    <row r="773" spans="9:9" x14ac:dyDescent="0.3">
      <c r="I773" s="24"/>
    </row>
    <row r="774" spans="9:9" x14ac:dyDescent="0.3">
      <c r="I774" s="24"/>
    </row>
    <row r="775" spans="9:9" x14ac:dyDescent="0.3">
      <c r="I775" s="24"/>
    </row>
    <row r="776" spans="9:9" x14ac:dyDescent="0.3">
      <c r="I776" s="24"/>
    </row>
    <row r="777" spans="9:9" x14ac:dyDescent="0.3">
      <c r="I777" s="24"/>
    </row>
    <row r="778" spans="9:9" x14ac:dyDescent="0.3">
      <c r="I778" s="24"/>
    </row>
    <row r="779" spans="9:9" x14ac:dyDescent="0.3">
      <c r="I779" s="24"/>
    </row>
    <row r="780" spans="9:9" x14ac:dyDescent="0.3">
      <c r="I780" s="24"/>
    </row>
    <row r="781" spans="9:9" x14ac:dyDescent="0.3">
      <c r="I781" s="24"/>
    </row>
    <row r="782" spans="9:9" x14ac:dyDescent="0.3">
      <c r="I782" s="24"/>
    </row>
    <row r="783" spans="9:9" x14ac:dyDescent="0.3">
      <c r="I783" s="24"/>
    </row>
    <row r="784" spans="9:9" x14ac:dyDescent="0.3">
      <c r="I784" s="24"/>
    </row>
    <row r="785" spans="9:9" x14ac:dyDescent="0.3">
      <c r="I785" s="24"/>
    </row>
    <row r="786" spans="9:9" x14ac:dyDescent="0.3">
      <c r="I786" s="24"/>
    </row>
    <row r="787" spans="9:9" x14ac:dyDescent="0.3">
      <c r="I787" s="24"/>
    </row>
    <row r="788" spans="9:9" x14ac:dyDescent="0.3">
      <c r="I788" s="24"/>
    </row>
    <row r="789" spans="9:9" x14ac:dyDescent="0.3">
      <c r="I789" s="24"/>
    </row>
    <row r="790" spans="9:9" x14ac:dyDescent="0.3">
      <c r="I790" s="24"/>
    </row>
    <row r="791" spans="9:9" x14ac:dyDescent="0.3">
      <c r="I791" s="24"/>
    </row>
    <row r="792" spans="9:9" x14ac:dyDescent="0.3">
      <c r="I792" s="24"/>
    </row>
    <row r="793" spans="9:9" x14ac:dyDescent="0.3">
      <c r="I793" s="24"/>
    </row>
    <row r="794" spans="9:9" x14ac:dyDescent="0.3">
      <c r="I794" s="24"/>
    </row>
    <row r="795" spans="9:9" x14ac:dyDescent="0.3">
      <c r="I795" s="24"/>
    </row>
    <row r="796" spans="9:9" x14ac:dyDescent="0.3">
      <c r="I796" s="24"/>
    </row>
    <row r="797" spans="9:9" x14ac:dyDescent="0.3">
      <c r="I797" s="24"/>
    </row>
    <row r="798" spans="9:9" x14ac:dyDescent="0.3">
      <c r="I798" s="24"/>
    </row>
    <row r="799" spans="9:9" x14ac:dyDescent="0.3">
      <c r="I799" s="24"/>
    </row>
    <row r="800" spans="9:9" x14ac:dyDescent="0.3">
      <c r="I800" s="24"/>
    </row>
    <row r="801" spans="9:9" x14ac:dyDescent="0.3">
      <c r="I801" s="24"/>
    </row>
    <row r="802" spans="9:9" x14ac:dyDescent="0.3">
      <c r="I802" s="24"/>
    </row>
    <row r="803" spans="9:9" x14ac:dyDescent="0.3">
      <c r="I803" s="24"/>
    </row>
    <row r="804" spans="9:9" x14ac:dyDescent="0.3">
      <c r="I804" s="24"/>
    </row>
    <row r="805" spans="9:9" x14ac:dyDescent="0.3">
      <c r="I805" s="24"/>
    </row>
    <row r="806" spans="9:9" x14ac:dyDescent="0.3">
      <c r="I806" s="24"/>
    </row>
    <row r="807" spans="9:9" x14ac:dyDescent="0.3">
      <c r="I807" s="24"/>
    </row>
    <row r="808" spans="9:9" x14ac:dyDescent="0.3">
      <c r="I808" s="24"/>
    </row>
    <row r="809" spans="9:9" x14ac:dyDescent="0.3">
      <c r="I809" s="24"/>
    </row>
    <row r="810" spans="9:9" x14ac:dyDescent="0.3">
      <c r="I810" s="24"/>
    </row>
    <row r="811" spans="9:9" x14ac:dyDescent="0.3">
      <c r="I811" s="24"/>
    </row>
    <row r="812" spans="9:9" x14ac:dyDescent="0.3">
      <c r="I812" s="24"/>
    </row>
    <row r="813" spans="9:9" x14ac:dyDescent="0.3">
      <c r="I813" s="24"/>
    </row>
    <row r="814" spans="9:9" x14ac:dyDescent="0.3">
      <c r="I814" s="24"/>
    </row>
    <row r="815" spans="9:9" x14ac:dyDescent="0.3">
      <c r="I815" s="24"/>
    </row>
    <row r="816" spans="9:9" x14ac:dyDescent="0.3">
      <c r="I816" s="24"/>
    </row>
    <row r="817" spans="9:9" x14ac:dyDescent="0.3">
      <c r="I817" s="24"/>
    </row>
    <row r="818" spans="9:9" x14ac:dyDescent="0.3">
      <c r="I818" s="24"/>
    </row>
    <row r="819" spans="9:9" x14ac:dyDescent="0.3">
      <c r="I819" s="24"/>
    </row>
    <row r="820" spans="9:9" x14ac:dyDescent="0.3">
      <c r="I820" s="24"/>
    </row>
    <row r="821" spans="9:9" x14ac:dyDescent="0.3">
      <c r="I821" s="24"/>
    </row>
    <row r="822" spans="9:9" x14ac:dyDescent="0.3">
      <c r="I822" s="24"/>
    </row>
    <row r="823" spans="9:9" x14ac:dyDescent="0.3">
      <c r="I823" s="24"/>
    </row>
    <row r="824" spans="9:9" x14ac:dyDescent="0.3">
      <c r="I824" s="24"/>
    </row>
    <row r="825" spans="9:9" x14ac:dyDescent="0.3">
      <c r="I825" s="24"/>
    </row>
    <row r="826" spans="9:9" x14ac:dyDescent="0.3">
      <c r="I826" s="24"/>
    </row>
    <row r="827" spans="9:9" x14ac:dyDescent="0.3">
      <c r="I827" s="24"/>
    </row>
    <row r="828" spans="9:9" x14ac:dyDescent="0.3">
      <c r="I828" s="24"/>
    </row>
    <row r="829" spans="9:9" x14ac:dyDescent="0.3">
      <c r="I829" s="24"/>
    </row>
    <row r="830" spans="9:9" x14ac:dyDescent="0.3">
      <c r="I830" s="24"/>
    </row>
    <row r="831" spans="9:9" x14ac:dyDescent="0.3">
      <c r="I831" s="24"/>
    </row>
    <row r="832" spans="9:9" x14ac:dyDescent="0.3">
      <c r="I832" s="24"/>
    </row>
    <row r="833" spans="9:9" x14ac:dyDescent="0.3">
      <c r="I833" s="24"/>
    </row>
    <row r="834" spans="9:9" x14ac:dyDescent="0.3">
      <c r="I834" s="24"/>
    </row>
    <row r="835" spans="9:9" x14ac:dyDescent="0.3">
      <c r="I835" s="24"/>
    </row>
    <row r="836" spans="9:9" x14ac:dyDescent="0.3">
      <c r="I836" s="24"/>
    </row>
    <row r="837" spans="9:9" x14ac:dyDescent="0.3">
      <c r="I837" s="24"/>
    </row>
    <row r="838" spans="9:9" x14ac:dyDescent="0.3">
      <c r="I838" s="24"/>
    </row>
    <row r="839" spans="9:9" x14ac:dyDescent="0.3">
      <c r="I839" s="24"/>
    </row>
    <row r="840" spans="9:9" x14ac:dyDescent="0.3">
      <c r="I840" s="24"/>
    </row>
    <row r="841" spans="9:9" x14ac:dyDescent="0.3">
      <c r="I841" s="24"/>
    </row>
    <row r="842" spans="9:9" x14ac:dyDescent="0.3">
      <c r="I842" s="24"/>
    </row>
    <row r="843" spans="9:9" x14ac:dyDescent="0.3">
      <c r="I843" s="24"/>
    </row>
    <row r="844" spans="9:9" x14ac:dyDescent="0.3">
      <c r="I844" s="24"/>
    </row>
    <row r="845" spans="9:9" x14ac:dyDescent="0.3">
      <c r="I845" s="24"/>
    </row>
    <row r="846" spans="9:9" x14ac:dyDescent="0.3">
      <c r="I846" s="24"/>
    </row>
    <row r="847" spans="9:9" x14ac:dyDescent="0.3">
      <c r="I847" s="24"/>
    </row>
    <row r="848" spans="9:9" x14ac:dyDescent="0.3">
      <c r="I848" s="24"/>
    </row>
    <row r="849" spans="9:9" x14ac:dyDescent="0.3">
      <c r="I849" s="24"/>
    </row>
    <row r="850" spans="9:9" x14ac:dyDescent="0.3">
      <c r="I850" s="24"/>
    </row>
    <row r="851" spans="9:9" x14ac:dyDescent="0.3">
      <c r="I851" s="24"/>
    </row>
    <row r="852" spans="9:9" x14ac:dyDescent="0.3">
      <c r="I852" s="24"/>
    </row>
    <row r="853" spans="9:9" x14ac:dyDescent="0.3">
      <c r="I853" s="24"/>
    </row>
    <row r="854" spans="9:9" x14ac:dyDescent="0.3">
      <c r="I854" s="24"/>
    </row>
    <row r="855" spans="9:9" x14ac:dyDescent="0.3">
      <c r="I855" s="24"/>
    </row>
    <row r="856" spans="9:9" x14ac:dyDescent="0.3">
      <c r="I856" s="24"/>
    </row>
    <row r="857" spans="9:9" x14ac:dyDescent="0.3">
      <c r="I857" s="24"/>
    </row>
    <row r="858" spans="9:9" x14ac:dyDescent="0.3">
      <c r="I858" s="24"/>
    </row>
    <row r="859" spans="9:9" x14ac:dyDescent="0.3">
      <c r="I859" s="24"/>
    </row>
    <row r="860" spans="9:9" x14ac:dyDescent="0.3">
      <c r="I860" s="24"/>
    </row>
    <row r="861" spans="9:9" x14ac:dyDescent="0.3">
      <c r="I861" s="24"/>
    </row>
    <row r="862" spans="9:9" x14ac:dyDescent="0.3">
      <c r="I862" s="24"/>
    </row>
    <row r="863" spans="9:9" x14ac:dyDescent="0.3">
      <c r="I863" s="24"/>
    </row>
    <row r="864" spans="9:9" x14ac:dyDescent="0.3">
      <c r="I864" s="24"/>
    </row>
    <row r="865" spans="9:9" x14ac:dyDescent="0.3">
      <c r="I865" s="24"/>
    </row>
    <row r="866" spans="9:9" x14ac:dyDescent="0.3">
      <c r="I866" s="24"/>
    </row>
    <row r="867" spans="9:9" x14ac:dyDescent="0.3">
      <c r="I867" s="24"/>
    </row>
    <row r="868" spans="9:9" x14ac:dyDescent="0.3">
      <c r="I868" s="24"/>
    </row>
    <row r="869" spans="9:9" x14ac:dyDescent="0.3">
      <c r="I869" s="24"/>
    </row>
    <row r="870" spans="9:9" x14ac:dyDescent="0.3">
      <c r="I870" s="24"/>
    </row>
  </sheetData>
  <mergeCells count="5">
    <mergeCell ref="A2:G2"/>
    <mergeCell ref="I2:J2"/>
    <mergeCell ref="AA2:AG2"/>
    <mergeCell ref="A1:U1"/>
    <mergeCell ref="P2:U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C36-C8E7-437F-8CCE-A051B94B1C09}">
  <dimension ref="A1:AD609"/>
  <sheetViews>
    <sheetView topLeftCell="A39" zoomScaleNormal="100" workbookViewId="0">
      <selection activeCell="B47" sqref="B47"/>
    </sheetView>
  </sheetViews>
  <sheetFormatPr defaultRowHeight="14.4" x14ac:dyDescent="0.3"/>
  <cols>
    <col min="1" max="1" width="15.5546875" style="3" customWidth="1"/>
    <col min="2" max="2" width="18.6640625" style="4" customWidth="1"/>
    <col min="3" max="3" width="19.5546875" style="4" customWidth="1"/>
    <col min="4" max="4" width="22.88671875" style="4" customWidth="1"/>
    <col min="5" max="5" width="16" style="4" customWidth="1"/>
    <col min="6" max="6" width="13.6640625" style="4" customWidth="1"/>
    <col min="7" max="7" width="11.5546875" style="4" customWidth="1"/>
    <col min="9" max="9" width="15.33203125" style="8" customWidth="1"/>
    <col min="10" max="10" width="14.88671875" style="25" customWidth="1"/>
    <col min="11" max="11" width="15.44140625" style="8" customWidth="1"/>
    <col min="12" max="12" width="18.33203125" style="8" bestFit="1" customWidth="1"/>
    <col min="13" max="13" width="13.88671875" style="16" customWidth="1"/>
    <col min="14" max="14" width="18.109375" style="4" customWidth="1"/>
    <col min="15" max="15" width="18" customWidth="1"/>
    <col min="16" max="16" width="18.6640625" style="17" bestFit="1" customWidth="1"/>
    <col min="17" max="17" width="21.33203125" customWidth="1"/>
    <col min="18" max="18" width="12.109375" bestFit="1" customWidth="1"/>
    <col min="19" max="19" width="18.33203125" bestFit="1" customWidth="1"/>
    <col min="20" max="20" width="12.33203125" bestFit="1" customWidth="1"/>
    <col min="21" max="21" width="18.6640625" bestFit="1" customWidth="1"/>
    <col min="22" max="22" width="11" customWidth="1"/>
    <col min="23" max="23" width="16" customWidth="1"/>
    <col min="24" max="24" width="13.33203125" customWidth="1"/>
    <col min="25" max="25" width="13.6640625" customWidth="1"/>
    <col min="26" max="26" width="15.44140625" customWidth="1"/>
  </cols>
  <sheetData>
    <row r="1" spans="1:30" ht="20.25" customHeight="1" x14ac:dyDescent="0.3">
      <c r="A1" s="192"/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</row>
    <row r="2" spans="1:30" x14ac:dyDescent="0.3">
      <c r="A2" s="186" t="s">
        <v>1</v>
      </c>
      <c r="B2" s="187"/>
      <c r="C2" s="187"/>
      <c r="D2" s="187"/>
      <c r="E2" s="187"/>
      <c r="F2" s="187"/>
      <c r="G2" s="188"/>
      <c r="I2" s="194" t="s">
        <v>12</v>
      </c>
      <c r="J2" s="194"/>
      <c r="K2" s="194"/>
      <c r="P2" s="195" t="s">
        <v>3</v>
      </c>
      <c r="Q2" s="195"/>
      <c r="R2" s="195"/>
      <c r="S2" s="195"/>
      <c r="T2" s="195"/>
      <c r="U2" s="195"/>
    </row>
    <row r="3" spans="1:30" x14ac:dyDescent="0.3">
      <c r="A3" s="1" t="s">
        <v>31</v>
      </c>
      <c r="B3" s="12" t="s">
        <v>7</v>
      </c>
      <c r="C3" s="12" t="s">
        <v>34</v>
      </c>
      <c r="D3" s="13" t="s">
        <v>8</v>
      </c>
      <c r="E3" s="13" t="s">
        <v>9</v>
      </c>
      <c r="F3" s="12"/>
      <c r="G3" s="12" t="s">
        <v>10</v>
      </c>
      <c r="I3" s="6" t="s">
        <v>31</v>
      </c>
      <c r="J3" s="70" t="s">
        <v>12</v>
      </c>
      <c r="K3" s="6" t="s">
        <v>43</v>
      </c>
      <c r="L3" s="12" t="s">
        <v>18</v>
      </c>
      <c r="M3" s="29"/>
      <c r="N3" s="6" t="s">
        <v>19</v>
      </c>
      <c r="O3" s="19"/>
      <c r="P3" s="6" t="s">
        <v>15</v>
      </c>
      <c r="Q3" s="39" t="s">
        <v>35</v>
      </c>
      <c r="R3" s="6" t="s">
        <v>17</v>
      </c>
      <c r="S3" s="12" t="s">
        <v>18</v>
      </c>
      <c r="T3" s="29"/>
      <c r="U3" s="6" t="s">
        <v>19</v>
      </c>
    </row>
    <row r="4" spans="1:30" x14ac:dyDescent="0.3">
      <c r="A4" s="14">
        <v>44856</v>
      </c>
      <c r="B4" s="15">
        <v>0</v>
      </c>
      <c r="C4" s="27">
        <f>$H$4*B4</f>
        <v>0</v>
      </c>
      <c r="D4" s="5">
        <f>AVERAGE($C$4:$C$104)</f>
        <v>6.8435681818181813</v>
      </c>
      <c r="E4" s="5">
        <f>_xlfn.STDEV.S($C$4:$C$47)</f>
        <v>8.027337206268971</v>
      </c>
      <c r="F4" s="5">
        <f>C4-D4</f>
        <v>-6.8435681818181813</v>
      </c>
      <c r="G4" s="5">
        <f>F4/E4</f>
        <v>-0.85253278963710133</v>
      </c>
      <c r="H4" s="28">
        <v>25.4</v>
      </c>
      <c r="I4" s="14">
        <v>44856</v>
      </c>
      <c r="J4" s="25">
        <v>5.4983108108108088E-2</v>
      </c>
      <c r="K4" s="9">
        <f>AVERAGE($J$4:$J$215)</f>
        <v>1.7734832038422981</v>
      </c>
      <c r="L4" s="9">
        <f>_xlfn.STDEV.S($J$4:$J$226)</f>
        <v>3.1238299058831123</v>
      </c>
      <c r="M4" s="20">
        <f>J4-K4</f>
        <v>-1.71850009573419</v>
      </c>
      <c r="N4" s="26">
        <f>M4/L4</f>
        <v>-0.55012601438309328</v>
      </c>
      <c r="P4" s="10">
        <v>44479</v>
      </c>
      <c r="Q4" s="41">
        <v>529.51599999999996</v>
      </c>
      <c r="R4" s="30">
        <f>AVERAGE($Q$4:$Q$450)</f>
        <v>529.80626175662462</v>
      </c>
      <c r="S4" s="30">
        <f>_xlfn.STDEV.S($Q$4:$Q$390)</f>
        <v>0.25900494814872016</v>
      </c>
      <c r="T4" s="31">
        <f>Q4-R4</f>
        <v>-0.29026175662465903</v>
      </c>
      <c r="U4" s="30">
        <f>T4/S4</f>
        <v>-1.1206803526316851</v>
      </c>
      <c r="W4" s="177" t="s">
        <v>4</v>
      </c>
      <c r="X4" s="177"/>
      <c r="Y4" s="177"/>
      <c r="Z4" s="177"/>
      <c r="AA4" s="177" t="s">
        <v>5</v>
      </c>
      <c r="AB4" s="177"/>
      <c r="AC4" s="177"/>
      <c r="AD4" s="177"/>
    </row>
    <row r="5" spans="1:30" x14ac:dyDescent="0.3">
      <c r="A5" s="14">
        <v>44887</v>
      </c>
      <c r="B5" s="15">
        <v>7.0000000000000007E-2</v>
      </c>
      <c r="C5" s="27">
        <f t="shared" ref="C5:C25" si="0">$H$4*B5</f>
        <v>1.778</v>
      </c>
      <c r="D5" s="5">
        <f t="shared" ref="D5:D47" si="1">AVERAGE($C$4:$C$104)</f>
        <v>6.8435681818181813</v>
      </c>
      <c r="E5" s="5">
        <f t="shared" ref="E5:E47" si="2">_xlfn.STDEV.S($C$4:$C$47)</f>
        <v>8.027337206268971</v>
      </c>
      <c r="F5" s="5">
        <f t="shared" ref="F5:F33" si="3">C5-D5</f>
        <v>-5.0655681818181808</v>
      </c>
      <c r="G5" s="5">
        <f t="shared" ref="G5:G46" si="4">F5/E5</f>
        <v>-0.63103966504138032</v>
      </c>
      <c r="I5" s="14">
        <v>44887</v>
      </c>
      <c r="J5" s="25">
        <v>0.13071283358914804</v>
      </c>
      <c r="K5" s="9">
        <f t="shared" ref="K5:K47" si="5">AVERAGE($J$4:$J$215)</f>
        <v>1.7734832038422981</v>
      </c>
      <c r="L5" s="9">
        <f t="shared" ref="L5:L47" si="6">_xlfn.STDEV.S($J$4:$J$226)</f>
        <v>3.1238299058831123</v>
      </c>
      <c r="M5" s="20">
        <f t="shared" ref="M5:M23" si="7">J5-K5</f>
        <v>-1.64277037025315</v>
      </c>
      <c r="N5" s="26">
        <f t="shared" ref="N5:N23" si="8">M5/L5</f>
        <v>-0.5258834250735992</v>
      </c>
      <c r="P5" s="10">
        <v>44510</v>
      </c>
      <c r="Q5" s="41">
        <v>529.56099999999992</v>
      </c>
      <c r="R5" s="30">
        <f t="shared" ref="R5:R47" si="9">AVERAGE($Q$4:$Q$450)</f>
        <v>529.80626175662462</v>
      </c>
      <c r="S5" s="30">
        <f t="shared" ref="S5:S39" si="10">_xlfn.STDEV.S($Q$4:$Q$390)</f>
        <v>0.25900494814872016</v>
      </c>
      <c r="T5" s="31">
        <f t="shared" ref="T5:T35" si="11">Q5-R5</f>
        <v>-0.24526175662469996</v>
      </c>
      <c r="U5" s="30">
        <f t="shared" ref="U5:U35" si="12">T5/S5</f>
        <v>-0.94693849819375309</v>
      </c>
      <c r="W5" s="178" t="s">
        <v>20</v>
      </c>
      <c r="X5" s="179"/>
      <c r="Y5" s="178" t="s">
        <v>21</v>
      </c>
      <c r="Z5" s="179"/>
      <c r="AA5" s="178" t="s">
        <v>20</v>
      </c>
      <c r="AB5" s="179"/>
      <c r="AC5" s="178" t="s">
        <v>21</v>
      </c>
      <c r="AD5" s="179"/>
    </row>
    <row r="6" spans="1:30" x14ac:dyDescent="0.3">
      <c r="A6" s="14">
        <v>44917</v>
      </c>
      <c r="B6" s="15">
        <v>0.37</v>
      </c>
      <c r="C6" s="27">
        <f t="shared" si="0"/>
        <v>9.3979999999999997</v>
      </c>
      <c r="D6" s="5">
        <f t="shared" si="1"/>
        <v>6.8435681818181813</v>
      </c>
      <c r="E6" s="5">
        <f t="shared" si="2"/>
        <v>8.027337206268971</v>
      </c>
      <c r="F6" s="5">
        <f t="shared" si="3"/>
        <v>2.5544318181818184</v>
      </c>
      <c r="G6" s="5">
        <f t="shared" si="4"/>
        <v>0.31821658322599528</v>
      </c>
      <c r="I6" s="14">
        <v>44917</v>
      </c>
      <c r="J6" s="25">
        <v>0.1927443122948648</v>
      </c>
      <c r="K6" s="9">
        <f t="shared" si="5"/>
        <v>1.7734832038422981</v>
      </c>
      <c r="L6" s="9">
        <f t="shared" si="6"/>
        <v>3.1238299058831123</v>
      </c>
      <c r="M6" s="20">
        <f t="shared" si="7"/>
        <v>-1.5807388915474332</v>
      </c>
      <c r="N6" s="26">
        <f t="shared" si="8"/>
        <v>-0.50602591663855512</v>
      </c>
      <c r="P6" s="10">
        <v>44540</v>
      </c>
      <c r="Q6" s="41">
        <v>529.68200000000002</v>
      </c>
      <c r="R6" s="30">
        <f t="shared" si="9"/>
        <v>529.80626175662462</v>
      </c>
      <c r="S6" s="30">
        <f t="shared" si="10"/>
        <v>0.25900494814872016</v>
      </c>
      <c r="T6" s="31">
        <f t="shared" si="11"/>
        <v>-0.12426175662460537</v>
      </c>
      <c r="U6" s="30">
        <f t="shared" si="12"/>
        <v>-0.47976595625985685</v>
      </c>
      <c r="W6" s="97" t="s">
        <v>22</v>
      </c>
      <c r="X6" s="97" t="s">
        <v>23</v>
      </c>
      <c r="Y6" s="97" t="s">
        <v>24</v>
      </c>
      <c r="Z6" s="97" t="s">
        <v>25</v>
      </c>
      <c r="AA6" s="97" t="s">
        <v>22</v>
      </c>
      <c r="AB6" s="97" t="s">
        <v>23</v>
      </c>
      <c r="AC6" s="97" t="s">
        <v>24</v>
      </c>
      <c r="AD6" s="97" t="s">
        <v>25</v>
      </c>
    </row>
    <row r="7" spans="1:30" x14ac:dyDescent="0.3">
      <c r="A7" s="14">
        <v>44949</v>
      </c>
      <c r="B7" s="15">
        <v>0.22</v>
      </c>
      <c r="C7" s="27">
        <f t="shared" si="0"/>
        <v>5.5880000000000001</v>
      </c>
      <c r="D7" s="5">
        <f t="shared" si="1"/>
        <v>6.8435681818181813</v>
      </c>
      <c r="E7" s="5">
        <f t="shared" si="2"/>
        <v>8.027337206268971</v>
      </c>
      <c r="F7" s="5">
        <f t="shared" si="3"/>
        <v>-1.2555681818181812</v>
      </c>
      <c r="G7" s="5">
        <f t="shared" si="4"/>
        <v>-0.15641154090769249</v>
      </c>
      <c r="I7" s="14">
        <v>44949</v>
      </c>
      <c r="J7" s="25">
        <v>1.4962779695421511</v>
      </c>
      <c r="K7" s="9">
        <f t="shared" si="5"/>
        <v>1.7734832038422981</v>
      </c>
      <c r="L7" s="9">
        <f t="shared" si="6"/>
        <v>3.1238299058831123</v>
      </c>
      <c r="M7" s="20">
        <f t="shared" si="7"/>
        <v>-0.27720523430014699</v>
      </c>
      <c r="N7" s="26">
        <f t="shared" si="8"/>
        <v>-8.8738901493351494E-2</v>
      </c>
      <c r="P7" s="10">
        <v>44571</v>
      </c>
      <c r="Q7" s="41">
        <v>529.60599999999999</v>
      </c>
      <c r="R7" s="30">
        <f t="shared" si="9"/>
        <v>529.80626175662462</v>
      </c>
      <c r="S7" s="30">
        <f t="shared" si="10"/>
        <v>0.25900494814872016</v>
      </c>
      <c r="T7" s="31">
        <f t="shared" si="11"/>
        <v>-0.2002617566246272</v>
      </c>
      <c r="U7" s="30">
        <f t="shared" si="12"/>
        <v>-0.77319664375538211</v>
      </c>
      <c r="W7" s="98">
        <f>C21</f>
        <v>8.636000000000001</v>
      </c>
      <c r="X7" s="98">
        <f>C33</f>
        <v>13.462</v>
      </c>
      <c r="Y7" s="98">
        <f>C30</f>
        <v>0.7619999999999999</v>
      </c>
      <c r="Z7" s="98">
        <v>13.462</v>
      </c>
      <c r="AA7" s="98">
        <f>Q33</f>
        <v>529.97</v>
      </c>
      <c r="AB7" s="98">
        <f>Q45</f>
        <v>529.80999999999995</v>
      </c>
      <c r="AC7" s="98">
        <f>Q42</f>
        <v>529.58000000000004</v>
      </c>
      <c r="AD7" s="98">
        <v>529.80999999999995</v>
      </c>
    </row>
    <row r="8" spans="1:30" x14ac:dyDescent="0.3">
      <c r="A8" s="14">
        <v>44980</v>
      </c>
      <c r="B8" s="15">
        <f>AVERAGE(B7,B9)</f>
        <v>0.16999999999999998</v>
      </c>
      <c r="C8" s="27">
        <f>$H$4*B8</f>
        <v>4.3179999999999996</v>
      </c>
      <c r="D8" s="5">
        <f t="shared" si="1"/>
        <v>6.8435681818181813</v>
      </c>
      <c r="E8" s="5">
        <f t="shared" si="2"/>
        <v>8.027337206268971</v>
      </c>
      <c r="F8" s="5">
        <f t="shared" si="3"/>
        <v>-2.5255681818181817</v>
      </c>
      <c r="G8" s="5">
        <f t="shared" si="4"/>
        <v>-0.31462091561892186</v>
      </c>
      <c r="I8" s="14">
        <v>44980</v>
      </c>
      <c r="J8" s="25">
        <v>4.5275179330523851</v>
      </c>
      <c r="K8" s="9">
        <f t="shared" si="5"/>
        <v>1.7734832038422981</v>
      </c>
      <c r="L8" s="9">
        <f t="shared" si="6"/>
        <v>3.1238299058831123</v>
      </c>
      <c r="M8" s="20">
        <f t="shared" si="7"/>
        <v>2.7540347292100869</v>
      </c>
      <c r="N8" s="26">
        <f t="shared" si="8"/>
        <v>0.88162121888372036</v>
      </c>
      <c r="P8" s="10">
        <v>44602</v>
      </c>
      <c r="Q8" s="41">
        <v>529.70799999999997</v>
      </c>
      <c r="R8" s="30">
        <f t="shared" si="9"/>
        <v>529.80626175662462</v>
      </c>
      <c r="S8" s="30">
        <f t="shared" si="10"/>
        <v>0.25900494814872016</v>
      </c>
      <c r="T8" s="31">
        <f t="shared" si="11"/>
        <v>-9.8261756624651753E-2</v>
      </c>
      <c r="U8" s="30">
        <f t="shared" si="12"/>
        <v>-0.37938177369580611</v>
      </c>
      <c r="W8" s="98">
        <f t="shared" ref="W8:W9" si="13">C22</f>
        <v>6.35</v>
      </c>
      <c r="X8" s="98">
        <f t="shared" ref="X8:X9" si="14">C34</f>
        <v>5.3339999999999996</v>
      </c>
      <c r="Y8" s="98">
        <f t="shared" ref="Y8:Y9" si="15">C31</f>
        <v>10.16</v>
      </c>
      <c r="Z8" s="98">
        <v>5.3339999999999996</v>
      </c>
      <c r="AA8" s="98">
        <f t="shared" ref="AA8:AA9" si="16">Q34</f>
        <v>530.01</v>
      </c>
      <c r="AB8" s="98">
        <f t="shared" ref="AB8:AB9" si="17">Q46</f>
        <v>529.82999999999993</v>
      </c>
      <c r="AC8" s="98">
        <f t="shared" ref="AC8:AC9" si="18">Q43</f>
        <v>529.77</v>
      </c>
      <c r="AD8" s="98">
        <v>529.82999999999993</v>
      </c>
    </row>
    <row r="9" spans="1:30" x14ac:dyDescent="0.3">
      <c r="A9" s="14">
        <v>45008</v>
      </c>
      <c r="B9" s="15">
        <v>0.12</v>
      </c>
      <c r="C9" s="27">
        <f t="shared" si="0"/>
        <v>3.0479999999999996</v>
      </c>
      <c r="D9" s="5">
        <f t="shared" si="1"/>
        <v>6.8435681818181813</v>
      </c>
      <c r="E9" s="5">
        <f t="shared" si="2"/>
        <v>8.027337206268971</v>
      </c>
      <c r="F9" s="5">
        <f t="shared" si="3"/>
        <v>-3.7955681818181817</v>
      </c>
      <c r="G9" s="5">
        <f t="shared" si="4"/>
        <v>-0.47283029033015112</v>
      </c>
      <c r="I9" s="14">
        <v>45008</v>
      </c>
      <c r="J9" s="25">
        <v>5.2946747649087493</v>
      </c>
      <c r="K9" s="9">
        <f t="shared" si="5"/>
        <v>1.7734832038422981</v>
      </c>
      <c r="L9" s="9">
        <f t="shared" si="6"/>
        <v>3.1238299058831123</v>
      </c>
      <c r="M9" s="20">
        <f t="shared" si="7"/>
        <v>3.521191561066451</v>
      </c>
      <c r="N9" s="26">
        <f t="shared" si="8"/>
        <v>1.1272033584270984</v>
      </c>
      <c r="P9" s="10">
        <v>44630</v>
      </c>
      <c r="Q9" s="41">
        <v>529.70799999999997</v>
      </c>
      <c r="R9" s="30">
        <f t="shared" si="9"/>
        <v>529.80626175662462</v>
      </c>
      <c r="S9" s="30">
        <f t="shared" si="10"/>
        <v>0.25900494814872016</v>
      </c>
      <c r="T9" s="31">
        <f t="shared" si="11"/>
        <v>-9.8261756624651753E-2</v>
      </c>
      <c r="U9" s="30">
        <f t="shared" si="12"/>
        <v>-0.37938177369580611</v>
      </c>
      <c r="W9" s="98">
        <f t="shared" si="13"/>
        <v>2.794</v>
      </c>
      <c r="X9" s="98">
        <f t="shared" si="14"/>
        <v>3.8099999999999996</v>
      </c>
      <c r="Y9" s="98">
        <f t="shared" si="15"/>
        <v>7.3659999999999988</v>
      </c>
      <c r="Z9" s="98">
        <v>2.032</v>
      </c>
      <c r="AA9" s="98">
        <f t="shared" si="16"/>
        <v>529.85</v>
      </c>
      <c r="AB9" s="98">
        <f t="shared" si="17"/>
        <v>529.80999999999995</v>
      </c>
      <c r="AC9" s="98">
        <f t="shared" si="18"/>
        <v>529.85</v>
      </c>
      <c r="AD9" s="98">
        <v>529.80999999999995</v>
      </c>
    </row>
    <row r="10" spans="1:30" x14ac:dyDescent="0.3">
      <c r="A10" s="14">
        <v>45039</v>
      </c>
      <c r="B10" s="15">
        <v>0.39</v>
      </c>
      <c r="C10" s="27">
        <f t="shared" si="0"/>
        <v>9.9060000000000006</v>
      </c>
      <c r="D10" s="5">
        <f t="shared" si="1"/>
        <v>6.8435681818181813</v>
      </c>
      <c r="E10" s="5">
        <f t="shared" si="2"/>
        <v>8.027337206268971</v>
      </c>
      <c r="F10" s="5">
        <f t="shared" si="3"/>
        <v>3.0624318181818193</v>
      </c>
      <c r="G10" s="5">
        <f t="shared" si="4"/>
        <v>0.38150033311048709</v>
      </c>
      <c r="I10" s="14">
        <v>45039</v>
      </c>
      <c r="J10" s="25">
        <v>1.5694460206643568</v>
      </c>
      <c r="K10" s="9">
        <f t="shared" si="5"/>
        <v>1.7734832038422981</v>
      </c>
      <c r="L10" s="9">
        <f t="shared" si="6"/>
        <v>3.1238299058831123</v>
      </c>
      <c r="M10" s="20">
        <f t="shared" si="7"/>
        <v>-0.20403718317794128</v>
      </c>
      <c r="N10" s="26">
        <f t="shared" si="8"/>
        <v>-6.5316355027422529E-2</v>
      </c>
      <c r="P10" s="10">
        <v>44661</v>
      </c>
      <c r="Q10" s="41">
        <v>529.63200000000006</v>
      </c>
      <c r="R10" s="30">
        <f t="shared" si="9"/>
        <v>529.80626175662462</v>
      </c>
      <c r="S10" s="30">
        <f t="shared" si="10"/>
        <v>0.25900494814872016</v>
      </c>
      <c r="T10" s="31">
        <f t="shared" si="11"/>
        <v>-0.17426175662455989</v>
      </c>
      <c r="U10" s="30">
        <f t="shared" si="12"/>
        <v>-0.67281246119089244</v>
      </c>
      <c r="W10" s="97" t="s">
        <v>26</v>
      </c>
      <c r="X10" s="98">
        <v>0.65</v>
      </c>
      <c r="Y10" s="97" t="s">
        <v>26</v>
      </c>
      <c r="Z10" s="98">
        <v>0.9</v>
      </c>
      <c r="AA10" s="97" t="s">
        <v>26</v>
      </c>
      <c r="AB10" s="98">
        <v>0.1</v>
      </c>
      <c r="AC10" s="97" t="s">
        <v>26</v>
      </c>
      <c r="AD10" s="98">
        <v>0.4</v>
      </c>
    </row>
    <row r="11" spans="1:30" x14ac:dyDescent="0.3">
      <c r="A11" s="14">
        <v>45069</v>
      </c>
      <c r="B11" s="15">
        <v>0.38</v>
      </c>
      <c r="C11" s="27">
        <f t="shared" si="0"/>
        <v>9.6519999999999992</v>
      </c>
      <c r="D11" s="5">
        <f t="shared" si="1"/>
        <v>6.8435681818181813</v>
      </c>
      <c r="E11" s="5">
        <f t="shared" si="2"/>
        <v>8.027337206268971</v>
      </c>
      <c r="F11" s="5">
        <f t="shared" si="3"/>
        <v>2.808431818181818</v>
      </c>
      <c r="G11" s="5">
        <f t="shared" si="4"/>
        <v>0.34985845816824107</v>
      </c>
      <c r="I11" s="14">
        <v>45069</v>
      </c>
      <c r="J11" s="25">
        <v>0.4601651030111793</v>
      </c>
      <c r="K11" s="9">
        <f t="shared" si="5"/>
        <v>1.7734832038422981</v>
      </c>
      <c r="L11" s="9">
        <f t="shared" si="6"/>
        <v>3.1238299058831123</v>
      </c>
      <c r="M11" s="20">
        <f t="shared" si="7"/>
        <v>-1.3133181008311188</v>
      </c>
      <c r="N11" s="26">
        <f t="shared" si="8"/>
        <v>-0.42041920988007231</v>
      </c>
      <c r="P11" s="10">
        <v>44691</v>
      </c>
      <c r="Q11" s="41">
        <v>529.68000000000006</v>
      </c>
      <c r="R11" s="30">
        <f t="shared" si="9"/>
        <v>529.80626175662462</v>
      </c>
      <c r="S11" s="30">
        <f t="shared" si="10"/>
        <v>0.25900494814872016</v>
      </c>
      <c r="T11" s="31">
        <f t="shared" si="11"/>
        <v>-0.12626175662455807</v>
      </c>
      <c r="U11" s="30">
        <f t="shared" si="12"/>
        <v>-0.48748781645692268</v>
      </c>
      <c r="W11" s="175" t="s">
        <v>27</v>
      </c>
      <c r="X11" s="175"/>
      <c r="Y11" s="175" t="s">
        <v>27</v>
      </c>
      <c r="Z11" s="175"/>
      <c r="AA11" s="175" t="s">
        <v>27</v>
      </c>
      <c r="AB11" s="175"/>
      <c r="AC11" s="175" t="s">
        <v>27</v>
      </c>
      <c r="AD11" s="175"/>
    </row>
    <row r="12" spans="1:30" x14ac:dyDescent="0.3">
      <c r="A12" s="14">
        <v>45100</v>
      </c>
      <c r="B12" s="15">
        <v>0.23</v>
      </c>
      <c r="C12" s="27">
        <f t="shared" si="0"/>
        <v>5.8419999999999996</v>
      </c>
      <c r="D12" s="5">
        <f t="shared" si="1"/>
        <v>6.8435681818181813</v>
      </c>
      <c r="E12" s="5">
        <f t="shared" si="2"/>
        <v>8.027337206268971</v>
      </c>
      <c r="F12" s="5">
        <f t="shared" si="3"/>
        <v>-1.0015681818181816</v>
      </c>
      <c r="G12" s="5">
        <f t="shared" si="4"/>
        <v>-0.1247696659654467</v>
      </c>
      <c r="I12" s="14">
        <v>45100</v>
      </c>
      <c r="J12" s="25">
        <v>0.62075828861128146</v>
      </c>
      <c r="K12" s="9">
        <f t="shared" si="5"/>
        <v>1.7734832038422981</v>
      </c>
      <c r="L12" s="9">
        <f t="shared" si="6"/>
        <v>3.1238299058831123</v>
      </c>
      <c r="M12" s="20">
        <f t="shared" si="7"/>
        <v>-1.1527249152310166</v>
      </c>
      <c r="N12" s="26">
        <f t="shared" si="8"/>
        <v>-0.36901014138448718</v>
      </c>
      <c r="P12" s="10">
        <v>44722</v>
      </c>
      <c r="Q12" s="41">
        <v>529.50900000000001</v>
      </c>
      <c r="R12" s="30">
        <f t="shared" si="9"/>
        <v>529.80626175662462</v>
      </c>
      <c r="S12" s="30">
        <f t="shared" si="10"/>
        <v>0.25900494814872016</v>
      </c>
      <c r="T12" s="31">
        <f t="shared" si="11"/>
        <v>-0.29726175662460719</v>
      </c>
      <c r="U12" s="30">
        <f t="shared" si="12"/>
        <v>-1.1477068633218546</v>
      </c>
    </row>
    <row r="13" spans="1:30" x14ac:dyDescent="0.3">
      <c r="A13" s="14">
        <v>45130</v>
      </c>
      <c r="B13" s="15">
        <v>0.16</v>
      </c>
      <c r="C13" s="27">
        <f t="shared" si="0"/>
        <v>4.0640000000000001</v>
      </c>
      <c r="D13" s="5">
        <f t="shared" si="1"/>
        <v>6.8435681818181813</v>
      </c>
      <c r="E13" s="5">
        <f t="shared" si="2"/>
        <v>8.027337206268971</v>
      </c>
      <c r="F13" s="5">
        <f t="shared" si="3"/>
        <v>-2.7795681818181812</v>
      </c>
      <c r="G13" s="5">
        <f t="shared" si="4"/>
        <v>-0.34626279056116765</v>
      </c>
      <c r="I13" s="14">
        <v>45130</v>
      </c>
      <c r="J13" s="25">
        <v>0.44099874723383803</v>
      </c>
      <c r="K13" s="9">
        <f t="shared" si="5"/>
        <v>1.7734832038422981</v>
      </c>
      <c r="L13" s="9">
        <f t="shared" si="6"/>
        <v>3.1238299058831123</v>
      </c>
      <c r="M13" s="20">
        <f t="shared" si="7"/>
        <v>-1.3324844566084599</v>
      </c>
      <c r="N13" s="26">
        <f t="shared" si="8"/>
        <v>-0.42655474105648022</v>
      </c>
      <c r="P13" s="10">
        <v>44752</v>
      </c>
      <c r="Q13" s="41">
        <v>529.702</v>
      </c>
      <c r="R13" s="30">
        <f t="shared" si="9"/>
        <v>529.80626175662462</v>
      </c>
      <c r="S13" s="30">
        <f t="shared" si="10"/>
        <v>0.25900494814872016</v>
      </c>
      <c r="T13" s="31">
        <f t="shared" si="11"/>
        <v>-0.10426175662462356</v>
      </c>
      <c r="U13" s="30">
        <f t="shared" si="12"/>
        <v>-0.40254735428744259</v>
      </c>
    </row>
    <row r="14" spans="1:30" x14ac:dyDescent="0.3">
      <c r="A14" s="14">
        <v>45161</v>
      </c>
      <c r="B14" s="15">
        <v>0.14000000000000001</v>
      </c>
      <c r="C14" s="27">
        <f t="shared" si="0"/>
        <v>3.556</v>
      </c>
      <c r="D14" s="5">
        <f t="shared" si="1"/>
        <v>6.8435681818181813</v>
      </c>
      <c r="E14" s="5">
        <f t="shared" si="2"/>
        <v>8.027337206268971</v>
      </c>
      <c r="F14" s="5">
        <f t="shared" si="3"/>
        <v>-3.2875681818181812</v>
      </c>
      <c r="G14" s="5">
        <f t="shared" si="4"/>
        <v>-0.40954654044565936</v>
      </c>
      <c r="I14" s="14">
        <v>45161</v>
      </c>
      <c r="J14" s="25">
        <v>0.33692613032513291</v>
      </c>
      <c r="K14" s="9">
        <f t="shared" si="5"/>
        <v>1.7734832038422981</v>
      </c>
      <c r="L14" s="9">
        <f t="shared" si="6"/>
        <v>3.1238299058831123</v>
      </c>
      <c r="M14" s="20">
        <f t="shared" si="7"/>
        <v>-1.4365570735171651</v>
      </c>
      <c r="N14" s="26">
        <f t="shared" si="8"/>
        <v>-0.45987045287315281</v>
      </c>
      <c r="P14" s="10">
        <v>44783</v>
      </c>
      <c r="Q14" s="41">
        <v>529.63400000000001</v>
      </c>
      <c r="R14" s="30">
        <f t="shared" si="9"/>
        <v>529.80626175662462</v>
      </c>
      <c r="S14" s="30">
        <f t="shared" si="10"/>
        <v>0.25900494814872016</v>
      </c>
      <c r="T14" s="31">
        <f t="shared" si="11"/>
        <v>-0.17226175662460719</v>
      </c>
      <c r="U14" s="30">
        <f t="shared" si="12"/>
        <v>-0.66509060099382655</v>
      </c>
    </row>
    <row r="15" spans="1:30" x14ac:dyDescent="0.3">
      <c r="A15" s="14">
        <v>45192</v>
      </c>
      <c r="B15" s="15">
        <v>0.05</v>
      </c>
      <c r="C15" s="27">
        <f t="shared" si="0"/>
        <v>1.27</v>
      </c>
      <c r="D15" s="5">
        <f t="shared" si="1"/>
        <v>6.8435681818181813</v>
      </c>
      <c r="E15" s="5">
        <f t="shared" si="2"/>
        <v>8.027337206268971</v>
      </c>
      <c r="F15" s="5">
        <f t="shared" si="3"/>
        <v>-5.5735681818181817</v>
      </c>
      <c r="G15" s="5">
        <f t="shared" si="4"/>
        <v>-0.69432341492587213</v>
      </c>
      <c r="I15" s="14">
        <v>45192</v>
      </c>
      <c r="J15" s="25">
        <v>0.18687272080274647</v>
      </c>
      <c r="K15" s="9">
        <f t="shared" si="5"/>
        <v>1.7734832038422981</v>
      </c>
      <c r="L15" s="9">
        <f t="shared" si="6"/>
        <v>3.1238299058831123</v>
      </c>
      <c r="M15" s="20">
        <f t="shared" si="7"/>
        <v>-1.5866104830395515</v>
      </c>
      <c r="N15" s="26">
        <f t="shared" si="8"/>
        <v>-0.50790552969977221</v>
      </c>
      <c r="P15" s="10">
        <v>44814</v>
      </c>
      <c r="Q15" s="41">
        <v>529.59199999999998</v>
      </c>
      <c r="R15" s="30">
        <f t="shared" si="9"/>
        <v>529.80626175662462</v>
      </c>
      <c r="S15" s="30">
        <f t="shared" si="10"/>
        <v>0.25900494814872016</v>
      </c>
      <c r="T15" s="31">
        <f t="shared" si="11"/>
        <v>-0.2142617566246372</v>
      </c>
      <c r="U15" s="30">
        <f t="shared" si="12"/>
        <v>-0.82724966513615983</v>
      </c>
    </row>
    <row r="16" spans="1:30" x14ac:dyDescent="0.3">
      <c r="A16" s="14">
        <v>45222</v>
      </c>
      <c r="B16" s="15">
        <v>0.04</v>
      </c>
      <c r="C16" s="27">
        <f t="shared" si="0"/>
        <v>1.016</v>
      </c>
      <c r="D16" s="5">
        <f t="shared" si="1"/>
        <v>6.8435681818181813</v>
      </c>
      <c r="E16" s="5">
        <f t="shared" si="2"/>
        <v>8.027337206268971</v>
      </c>
      <c r="F16" s="5">
        <f t="shared" si="3"/>
        <v>-5.8275681818181813</v>
      </c>
      <c r="G16" s="5">
        <f t="shared" si="4"/>
        <v>-0.72596528986811792</v>
      </c>
      <c r="I16" s="14">
        <v>45222</v>
      </c>
      <c r="J16" s="25">
        <v>0.19800000000000001</v>
      </c>
      <c r="K16" s="9">
        <f t="shared" si="5"/>
        <v>1.7734832038422981</v>
      </c>
      <c r="L16" s="9">
        <f t="shared" si="6"/>
        <v>3.1238299058831123</v>
      </c>
      <c r="M16" s="20">
        <f t="shared" si="7"/>
        <v>-1.5754832038422981</v>
      </c>
      <c r="N16" s="26">
        <f t="shared" si="8"/>
        <v>-0.50434346661295126</v>
      </c>
      <c r="P16" s="10">
        <v>44844</v>
      </c>
      <c r="Q16" s="41">
        <v>529.56200000000001</v>
      </c>
      <c r="R16" s="30">
        <f t="shared" si="9"/>
        <v>529.80626175662462</v>
      </c>
      <c r="S16" s="30">
        <f t="shared" si="10"/>
        <v>0.25900494814872016</v>
      </c>
      <c r="T16" s="31">
        <f t="shared" si="11"/>
        <v>-0.24426175662460992</v>
      </c>
      <c r="U16" s="30">
        <f t="shared" si="12"/>
        <v>-0.94307756809478127</v>
      </c>
    </row>
    <row r="17" spans="1:21" x14ac:dyDescent="0.3">
      <c r="A17" s="14">
        <v>45253</v>
      </c>
      <c r="B17" s="15">
        <v>0.04</v>
      </c>
      <c r="C17" s="27">
        <f t="shared" si="0"/>
        <v>1.016</v>
      </c>
      <c r="D17" s="5">
        <f t="shared" si="1"/>
        <v>6.8435681818181813</v>
      </c>
      <c r="E17" s="5">
        <f t="shared" si="2"/>
        <v>8.027337206268971</v>
      </c>
      <c r="F17" s="5">
        <f t="shared" si="3"/>
        <v>-5.8275681818181813</v>
      </c>
      <c r="G17" s="5">
        <f t="shared" si="4"/>
        <v>-0.72596528986811792</v>
      </c>
      <c r="I17" s="14">
        <v>45253</v>
      </c>
      <c r="J17" s="25">
        <v>0.24299999999999999</v>
      </c>
      <c r="K17" s="9">
        <f t="shared" si="5"/>
        <v>1.7734832038422981</v>
      </c>
      <c r="L17" s="9">
        <f t="shared" si="6"/>
        <v>3.1238299058831123</v>
      </c>
      <c r="M17" s="20">
        <f t="shared" si="7"/>
        <v>-1.530483203842298</v>
      </c>
      <c r="N17" s="26">
        <f t="shared" si="8"/>
        <v>-0.48993807279965446</v>
      </c>
      <c r="P17" s="10">
        <v>44875</v>
      </c>
      <c r="Q17" s="41">
        <v>529.58600000000001</v>
      </c>
      <c r="R17" s="30">
        <f t="shared" si="9"/>
        <v>529.80626175662462</v>
      </c>
      <c r="S17" s="30">
        <f t="shared" si="10"/>
        <v>0.25900494814872016</v>
      </c>
      <c r="T17" s="31">
        <f t="shared" si="11"/>
        <v>-0.22026175662460901</v>
      </c>
      <c r="U17" s="30">
        <f t="shared" si="12"/>
        <v>-0.85041524572779637</v>
      </c>
    </row>
    <row r="18" spans="1:21" x14ac:dyDescent="0.3">
      <c r="A18" s="14">
        <v>45283</v>
      </c>
      <c r="B18" s="15">
        <f>AVERAGE(B17,B19)</f>
        <v>0.26500000000000001</v>
      </c>
      <c r="C18" s="27">
        <f t="shared" si="0"/>
        <v>6.7309999999999999</v>
      </c>
      <c r="D18" s="5">
        <f t="shared" si="1"/>
        <v>6.8435681818181813</v>
      </c>
      <c r="E18" s="5">
        <f t="shared" si="2"/>
        <v>8.027337206268971</v>
      </c>
      <c r="F18" s="5">
        <f t="shared" si="3"/>
        <v>-0.1125681818181814</v>
      </c>
      <c r="G18" s="5">
        <f t="shared" si="4"/>
        <v>-1.4023103667586179E-2</v>
      </c>
      <c r="I18" s="14">
        <v>45283</v>
      </c>
      <c r="J18" s="25">
        <v>0.76200000000000001</v>
      </c>
      <c r="K18" s="9">
        <f t="shared" si="5"/>
        <v>1.7734832038422981</v>
      </c>
      <c r="L18" s="9">
        <f t="shared" si="6"/>
        <v>3.1238299058831123</v>
      </c>
      <c r="M18" s="20">
        <f t="shared" si="7"/>
        <v>-1.0114832038422981</v>
      </c>
      <c r="N18" s="26">
        <f t="shared" si="8"/>
        <v>-0.32379586415296513</v>
      </c>
      <c r="P18" s="10">
        <v>44905</v>
      </c>
      <c r="Q18" s="41">
        <v>529.50200000000007</v>
      </c>
      <c r="R18" s="30">
        <f t="shared" si="9"/>
        <v>529.80626175662462</v>
      </c>
      <c r="S18" s="30">
        <f t="shared" si="10"/>
        <v>0.25900494814872016</v>
      </c>
      <c r="T18" s="31">
        <f t="shared" si="11"/>
        <v>-0.30426175662455535</v>
      </c>
      <c r="U18" s="30">
        <f t="shared" si="12"/>
        <v>-1.174733374012024</v>
      </c>
    </row>
    <row r="19" spans="1:21" x14ac:dyDescent="0.3">
      <c r="A19" s="14">
        <v>45315</v>
      </c>
      <c r="B19" s="15">
        <v>0.49</v>
      </c>
      <c r="C19" s="27">
        <f t="shared" si="0"/>
        <v>12.446</v>
      </c>
      <c r="D19" s="5">
        <f t="shared" si="1"/>
        <v>6.8435681818181813</v>
      </c>
      <c r="E19" s="5">
        <f t="shared" si="2"/>
        <v>8.027337206268971</v>
      </c>
      <c r="F19" s="5">
        <f t="shared" si="3"/>
        <v>5.6024318181818185</v>
      </c>
      <c r="G19" s="5">
        <f t="shared" si="4"/>
        <v>0.69791908253294554</v>
      </c>
      <c r="I19" s="14">
        <v>45315</v>
      </c>
      <c r="J19" s="25">
        <v>2.5041783556743376</v>
      </c>
      <c r="K19" s="9">
        <f t="shared" si="5"/>
        <v>1.7734832038422981</v>
      </c>
      <c r="L19" s="9">
        <f t="shared" si="6"/>
        <v>3.1238299058831123</v>
      </c>
      <c r="M19" s="20">
        <f t="shared" si="7"/>
        <v>0.73069515183203948</v>
      </c>
      <c r="N19" s="26">
        <f t="shared" si="8"/>
        <v>0.23391003154682671</v>
      </c>
      <c r="P19" s="10">
        <v>44936</v>
      </c>
      <c r="Q19" s="41">
        <v>529.548</v>
      </c>
      <c r="R19" s="30">
        <f t="shared" si="9"/>
        <v>529.80626175662462</v>
      </c>
      <c r="S19" s="30">
        <f t="shared" si="10"/>
        <v>0.25900494814872016</v>
      </c>
      <c r="T19" s="31">
        <f t="shared" si="11"/>
        <v>-0.25826175662461992</v>
      </c>
      <c r="U19" s="30">
        <f t="shared" si="12"/>
        <v>-0.99713058947555899</v>
      </c>
    </row>
    <row r="20" spans="1:21" x14ac:dyDescent="0.3">
      <c r="A20" s="14">
        <v>45346</v>
      </c>
      <c r="B20" s="15">
        <v>0.31</v>
      </c>
      <c r="C20" s="27">
        <f t="shared" si="0"/>
        <v>7.8739999999999997</v>
      </c>
      <c r="D20" s="5">
        <f t="shared" si="1"/>
        <v>6.8435681818181813</v>
      </c>
      <c r="E20" s="5">
        <f t="shared" si="2"/>
        <v>8.027337206268971</v>
      </c>
      <c r="F20" s="5">
        <f t="shared" si="3"/>
        <v>1.0304318181818184</v>
      </c>
      <c r="G20" s="5">
        <f t="shared" si="4"/>
        <v>0.12836533357252014</v>
      </c>
      <c r="I20" s="14">
        <v>45346</v>
      </c>
      <c r="J20" s="25">
        <v>1.5286185559362921</v>
      </c>
      <c r="K20" s="9">
        <f t="shared" si="5"/>
        <v>1.7734832038422981</v>
      </c>
      <c r="L20" s="9">
        <f t="shared" si="6"/>
        <v>3.1238299058831123</v>
      </c>
      <c r="M20" s="20">
        <f t="shared" si="7"/>
        <v>-0.24486464790600593</v>
      </c>
      <c r="N20" s="26">
        <f t="shared" si="8"/>
        <v>-7.8386037423117075E-2</v>
      </c>
      <c r="P20" s="10">
        <v>44967</v>
      </c>
      <c r="Q20" s="41">
        <v>529.80399170430451</v>
      </c>
      <c r="R20" s="30">
        <f t="shared" si="9"/>
        <v>529.80626175662462</v>
      </c>
      <c r="S20" s="30">
        <f t="shared" si="10"/>
        <v>0.25900494814872016</v>
      </c>
      <c r="T20" s="31">
        <f t="shared" si="11"/>
        <v>-2.2700523201137912E-3</v>
      </c>
      <c r="U20" s="30">
        <f t="shared" si="12"/>
        <v>-8.7645133281790879E-3</v>
      </c>
    </row>
    <row r="21" spans="1:21" x14ac:dyDescent="0.3">
      <c r="A21" s="14">
        <v>45375</v>
      </c>
      <c r="B21" s="15">
        <v>0.34</v>
      </c>
      <c r="C21" s="27">
        <f t="shared" si="0"/>
        <v>8.636000000000001</v>
      </c>
      <c r="D21" s="5">
        <f t="shared" si="1"/>
        <v>6.8435681818181813</v>
      </c>
      <c r="E21" s="5">
        <f t="shared" si="2"/>
        <v>8.027337206268971</v>
      </c>
      <c r="F21" s="5">
        <f t="shared" si="3"/>
        <v>1.7924318181818197</v>
      </c>
      <c r="G21" s="5">
        <f t="shared" si="4"/>
        <v>0.22329095839925789</v>
      </c>
      <c r="I21" s="14">
        <v>45375</v>
      </c>
      <c r="J21" s="25">
        <v>0.80600000000000005</v>
      </c>
      <c r="K21" s="9">
        <f t="shared" si="5"/>
        <v>1.7734832038422981</v>
      </c>
      <c r="L21" s="9">
        <f t="shared" si="6"/>
        <v>3.1238299058831123</v>
      </c>
      <c r="M21" s="20">
        <f t="shared" si="7"/>
        <v>-0.96748320384229802</v>
      </c>
      <c r="N21" s="26">
        <f t="shared" si="8"/>
        <v>-0.30971059020218605</v>
      </c>
      <c r="P21" s="10">
        <v>44995</v>
      </c>
      <c r="Q21" s="41">
        <v>530.06600000000003</v>
      </c>
      <c r="R21" s="30">
        <f t="shared" si="9"/>
        <v>529.80626175662462</v>
      </c>
      <c r="S21" s="30">
        <f t="shared" si="10"/>
        <v>0.25900494814872016</v>
      </c>
      <c r="T21" s="31">
        <f t="shared" si="11"/>
        <v>0.25973824337540918</v>
      </c>
      <c r="U21" s="30">
        <f t="shared" si="12"/>
        <v>1.0028312016119012</v>
      </c>
    </row>
    <row r="22" spans="1:21" x14ac:dyDescent="0.3">
      <c r="A22" s="14">
        <v>45406</v>
      </c>
      <c r="B22" s="15">
        <v>0.25</v>
      </c>
      <c r="C22" s="27">
        <f t="shared" si="0"/>
        <v>6.35</v>
      </c>
      <c r="D22" s="5">
        <f t="shared" si="1"/>
        <v>6.8435681818181813</v>
      </c>
      <c r="E22" s="5">
        <f t="shared" si="2"/>
        <v>8.027337206268971</v>
      </c>
      <c r="F22" s="5">
        <f t="shared" si="3"/>
        <v>-0.49356818181818163</v>
      </c>
      <c r="G22" s="5">
        <f t="shared" si="4"/>
        <v>-6.1485916080954987E-2</v>
      </c>
      <c r="I22" s="14">
        <v>45406</v>
      </c>
      <c r="J22" s="25">
        <v>0.9686925543065501</v>
      </c>
      <c r="K22" s="9">
        <f t="shared" si="5"/>
        <v>1.7734832038422981</v>
      </c>
      <c r="L22" s="9">
        <f t="shared" si="6"/>
        <v>3.1238299058831123</v>
      </c>
      <c r="M22" s="20">
        <f t="shared" si="7"/>
        <v>-0.80479064953574797</v>
      </c>
      <c r="N22" s="26">
        <f t="shared" si="8"/>
        <v>-0.25762947208491888</v>
      </c>
      <c r="P22" s="10">
        <v>45026</v>
      </c>
      <c r="Q22" s="41">
        <v>530.08600000000001</v>
      </c>
      <c r="R22" s="30">
        <f t="shared" si="9"/>
        <v>529.80626175662462</v>
      </c>
      <c r="S22" s="30">
        <f t="shared" si="10"/>
        <v>0.25900494814872016</v>
      </c>
      <c r="T22" s="31">
        <f t="shared" si="11"/>
        <v>0.27973824337539099</v>
      </c>
      <c r="U22" s="30">
        <f t="shared" si="12"/>
        <v>1.0800498035843153</v>
      </c>
    </row>
    <row r="23" spans="1:21" x14ac:dyDescent="0.3">
      <c r="A23" s="14">
        <v>45436</v>
      </c>
      <c r="B23" s="15">
        <v>0.11</v>
      </c>
      <c r="C23" s="27">
        <f t="shared" si="0"/>
        <v>2.794</v>
      </c>
      <c r="D23" s="5">
        <f t="shared" si="1"/>
        <v>6.8435681818181813</v>
      </c>
      <c r="E23" s="5">
        <f t="shared" si="2"/>
        <v>8.027337206268971</v>
      </c>
      <c r="F23" s="5">
        <f t="shared" si="3"/>
        <v>-4.0495681818181808</v>
      </c>
      <c r="G23" s="5">
        <f t="shared" si="4"/>
        <v>-0.50447216527239691</v>
      </c>
      <c r="I23" s="14">
        <v>45436</v>
      </c>
      <c r="J23" s="25">
        <v>0.55000000000000004</v>
      </c>
      <c r="K23" s="9">
        <f t="shared" si="5"/>
        <v>1.7734832038422981</v>
      </c>
      <c r="L23" s="9">
        <f t="shared" si="6"/>
        <v>3.1238299058831123</v>
      </c>
      <c r="M23" s="20">
        <f t="shared" si="7"/>
        <v>-1.223483203842298</v>
      </c>
      <c r="N23" s="26">
        <f t="shared" si="8"/>
        <v>-0.39166127500671877</v>
      </c>
      <c r="P23" s="10">
        <v>45056</v>
      </c>
      <c r="Q23" s="41">
        <v>530.09</v>
      </c>
      <c r="R23" s="30">
        <f t="shared" si="9"/>
        <v>529.80626175662462</v>
      </c>
      <c r="S23" s="30">
        <f t="shared" si="10"/>
        <v>0.25900494814872016</v>
      </c>
      <c r="T23" s="31">
        <f t="shared" si="11"/>
        <v>0.28373824337541009</v>
      </c>
      <c r="U23" s="30">
        <f t="shared" si="12"/>
        <v>1.0954935239788861</v>
      </c>
    </row>
    <row r="24" spans="1:21" x14ac:dyDescent="0.3">
      <c r="A24" s="14">
        <v>45468</v>
      </c>
      <c r="B24" s="4">
        <v>7.0000000000000007E-2</v>
      </c>
      <c r="C24" s="27">
        <f t="shared" si="0"/>
        <v>1.778</v>
      </c>
      <c r="D24" s="5">
        <f t="shared" si="1"/>
        <v>6.8435681818181813</v>
      </c>
      <c r="E24" s="5">
        <f t="shared" si="2"/>
        <v>8.027337206268971</v>
      </c>
      <c r="F24" s="5">
        <f t="shared" si="3"/>
        <v>-5.0655681818181808</v>
      </c>
      <c r="G24" s="5">
        <f t="shared" si="4"/>
        <v>-0.63103966504138032</v>
      </c>
      <c r="I24" s="14">
        <v>45468</v>
      </c>
      <c r="J24" s="25">
        <v>0.29399999999999998</v>
      </c>
      <c r="K24" s="9">
        <f t="shared" si="5"/>
        <v>1.7734832038422981</v>
      </c>
      <c r="L24" s="9">
        <f t="shared" si="6"/>
        <v>3.1238299058831123</v>
      </c>
      <c r="M24" s="20">
        <f t="shared" ref="M24" si="19">J24-K24</f>
        <v>-1.479483203842298</v>
      </c>
      <c r="N24" s="26">
        <f t="shared" ref="N24" si="20">M24/L24</f>
        <v>-0.47361195981125148</v>
      </c>
      <c r="P24" s="10">
        <v>45087</v>
      </c>
      <c r="Q24" s="41">
        <v>529.95600000000002</v>
      </c>
      <c r="R24" s="30">
        <f t="shared" si="9"/>
        <v>529.80626175662462</v>
      </c>
      <c r="S24" s="30">
        <f t="shared" si="10"/>
        <v>0.25900494814872016</v>
      </c>
      <c r="T24" s="31">
        <f t="shared" si="11"/>
        <v>0.14973824337539554</v>
      </c>
      <c r="U24" s="30">
        <f t="shared" si="12"/>
        <v>0.57812889076318386</v>
      </c>
    </row>
    <row r="25" spans="1:21" x14ac:dyDescent="0.3">
      <c r="A25" s="14">
        <v>45499</v>
      </c>
      <c r="B25" s="4">
        <v>0.06</v>
      </c>
      <c r="C25" s="4">
        <f t="shared" si="0"/>
        <v>1.5239999999999998</v>
      </c>
      <c r="D25" s="5">
        <f t="shared" si="1"/>
        <v>6.8435681818181813</v>
      </c>
      <c r="E25" s="5">
        <f t="shared" si="2"/>
        <v>8.027337206268971</v>
      </c>
      <c r="F25" s="5">
        <f t="shared" si="3"/>
        <v>-5.3195681818181813</v>
      </c>
      <c r="G25" s="5">
        <f t="shared" si="4"/>
        <v>-0.66268153998362622</v>
      </c>
      <c r="I25" s="14">
        <v>45499</v>
      </c>
      <c r="J25" s="71">
        <v>0.2</v>
      </c>
      <c r="K25" s="9">
        <f t="shared" si="5"/>
        <v>1.7734832038422981</v>
      </c>
      <c r="L25" s="9">
        <f t="shared" si="6"/>
        <v>3.1238299058831123</v>
      </c>
      <c r="M25" s="20">
        <f t="shared" ref="M25:M30" si="21">J25-K25</f>
        <v>-1.5734832038422981</v>
      </c>
      <c r="N25" s="26">
        <f t="shared" ref="N25" si="22">M25/L25</f>
        <v>-0.5037032268879158</v>
      </c>
      <c r="P25" s="10">
        <v>45117</v>
      </c>
      <c r="Q25" s="41">
        <v>529.8839999999999</v>
      </c>
      <c r="R25" s="30">
        <f t="shared" si="9"/>
        <v>529.80626175662462</v>
      </c>
      <c r="S25" s="30">
        <f t="shared" si="10"/>
        <v>0.25900494814872016</v>
      </c>
      <c r="T25" s="31">
        <f t="shared" si="11"/>
        <v>7.7738243375279126E-2</v>
      </c>
      <c r="U25" s="30">
        <f t="shared" si="12"/>
        <v>0.30014192366179032</v>
      </c>
    </row>
    <row r="26" spans="1:21" x14ac:dyDescent="0.3">
      <c r="A26" s="14">
        <v>45531</v>
      </c>
      <c r="B26" s="4">
        <v>0.02</v>
      </c>
      <c r="C26" s="4">
        <f t="shared" ref="C26" si="23">$H$4*B26</f>
        <v>0.50800000000000001</v>
      </c>
      <c r="D26" s="5">
        <f t="shared" si="1"/>
        <v>6.8435681818181813</v>
      </c>
      <c r="E26" s="5">
        <f t="shared" si="2"/>
        <v>8.027337206268971</v>
      </c>
      <c r="F26" s="5">
        <f t="shared" si="3"/>
        <v>-6.3355681818181813</v>
      </c>
      <c r="G26" s="5">
        <f t="shared" si="4"/>
        <v>-0.78924903975260963</v>
      </c>
      <c r="I26" s="14">
        <v>45531</v>
      </c>
      <c r="J26" s="71">
        <v>0.159</v>
      </c>
      <c r="K26" s="9">
        <f t="shared" si="5"/>
        <v>1.7734832038422981</v>
      </c>
      <c r="L26" s="9">
        <f t="shared" si="6"/>
        <v>3.1238299058831123</v>
      </c>
      <c r="M26" s="20">
        <f t="shared" si="21"/>
        <v>-1.614483203842298</v>
      </c>
      <c r="N26" s="26">
        <f t="shared" ref="N26" si="24">M26/L26</f>
        <v>-0.51682814125114174</v>
      </c>
      <c r="P26" s="10">
        <v>45148</v>
      </c>
      <c r="Q26" s="41">
        <v>529.91600000000005</v>
      </c>
      <c r="R26" s="30">
        <f t="shared" si="9"/>
        <v>529.80626175662462</v>
      </c>
      <c r="S26" s="30">
        <f t="shared" si="10"/>
        <v>0.25900494814872016</v>
      </c>
      <c r="T26" s="31">
        <f t="shared" si="11"/>
        <v>0.10973824337543192</v>
      </c>
      <c r="U26" s="30">
        <f t="shared" si="12"/>
        <v>0.4236916868183554</v>
      </c>
    </row>
    <row r="27" spans="1:21" x14ac:dyDescent="0.3">
      <c r="A27" s="14">
        <v>45563</v>
      </c>
      <c r="B27" s="4">
        <v>0.06</v>
      </c>
      <c r="C27" s="4">
        <f>$H$4*B27</f>
        <v>1.5239999999999998</v>
      </c>
      <c r="D27" s="5">
        <f t="shared" si="1"/>
        <v>6.8435681818181813</v>
      </c>
      <c r="E27" s="5">
        <f t="shared" si="2"/>
        <v>8.027337206268971</v>
      </c>
      <c r="F27" s="5">
        <f t="shared" si="3"/>
        <v>-5.3195681818181813</v>
      </c>
      <c r="G27" s="5">
        <f t="shared" si="4"/>
        <v>-0.66268153998362622</v>
      </c>
      <c r="I27" s="14">
        <v>45563</v>
      </c>
      <c r="J27" s="71">
        <v>0.13</v>
      </c>
      <c r="K27" s="9">
        <f t="shared" si="5"/>
        <v>1.7734832038422981</v>
      </c>
      <c r="L27" s="9">
        <f t="shared" si="6"/>
        <v>3.1238299058831123</v>
      </c>
      <c r="M27" s="74">
        <f t="shared" si="21"/>
        <v>-1.643483203842298</v>
      </c>
      <c r="N27" s="75">
        <f t="shared" ref="N27:N33" si="25">M27/L27</f>
        <v>-0.52611161726415523</v>
      </c>
      <c r="P27" s="10">
        <v>45179</v>
      </c>
      <c r="Q27" s="41">
        <v>529.78399999999999</v>
      </c>
      <c r="R27" s="30">
        <f t="shared" si="9"/>
        <v>529.80626175662462</v>
      </c>
      <c r="S27" s="30">
        <f t="shared" si="10"/>
        <v>0.25900494814872016</v>
      </c>
      <c r="T27" s="31">
        <f t="shared" si="11"/>
        <v>-2.2261756624629925E-2</v>
      </c>
      <c r="U27" s="30">
        <f t="shared" si="12"/>
        <v>-8.5951086200280871E-2</v>
      </c>
    </row>
    <row r="28" spans="1:21" x14ac:dyDescent="0.3">
      <c r="A28" s="14">
        <v>45594</v>
      </c>
      <c r="B28" s="4">
        <v>0.02</v>
      </c>
      <c r="C28" s="4">
        <f t="shared" ref="C28" si="26">$H$4*B28</f>
        <v>0.50800000000000001</v>
      </c>
      <c r="D28" s="5">
        <f t="shared" si="1"/>
        <v>6.8435681818181813</v>
      </c>
      <c r="E28" s="5">
        <f t="shared" si="2"/>
        <v>8.027337206268971</v>
      </c>
      <c r="F28" s="5">
        <f t="shared" si="3"/>
        <v>-6.3355681818181813</v>
      </c>
      <c r="G28" s="5">
        <f t="shared" si="4"/>
        <v>-0.78924903975260963</v>
      </c>
      <c r="H28" s="59" t="s">
        <v>29</v>
      </c>
      <c r="I28" s="14">
        <v>45594</v>
      </c>
      <c r="J28" s="73">
        <v>8.8709999999999997E-2</v>
      </c>
      <c r="K28" s="9">
        <f t="shared" si="5"/>
        <v>1.7734832038422981</v>
      </c>
      <c r="L28" s="9">
        <f t="shared" si="6"/>
        <v>3.1238299058831123</v>
      </c>
      <c r="M28" s="48">
        <f t="shared" si="21"/>
        <v>-1.684773203842298</v>
      </c>
      <c r="N28" s="72">
        <f t="shared" si="25"/>
        <v>-0.53932936638751128</v>
      </c>
      <c r="O28" s="59" t="s">
        <v>29</v>
      </c>
      <c r="P28" s="10">
        <v>45209</v>
      </c>
      <c r="Q28" s="41">
        <v>529.77</v>
      </c>
      <c r="R28" s="30">
        <f t="shared" si="9"/>
        <v>529.80626175662462</v>
      </c>
      <c r="S28" s="30">
        <f t="shared" si="10"/>
        <v>0.25900494814872016</v>
      </c>
      <c r="T28" s="31">
        <f t="shared" si="11"/>
        <v>-3.6261756624639929E-2</v>
      </c>
      <c r="U28" s="30">
        <f t="shared" si="12"/>
        <v>-0.14000410758105863</v>
      </c>
    </row>
    <row r="29" spans="1:21" x14ac:dyDescent="0.3">
      <c r="A29" s="14">
        <v>45626</v>
      </c>
      <c r="B29" s="4">
        <v>0.02</v>
      </c>
      <c r="C29" s="4">
        <f t="shared" ref="C29" si="27">$H$4*B29</f>
        <v>0.50800000000000001</v>
      </c>
      <c r="D29" s="5">
        <f t="shared" si="1"/>
        <v>6.8435681818181813</v>
      </c>
      <c r="E29" s="5">
        <f t="shared" si="2"/>
        <v>8.027337206268971</v>
      </c>
      <c r="F29" s="5">
        <f t="shared" si="3"/>
        <v>-6.3355681818181813</v>
      </c>
      <c r="G29" s="5">
        <f t="shared" si="4"/>
        <v>-0.78924903975260963</v>
      </c>
      <c r="I29" s="14">
        <v>45626</v>
      </c>
      <c r="J29" s="92">
        <v>0.14630000000000001</v>
      </c>
      <c r="K29" s="9">
        <f t="shared" si="5"/>
        <v>1.7734832038422981</v>
      </c>
      <c r="L29" s="9">
        <f t="shared" si="6"/>
        <v>3.1238299058831123</v>
      </c>
      <c r="M29" s="48">
        <f t="shared" si="21"/>
        <v>-1.627183203842298</v>
      </c>
      <c r="N29" s="72">
        <f t="shared" si="25"/>
        <v>-0.52089366350511657</v>
      </c>
      <c r="P29" s="10">
        <v>45240</v>
      </c>
      <c r="Q29" s="41">
        <v>529.78</v>
      </c>
      <c r="R29" s="30">
        <f t="shared" si="9"/>
        <v>529.80626175662462</v>
      </c>
      <c r="S29" s="30">
        <f t="shared" si="10"/>
        <v>0.25900494814872016</v>
      </c>
      <c r="T29" s="31">
        <f t="shared" si="11"/>
        <v>-2.6261756624649024E-2</v>
      </c>
      <c r="U29" s="30">
        <f t="shared" si="12"/>
        <v>-0.10139480659485151</v>
      </c>
    </row>
    <row r="30" spans="1:21" x14ac:dyDescent="0.3">
      <c r="A30" s="14">
        <v>45627</v>
      </c>
      <c r="B30" s="4">
        <v>0.03</v>
      </c>
      <c r="C30" s="4">
        <f t="shared" ref="C30:C35" si="28">$H$4*B30</f>
        <v>0.7619999999999999</v>
      </c>
      <c r="D30" s="5">
        <f t="shared" si="1"/>
        <v>6.8435681818181813</v>
      </c>
      <c r="E30" s="5">
        <f t="shared" si="2"/>
        <v>8.027337206268971</v>
      </c>
      <c r="F30" s="5">
        <f t="shared" si="3"/>
        <v>-6.0815681818181817</v>
      </c>
      <c r="G30" s="5">
        <f t="shared" si="4"/>
        <v>-0.75760716481036383</v>
      </c>
      <c r="I30" s="14">
        <v>45627</v>
      </c>
      <c r="J30" s="92">
        <v>0.106</v>
      </c>
      <c r="K30" s="9">
        <f t="shared" si="5"/>
        <v>1.7734832038422981</v>
      </c>
      <c r="L30" s="9">
        <f t="shared" si="6"/>
        <v>3.1238299058831123</v>
      </c>
      <c r="M30" s="48">
        <f t="shared" si="21"/>
        <v>-1.667483203842298</v>
      </c>
      <c r="N30" s="72">
        <f t="shared" si="25"/>
        <v>-0.53379449396458012</v>
      </c>
      <c r="P30" s="10">
        <v>45270</v>
      </c>
      <c r="Q30" s="41">
        <v>529.74</v>
      </c>
      <c r="R30" s="30">
        <f t="shared" si="9"/>
        <v>529.80626175662462</v>
      </c>
      <c r="S30" s="30">
        <f t="shared" si="10"/>
        <v>0.25900494814872016</v>
      </c>
      <c r="T30" s="31">
        <f t="shared" si="11"/>
        <v>-6.6261756624612644E-2</v>
      </c>
      <c r="U30" s="30">
        <f t="shared" si="12"/>
        <v>-0.25583201053967997</v>
      </c>
    </row>
    <row r="31" spans="1:21" x14ac:dyDescent="0.3">
      <c r="A31" s="14">
        <v>45659</v>
      </c>
      <c r="B31" s="4">
        <v>0.4</v>
      </c>
      <c r="C31" s="4">
        <f t="shared" si="28"/>
        <v>10.16</v>
      </c>
      <c r="D31" s="5">
        <f t="shared" si="1"/>
        <v>6.8435681818181813</v>
      </c>
      <c r="E31" s="5">
        <f t="shared" si="2"/>
        <v>8.027337206268971</v>
      </c>
      <c r="F31" s="5">
        <f t="shared" si="3"/>
        <v>3.3164318181818189</v>
      </c>
      <c r="G31" s="5">
        <f t="shared" si="4"/>
        <v>0.41314220805273288</v>
      </c>
      <c r="I31" s="14">
        <v>45674</v>
      </c>
      <c r="J31" s="92">
        <v>0.13339999999999999</v>
      </c>
      <c r="K31" s="9">
        <f t="shared" si="5"/>
        <v>1.7734832038422981</v>
      </c>
      <c r="L31" s="9">
        <f t="shared" si="6"/>
        <v>3.1238299058831123</v>
      </c>
      <c r="M31" s="48">
        <f t="shared" ref="M31:M36" si="29">J31-K31</f>
        <v>-1.6400832038422981</v>
      </c>
      <c r="N31" s="72">
        <f t="shared" si="25"/>
        <v>-0.52502320973159511</v>
      </c>
      <c r="P31" s="10">
        <v>45301</v>
      </c>
      <c r="Q31" s="41">
        <v>530.04</v>
      </c>
      <c r="R31" s="30">
        <f t="shared" si="9"/>
        <v>529.80626175662462</v>
      </c>
      <c r="S31" s="30">
        <f t="shared" si="10"/>
        <v>0.25900494814872016</v>
      </c>
      <c r="T31" s="31">
        <f t="shared" si="11"/>
        <v>0.23373824337534188</v>
      </c>
      <c r="U31" s="30">
        <f t="shared" si="12"/>
        <v>0.90244701904741143</v>
      </c>
    </row>
    <row r="32" spans="1:21" x14ac:dyDescent="0.3">
      <c r="A32" s="14">
        <v>45691</v>
      </c>
      <c r="B32" s="4">
        <v>0.28999999999999998</v>
      </c>
      <c r="C32" s="4">
        <f t="shared" si="28"/>
        <v>7.3659999999999988</v>
      </c>
      <c r="D32" s="5">
        <f t="shared" si="1"/>
        <v>6.8435681818181813</v>
      </c>
      <c r="E32" s="5">
        <f t="shared" si="2"/>
        <v>8.027337206268971</v>
      </c>
      <c r="F32" s="5">
        <f t="shared" si="3"/>
        <v>0.5224318181818175</v>
      </c>
      <c r="G32" s="5">
        <f t="shared" si="4"/>
        <v>6.5081583688028327E-2</v>
      </c>
      <c r="I32" s="14">
        <v>45689</v>
      </c>
      <c r="J32" s="92">
        <v>3.85</v>
      </c>
      <c r="K32" s="9">
        <f t="shared" si="5"/>
        <v>1.7734832038422981</v>
      </c>
      <c r="L32" s="9">
        <f t="shared" si="6"/>
        <v>3.1238299058831123</v>
      </c>
      <c r="M32" s="48">
        <f t="shared" si="29"/>
        <v>2.0765167961577022</v>
      </c>
      <c r="N32" s="72">
        <f t="shared" si="25"/>
        <v>0.6647342713017107</v>
      </c>
      <c r="P32" s="10">
        <v>45332</v>
      </c>
      <c r="Q32" s="41">
        <v>530.05999999999995</v>
      </c>
      <c r="R32" s="30">
        <f t="shared" si="9"/>
        <v>529.80626175662462</v>
      </c>
      <c r="S32" s="30">
        <f t="shared" si="10"/>
        <v>0.25900494814872016</v>
      </c>
      <c r="T32" s="31">
        <f t="shared" si="11"/>
        <v>0.25373824337532369</v>
      </c>
      <c r="U32" s="30">
        <f t="shared" si="12"/>
        <v>0.97966562101982568</v>
      </c>
    </row>
    <row r="33" spans="1:22" x14ac:dyDescent="0.3">
      <c r="A33" s="14">
        <v>45720</v>
      </c>
      <c r="B33" s="4">
        <v>0.53</v>
      </c>
      <c r="C33" s="4">
        <f t="shared" si="28"/>
        <v>13.462</v>
      </c>
      <c r="D33" s="5">
        <f t="shared" si="1"/>
        <v>6.8435681818181813</v>
      </c>
      <c r="E33" s="5">
        <f t="shared" si="2"/>
        <v>8.027337206268971</v>
      </c>
      <c r="F33" s="5">
        <f t="shared" si="3"/>
        <v>6.6184318181818185</v>
      </c>
      <c r="G33" s="5">
        <f t="shared" si="4"/>
        <v>0.82448658230192895</v>
      </c>
      <c r="I33" s="14">
        <v>45717</v>
      </c>
      <c r="J33" s="92">
        <v>2.2490000000000001</v>
      </c>
      <c r="K33" s="9">
        <f t="shared" si="5"/>
        <v>1.7734832038422981</v>
      </c>
      <c r="L33" s="9">
        <f t="shared" si="6"/>
        <v>3.1238299058831123</v>
      </c>
      <c r="M33" s="48">
        <f t="shared" si="29"/>
        <v>0.47551679615770204</v>
      </c>
      <c r="N33" s="72">
        <f t="shared" si="25"/>
        <v>0.15222237141086356</v>
      </c>
      <c r="P33" s="10">
        <v>45361</v>
      </c>
      <c r="Q33" s="41">
        <v>529.97</v>
      </c>
      <c r="R33" s="30">
        <f t="shared" si="9"/>
        <v>529.80626175662462</v>
      </c>
      <c r="S33" s="30">
        <f t="shared" si="10"/>
        <v>0.25900494814872016</v>
      </c>
      <c r="T33" s="31">
        <f t="shared" si="11"/>
        <v>0.16373824337540555</v>
      </c>
      <c r="U33" s="30">
        <f t="shared" si="12"/>
        <v>0.63218191214396158</v>
      </c>
    </row>
    <row r="34" spans="1:22" x14ac:dyDescent="0.3">
      <c r="A34" s="14">
        <v>45752</v>
      </c>
      <c r="B34" s="4">
        <v>0.21</v>
      </c>
      <c r="C34" s="4">
        <f t="shared" si="28"/>
        <v>5.3339999999999996</v>
      </c>
      <c r="D34" s="5">
        <f t="shared" si="1"/>
        <v>6.8435681818181813</v>
      </c>
      <c r="E34" s="5">
        <f t="shared" si="2"/>
        <v>8.027337206268971</v>
      </c>
      <c r="F34" s="5">
        <f t="shared" ref="F34" si="30">C34-D34</f>
        <v>-1.5095681818181816</v>
      </c>
      <c r="G34" s="5">
        <f t="shared" si="4"/>
        <v>-0.18805341584993843</v>
      </c>
      <c r="I34" s="14">
        <v>45749</v>
      </c>
      <c r="J34" s="92">
        <v>1.55</v>
      </c>
      <c r="K34" s="9">
        <f t="shared" si="5"/>
        <v>1.7734832038422981</v>
      </c>
      <c r="L34" s="9">
        <f t="shared" si="6"/>
        <v>3.1238299058831123</v>
      </c>
      <c r="M34" s="48">
        <f t="shared" si="29"/>
        <v>-0.22348320384229803</v>
      </c>
      <c r="N34" s="72">
        <f t="shared" ref="N34" si="31">M34/L34</f>
        <v>-7.1541412489012884E-2</v>
      </c>
      <c r="P34" s="10">
        <v>45392</v>
      </c>
      <c r="Q34" s="41">
        <v>530.01</v>
      </c>
      <c r="R34" s="30">
        <f t="shared" si="9"/>
        <v>529.80626175662462</v>
      </c>
      <c r="S34" s="30">
        <f t="shared" si="10"/>
        <v>0.25900494814872016</v>
      </c>
      <c r="T34" s="31">
        <f t="shared" si="11"/>
        <v>0.20373824337536917</v>
      </c>
      <c r="U34" s="30">
        <f t="shared" si="12"/>
        <v>0.78661911608879009</v>
      </c>
    </row>
    <row r="35" spans="1:22" x14ac:dyDescent="0.3">
      <c r="A35" s="14">
        <v>45783</v>
      </c>
      <c r="B35" s="4">
        <v>0.15</v>
      </c>
      <c r="C35" s="4">
        <f t="shared" si="28"/>
        <v>3.8099999999999996</v>
      </c>
      <c r="D35" s="5">
        <f t="shared" si="1"/>
        <v>6.8435681818181813</v>
      </c>
      <c r="E35" s="5">
        <f t="shared" si="2"/>
        <v>8.027337206268971</v>
      </c>
      <c r="F35" s="5">
        <f t="shared" ref="F35" si="32">C35-D35</f>
        <v>-3.0335681818181817</v>
      </c>
      <c r="G35" s="5">
        <f t="shared" si="4"/>
        <v>-0.37790466550341356</v>
      </c>
      <c r="I35" s="14">
        <v>45780</v>
      </c>
      <c r="J35" s="92">
        <v>0.66</v>
      </c>
      <c r="K35" s="9">
        <f t="shared" si="5"/>
        <v>1.7734832038422981</v>
      </c>
      <c r="L35" s="9">
        <f t="shared" si="6"/>
        <v>3.1238299058831123</v>
      </c>
      <c r="M35" s="48">
        <f t="shared" si="29"/>
        <v>-1.1134832038422982</v>
      </c>
      <c r="N35" s="72">
        <f t="shared" ref="N35" si="33">M35/L35</f>
        <v>-0.35644809012977113</v>
      </c>
      <c r="P35" s="10">
        <v>45422</v>
      </c>
      <c r="Q35" s="41">
        <v>529.85</v>
      </c>
      <c r="R35" s="30">
        <f t="shared" si="9"/>
        <v>529.80626175662462</v>
      </c>
      <c r="S35" s="30">
        <f t="shared" si="10"/>
        <v>0.25900494814872016</v>
      </c>
      <c r="T35" s="31">
        <f t="shared" si="11"/>
        <v>4.3738243375400998E-2</v>
      </c>
      <c r="U35" s="30">
        <f t="shared" si="12"/>
        <v>0.16887030030903727</v>
      </c>
    </row>
    <row r="36" spans="1:22" x14ac:dyDescent="0.3">
      <c r="A36" s="14">
        <v>45815</v>
      </c>
      <c r="B36" s="4">
        <v>0.05</v>
      </c>
      <c r="C36" s="4">
        <f t="shared" ref="C36" si="34">$H$4*B36</f>
        <v>1.27</v>
      </c>
      <c r="D36" s="5">
        <f t="shared" si="1"/>
        <v>6.8435681818181813</v>
      </c>
      <c r="E36" s="5">
        <f t="shared" si="2"/>
        <v>8.027337206268971</v>
      </c>
      <c r="F36" s="5">
        <f t="shared" ref="F36" si="35">C36-D36</f>
        <v>-5.5735681818181817</v>
      </c>
      <c r="G36" s="5">
        <f t="shared" si="4"/>
        <v>-0.69432341492587213</v>
      </c>
      <c r="I36" s="14">
        <v>45809</v>
      </c>
      <c r="J36" s="92">
        <v>0.28100000000000003</v>
      </c>
      <c r="K36" s="9">
        <f t="shared" si="5"/>
        <v>1.7734832038422981</v>
      </c>
      <c r="L36" s="9">
        <f t="shared" si="6"/>
        <v>3.1238299058831123</v>
      </c>
      <c r="M36" s="48">
        <f t="shared" si="29"/>
        <v>-1.4924832038422982</v>
      </c>
      <c r="N36" s="72">
        <f t="shared" ref="N36:N41" si="36">M36/L36</f>
        <v>-0.47777351802398171</v>
      </c>
      <c r="P36" s="10">
        <v>45454</v>
      </c>
      <c r="Q36" s="41">
        <v>529.72</v>
      </c>
      <c r="R36" s="30">
        <f t="shared" si="9"/>
        <v>529.80626175662462</v>
      </c>
      <c r="S36" s="30">
        <f t="shared" si="10"/>
        <v>0.25900494814872016</v>
      </c>
      <c r="T36" s="31">
        <f t="shared" ref="T36" si="37">Q36-R36</f>
        <v>-8.6261756624594454E-2</v>
      </c>
      <c r="U36" s="30">
        <f t="shared" ref="U36" si="38">T36/S36</f>
        <v>-0.33305061251209422</v>
      </c>
    </row>
    <row r="37" spans="1:22" x14ac:dyDescent="0.3">
      <c r="A37" s="14">
        <v>45846</v>
      </c>
      <c r="B37" s="4">
        <v>0.08</v>
      </c>
      <c r="C37" s="4">
        <f t="shared" ref="C37" si="39">$H$4*B37</f>
        <v>2.032</v>
      </c>
      <c r="D37" s="5">
        <f t="shared" si="1"/>
        <v>6.8435681818181813</v>
      </c>
      <c r="E37" s="5">
        <f t="shared" si="2"/>
        <v>8.027337206268971</v>
      </c>
      <c r="F37" s="5">
        <f t="shared" ref="F37" si="40">C37-D37</f>
        <v>-4.8115681818181812</v>
      </c>
      <c r="G37" s="5">
        <f t="shared" si="4"/>
        <v>-0.59939779009913452</v>
      </c>
      <c r="I37" s="14">
        <v>45839</v>
      </c>
      <c r="J37" s="92">
        <v>0.17799999999999999</v>
      </c>
      <c r="K37" s="9">
        <f t="shared" si="5"/>
        <v>1.7734832038422981</v>
      </c>
      <c r="L37" s="9">
        <f t="shared" si="6"/>
        <v>3.1238299058831123</v>
      </c>
      <c r="M37" s="48">
        <f t="shared" ref="M37" si="41">J37-K37</f>
        <v>-1.5954832038422981</v>
      </c>
      <c r="N37" s="72">
        <f t="shared" si="36"/>
        <v>-0.51074586386330534</v>
      </c>
      <c r="P37" s="58">
        <v>45485</v>
      </c>
      <c r="Q37" s="54">
        <v>529.84666666666669</v>
      </c>
      <c r="R37" s="30">
        <f t="shared" si="9"/>
        <v>529.80626175662462</v>
      </c>
      <c r="S37" s="30">
        <f t="shared" si="10"/>
        <v>0.25900494814872016</v>
      </c>
      <c r="T37" s="56">
        <f t="shared" ref="T37:T42" si="42">Q37-R37</f>
        <v>4.0404910042070696E-2</v>
      </c>
      <c r="U37" s="55">
        <f t="shared" ref="U37:U42" si="43">T37/S37</f>
        <v>0.15600053331363489</v>
      </c>
    </row>
    <row r="38" spans="1:22" x14ac:dyDescent="0.3">
      <c r="A38" s="14">
        <v>45878</v>
      </c>
      <c r="B38" s="4">
        <v>0.05</v>
      </c>
      <c r="C38" s="4">
        <f t="shared" ref="C38" si="44">$H$4*B38</f>
        <v>1.27</v>
      </c>
      <c r="D38" s="5">
        <f t="shared" si="1"/>
        <v>6.8435681818181813</v>
      </c>
      <c r="E38" s="5">
        <f t="shared" si="2"/>
        <v>8.027337206268971</v>
      </c>
      <c r="F38" s="5">
        <f t="shared" ref="F38" si="45">C38-D38</f>
        <v>-5.5735681818181817</v>
      </c>
      <c r="G38" s="5">
        <f t="shared" si="4"/>
        <v>-0.69432341492587213</v>
      </c>
      <c r="I38" s="14">
        <v>45870</v>
      </c>
      <c r="J38" s="92">
        <v>0.17</v>
      </c>
      <c r="K38" s="9">
        <f t="shared" si="5"/>
        <v>1.7734832038422981</v>
      </c>
      <c r="L38" s="9">
        <f t="shared" si="6"/>
        <v>3.1238299058831123</v>
      </c>
      <c r="M38" s="48">
        <f t="shared" ref="M38" si="46">J38-K38</f>
        <v>-1.6034832038422981</v>
      </c>
      <c r="N38" s="72">
        <f t="shared" si="36"/>
        <v>-0.51330682276344708</v>
      </c>
      <c r="P38" s="58">
        <v>45517</v>
      </c>
      <c r="Q38" s="54">
        <v>529.70000000000005</v>
      </c>
      <c r="R38" s="30">
        <f t="shared" si="9"/>
        <v>529.80626175662462</v>
      </c>
      <c r="S38" s="30">
        <f t="shared" si="10"/>
        <v>0.25900494814872016</v>
      </c>
      <c r="T38" s="56">
        <f t="shared" si="42"/>
        <v>-0.10626175662457626</v>
      </c>
      <c r="U38" s="55">
        <f t="shared" si="43"/>
        <v>-0.41026921448450848</v>
      </c>
    </row>
    <row r="39" spans="1:22" x14ac:dyDescent="0.3">
      <c r="A39" s="14">
        <v>45910</v>
      </c>
      <c r="B39" s="4">
        <v>0</v>
      </c>
      <c r="C39" s="4">
        <f t="shared" ref="C39" si="47">$H$4*B39</f>
        <v>0</v>
      </c>
      <c r="D39" s="5">
        <f t="shared" si="1"/>
        <v>6.8435681818181813</v>
      </c>
      <c r="E39" s="5">
        <f t="shared" si="2"/>
        <v>8.027337206268971</v>
      </c>
      <c r="F39" s="5">
        <f t="shared" ref="F39" si="48">C39-D39</f>
        <v>-6.8435681818181813</v>
      </c>
      <c r="G39" s="5">
        <f t="shared" si="4"/>
        <v>-0.85253278963710133</v>
      </c>
      <c r="I39" s="14">
        <v>45901</v>
      </c>
      <c r="J39" s="92">
        <v>9.8000000000000004E-2</v>
      </c>
      <c r="K39" s="9">
        <f t="shared" si="5"/>
        <v>1.7734832038422981</v>
      </c>
      <c r="L39" s="9">
        <f t="shared" si="6"/>
        <v>3.1238299058831123</v>
      </c>
      <c r="M39" s="48">
        <f t="shared" ref="M39" si="49">J39-K39</f>
        <v>-1.675483203842298</v>
      </c>
      <c r="N39" s="72">
        <f t="shared" si="36"/>
        <v>-0.53635545286472186</v>
      </c>
      <c r="P39" s="58">
        <v>45549</v>
      </c>
      <c r="Q39" s="76">
        <v>529.66999999999996</v>
      </c>
      <c r="R39" s="30">
        <f t="shared" si="9"/>
        <v>529.80626175662462</v>
      </c>
      <c r="S39" s="30">
        <f t="shared" si="10"/>
        <v>0.25900494814872016</v>
      </c>
      <c r="T39" s="56">
        <f t="shared" si="42"/>
        <v>-0.13626175662466267</v>
      </c>
      <c r="U39" s="55">
        <f t="shared" si="43"/>
        <v>-0.5260971174435688</v>
      </c>
    </row>
    <row r="40" spans="1:22" x14ac:dyDescent="0.3">
      <c r="A40" s="14">
        <v>45941</v>
      </c>
      <c r="B40" s="4">
        <v>0.17</v>
      </c>
      <c r="C40" s="4">
        <f t="shared" ref="C40" si="50">$H$4*B40</f>
        <v>4.3180000000000005</v>
      </c>
      <c r="D40" s="5">
        <f t="shared" si="1"/>
        <v>6.8435681818181813</v>
      </c>
      <c r="E40" s="5">
        <f t="shared" si="2"/>
        <v>8.027337206268971</v>
      </c>
      <c r="F40" s="5">
        <f t="shared" ref="F40" si="51">C40-D40</f>
        <v>-2.5255681818181808</v>
      </c>
      <c r="G40" s="5">
        <f t="shared" si="4"/>
        <v>-0.31462091561892175</v>
      </c>
      <c r="I40" s="14">
        <v>45931</v>
      </c>
      <c r="J40" s="92">
        <v>1.2290000000000001</v>
      </c>
      <c r="K40" s="9">
        <f t="shared" si="5"/>
        <v>1.7734832038422981</v>
      </c>
      <c r="L40" s="9">
        <f t="shared" si="6"/>
        <v>3.1238299058831123</v>
      </c>
      <c r="M40" s="48">
        <f t="shared" ref="M40" si="52">J40-K40</f>
        <v>-0.54448320384229798</v>
      </c>
      <c r="N40" s="72">
        <f t="shared" si="36"/>
        <v>-0.17429988835719645</v>
      </c>
      <c r="P40" s="58">
        <v>45566</v>
      </c>
      <c r="Q40" s="76">
        <v>529.66</v>
      </c>
      <c r="R40" s="30">
        <f t="shared" si="9"/>
        <v>529.80626175662462</v>
      </c>
      <c r="S40" s="30">
        <f t="shared" ref="S40:S47" si="53">_xlfn.STDEV.S($Q$4:$Q$390)</f>
        <v>0.25900494814872016</v>
      </c>
      <c r="T40" s="56">
        <f t="shared" si="42"/>
        <v>-0.14626175662465357</v>
      </c>
      <c r="U40" s="55">
        <f t="shared" si="43"/>
        <v>-0.56470641842977587</v>
      </c>
      <c r="V40" s="59" t="s">
        <v>29</v>
      </c>
    </row>
    <row r="41" spans="1:22" x14ac:dyDescent="0.3">
      <c r="A41" s="14">
        <v>45973</v>
      </c>
      <c r="B41" s="4">
        <v>0.52</v>
      </c>
      <c r="C41" s="4">
        <f t="shared" ref="C41" si="54">$H$4*B41</f>
        <v>13.208</v>
      </c>
      <c r="D41" s="5">
        <f t="shared" si="1"/>
        <v>6.8435681818181813</v>
      </c>
      <c r="E41" s="5">
        <f t="shared" si="2"/>
        <v>8.027337206268971</v>
      </c>
      <c r="F41" s="5">
        <f t="shared" ref="F41" si="55">C41-D41</f>
        <v>6.3644318181818189</v>
      </c>
      <c r="G41" s="5">
        <f t="shared" si="4"/>
        <v>0.79284470735968315</v>
      </c>
      <c r="I41" s="14">
        <v>45962</v>
      </c>
      <c r="J41" s="92">
        <v>0.60299999999999998</v>
      </c>
      <c r="K41" s="9">
        <f t="shared" si="5"/>
        <v>1.7734832038422981</v>
      </c>
      <c r="L41" s="9">
        <f t="shared" si="6"/>
        <v>3.1238299058831123</v>
      </c>
      <c r="M41" s="48">
        <f t="shared" ref="M41" si="56">J41-K41</f>
        <v>-1.1704832038422981</v>
      </c>
      <c r="N41" s="72">
        <f t="shared" si="36"/>
        <v>-0.37469492229328039</v>
      </c>
      <c r="P41" s="58">
        <v>45598</v>
      </c>
      <c r="Q41" s="76">
        <v>529.70000000000005</v>
      </c>
      <c r="R41" s="30">
        <f t="shared" si="9"/>
        <v>529.80626175662462</v>
      </c>
      <c r="S41" s="30">
        <f t="shared" si="53"/>
        <v>0.25900494814872016</v>
      </c>
      <c r="T41" s="56">
        <f t="shared" si="42"/>
        <v>-0.10626175662457626</v>
      </c>
      <c r="U41" s="55">
        <f t="shared" si="43"/>
        <v>-0.41026921448450848</v>
      </c>
    </row>
    <row r="42" spans="1:22" x14ac:dyDescent="0.3">
      <c r="A42" s="14">
        <v>46004</v>
      </c>
      <c r="B42" s="4">
        <v>0.99</v>
      </c>
      <c r="C42" s="4">
        <f t="shared" ref="C42" si="57">$H$4*B42</f>
        <v>25.145999999999997</v>
      </c>
      <c r="D42" s="5">
        <f t="shared" si="1"/>
        <v>6.8435681818181813</v>
      </c>
      <c r="E42" s="5">
        <f t="shared" si="2"/>
        <v>8.027337206268971</v>
      </c>
      <c r="F42" s="5">
        <f t="shared" ref="F42" si="58">C42-D42</f>
        <v>18.302431818181816</v>
      </c>
      <c r="G42" s="5">
        <f t="shared" si="4"/>
        <v>2.280012829645238</v>
      </c>
      <c r="I42" s="14">
        <v>45992</v>
      </c>
      <c r="J42" s="92">
        <v>1.7496</v>
      </c>
      <c r="K42" s="9">
        <f t="shared" si="5"/>
        <v>1.7734832038422981</v>
      </c>
      <c r="L42" s="9">
        <f t="shared" si="6"/>
        <v>3.1238299058831123</v>
      </c>
      <c r="M42" s="48">
        <f t="shared" ref="M42" si="59">J42-K42</f>
        <v>-2.3883203842298029E-2</v>
      </c>
      <c r="N42" s="72">
        <f t="shared" ref="N42" si="60">M42/L42</f>
        <v>-7.6454879304787898E-3</v>
      </c>
      <c r="P42" s="58">
        <v>45629</v>
      </c>
      <c r="Q42" s="76">
        <v>529.58000000000004</v>
      </c>
      <c r="R42" s="30">
        <f t="shared" si="9"/>
        <v>529.80626175662462</v>
      </c>
      <c r="S42" s="30">
        <f t="shared" si="53"/>
        <v>0.25900494814872016</v>
      </c>
      <c r="T42" s="56">
        <f t="shared" si="42"/>
        <v>-0.22626175662458081</v>
      </c>
      <c r="U42" s="55">
        <f t="shared" si="43"/>
        <v>-0.87358082631943279</v>
      </c>
    </row>
    <row r="43" spans="1:22" x14ac:dyDescent="0.3">
      <c r="A43" s="14">
        <v>45671</v>
      </c>
      <c r="B43" s="4">
        <v>0.17</v>
      </c>
      <c r="C43" s="4">
        <f t="shared" ref="C43" si="61">$H$4*B43</f>
        <v>4.3180000000000005</v>
      </c>
      <c r="D43" s="5">
        <f t="shared" si="1"/>
        <v>6.8435681818181813</v>
      </c>
      <c r="E43" s="5">
        <f t="shared" si="2"/>
        <v>8.027337206268971</v>
      </c>
      <c r="F43" s="5">
        <f t="shared" ref="F43" si="62">C43-D43</f>
        <v>-2.5255681818181808</v>
      </c>
      <c r="G43" s="5">
        <f t="shared" si="4"/>
        <v>-0.31462091561892175</v>
      </c>
      <c r="I43" s="14">
        <v>46023</v>
      </c>
      <c r="J43" s="92">
        <v>16.388000000000002</v>
      </c>
      <c r="K43" s="9">
        <f t="shared" si="5"/>
        <v>1.7734832038422981</v>
      </c>
      <c r="L43" s="9">
        <f t="shared" si="6"/>
        <v>3.1238299058831123</v>
      </c>
      <c r="M43" s="48">
        <f t="shared" ref="M43" si="63">J43-K43</f>
        <v>14.614516796157703</v>
      </c>
      <c r="N43" s="72">
        <f t="shared" ref="N43" si="64">M43/L43</f>
        <v>4.6783971075487072</v>
      </c>
      <c r="P43" s="58">
        <v>45668</v>
      </c>
      <c r="Q43" s="76">
        <v>529.77</v>
      </c>
      <c r="R43" s="30">
        <f t="shared" si="9"/>
        <v>529.80626175662462</v>
      </c>
      <c r="S43" s="30">
        <f t="shared" si="53"/>
        <v>0.25900494814872016</v>
      </c>
      <c r="T43" s="56">
        <f t="shared" ref="T43" si="65">Q43-R43</f>
        <v>-3.6261756624639929E-2</v>
      </c>
      <c r="U43" s="55">
        <f t="shared" ref="U43" si="66">T43/S43</f>
        <v>-0.14000410758105863</v>
      </c>
    </row>
    <row r="44" spans="1:22" x14ac:dyDescent="0.3">
      <c r="A44" s="14">
        <v>45703</v>
      </c>
      <c r="B44" s="4">
        <v>0.35</v>
      </c>
      <c r="C44" s="4">
        <f t="shared" ref="C44" si="67">$H$4*B44</f>
        <v>8.8899999999999988</v>
      </c>
      <c r="D44" s="5">
        <f t="shared" si="1"/>
        <v>6.8435681818181813</v>
      </c>
      <c r="E44" s="5">
        <f t="shared" si="2"/>
        <v>8.027337206268971</v>
      </c>
      <c r="F44" s="5">
        <f t="shared" ref="F44" si="68">C44-D44</f>
        <v>2.0464318181818175</v>
      </c>
      <c r="G44" s="5">
        <f t="shared" si="4"/>
        <v>0.25493283334150346</v>
      </c>
      <c r="I44" s="14">
        <v>46054</v>
      </c>
      <c r="J44" s="92">
        <v>11.574</v>
      </c>
      <c r="K44" s="9">
        <f t="shared" si="5"/>
        <v>1.7734832038422981</v>
      </c>
      <c r="L44" s="9">
        <f t="shared" si="6"/>
        <v>3.1238299058831123</v>
      </c>
      <c r="M44" s="48">
        <f t="shared" ref="M44:M47" si="69">J44-K44</f>
        <v>9.8005167961577015</v>
      </c>
      <c r="N44" s="72">
        <f t="shared" ref="N44:N47" si="70">M44/L44</f>
        <v>3.1373400893884709</v>
      </c>
      <c r="P44" s="58">
        <v>45689</v>
      </c>
      <c r="Q44" s="76">
        <v>529.85</v>
      </c>
      <c r="R44" s="30">
        <f t="shared" si="9"/>
        <v>529.80626175662462</v>
      </c>
      <c r="S44" s="30">
        <f t="shared" si="53"/>
        <v>0.25900494814872016</v>
      </c>
      <c r="T44" s="56">
        <f t="shared" ref="T44" si="71">Q44-R44</f>
        <v>4.3738243375400998E-2</v>
      </c>
      <c r="U44" s="55">
        <f t="shared" ref="U44" si="72">T44/S44</f>
        <v>0.16887030030903727</v>
      </c>
    </row>
    <row r="45" spans="1:22" x14ac:dyDescent="0.3">
      <c r="A45" s="14">
        <v>45732</v>
      </c>
      <c r="B45" s="4">
        <v>1.39</v>
      </c>
      <c r="C45" s="4">
        <f t="shared" ref="C45:C46" si="73">$H$4*B45</f>
        <v>35.305999999999997</v>
      </c>
      <c r="D45" s="5">
        <f t="shared" si="1"/>
        <v>6.8435681818181813</v>
      </c>
      <c r="E45" s="5">
        <f t="shared" si="2"/>
        <v>8.027337206268971</v>
      </c>
      <c r="F45" s="5">
        <f t="shared" ref="F45" si="74">C45-D45</f>
        <v>28.462431818181816</v>
      </c>
      <c r="G45" s="5">
        <f t="shared" si="4"/>
        <v>3.545687827335072</v>
      </c>
      <c r="I45" s="14">
        <v>46083</v>
      </c>
      <c r="J45" s="92">
        <v>5.7016999999999998</v>
      </c>
      <c r="K45" s="9">
        <f t="shared" si="5"/>
        <v>1.7734832038422981</v>
      </c>
      <c r="L45" s="9">
        <f t="shared" si="6"/>
        <v>3.1238299058831123</v>
      </c>
      <c r="M45" s="48">
        <f t="shared" si="69"/>
        <v>3.9282167961577015</v>
      </c>
      <c r="N45" s="72">
        <f t="shared" si="70"/>
        <v>1.2575002207257464</v>
      </c>
      <c r="P45" s="58">
        <v>45718</v>
      </c>
      <c r="Q45" s="76">
        <v>529.80999999999995</v>
      </c>
      <c r="R45" s="30">
        <f t="shared" si="9"/>
        <v>529.80626175662462</v>
      </c>
      <c r="S45" s="30">
        <f t="shared" si="53"/>
        <v>0.25900494814872016</v>
      </c>
      <c r="T45" s="56">
        <f t="shared" ref="T45" si="75">Q45-R45</f>
        <v>3.738243375323691E-3</v>
      </c>
      <c r="U45" s="55">
        <f t="shared" ref="U45" si="76">T45/S45</f>
        <v>1.4433096363769849E-2</v>
      </c>
    </row>
    <row r="46" spans="1:22" x14ac:dyDescent="0.3">
      <c r="A46" s="14">
        <v>45764</v>
      </c>
      <c r="B46" s="4">
        <v>1.28</v>
      </c>
      <c r="C46" s="4">
        <f t="shared" si="73"/>
        <v>32.512</v>
      </c>
      <c r="D46" s="5">
        <f t="shared" si="1"/>
        <v>6.8435681818181813</v>
      </c>
      <c r="E46" s="5">
        <f t="shared" si="2"/>
        <v>8.027337206268971</v>
      </c>
      <c r="F46" s="5">
        <f t="shared" ref="F46" si="77">C46-D46</f>
        <v>25.668431818181819</v>
      </c>
      <c r="G46" s="5">
        <f t="shared" si="4"/>
        <v>3.1976272029703683</v>
      </c>
      <c r="I46" s="14">
        <v>46115</v>
      </c>
      <c r="J46" s="92">
        <v>4.3005550000000001</v>
      </c>
      <c r="K46" s="9">
        <f t="shared" si="5"/>
        <v>1.7734832038422981</v>
      </c>
      <c r="L46" s="9">
        <f t="shared" si="6"/>
        <v>3.1238299058831123</v>
      </c>
      <c r="M46" s="48">
        <f t="shared" si="69"/>
        <v>2.5270717961577018</v>
      </c>
      <c r="N46" s="72">
        <f t="shared" si="70"/>
        <v>0.80896587595837555</v>
      </c>
      <c r="P46" s="58">
        <v>45750</v>
      </c>
      <c r="Q46" s="76">
        <f>AVERAGE(Q44:Q45)</f>
        <v>529.82999999999993</v>
      </c>
      <c r="R46" s="30">
        <f t="shared" si="9"/>
        <v>529.80626175662462</v>
      </c>
      <c r="S46" s="30">
        <f t="shared" si="53"/>
        <v>0.25900494814872016</v>
      </c>
      <c r="T46" s="56">
        <f t="shared" ref="T46" si="78">Q46-R46</f>
        <v>2.3738243375305501E-2</v>
      </c>
      <c r="U46" s="55">
        <f t="shared" ref="U46" si="79">T46/S46</f>
        <v>9.1651698336184084E-2</v>
      </c>
    </row>
    <row r="47" spans="1:22" x14ac:dyDescent="0.3">
      <c r="A47" s="14">
        <v>45795</v>
      </c>
      <c r="B47" s="4">
        <v>0.8</v>
      </c>
      <c r="C47" s="4">
        <f t="shared" ref="C47" si="80">$H$4*B47</f>
        <v>20.32</v>
      </c>
      <c r="D47" s="5">
        <f t="shared" si="1"/>
        <v>6.8435681818181813</v>
      </c>
      <c r="E47" s="5">
        <f t="shared" si="2"/>
        <v>8.027337206268971</v>
      </c>
      <c r="F47" s="5">
        <f t="shared" ref="F47" si="81">C47-D47</f>
        <v>13.476431818181819</v>
      </c>
      <c r="G47" s="5">
        <f t="shared" ref="G47" si="82">F47/E47</f>
        <v>1.6788172057425672</v>
      </c>
      <c r="I47" s="14">
        <v>46146</v>
      </c>
      <c r="J47" s="92">
        <v>3.3214285710000002</v>
      </c>
      <c r="K47" s="9">
        <f t="shared" si="5"/>
        <v>1.7734832038422981</v>
      </c>
      <c r="L47" s="9">
        <f t="shared" si="6"/>
        <v>3.1238299058831123</v>
      </c>
      <c r="M47" s="48">
        <f t="shared" si="69"/>
        <v>1.5479453671577021</v>
      </c>
      <c r="N47" s="72">
        <f t="shared" si="70"/>
        <v>0.49552805811944334</v>
      </c>
      <c r="P47" s="58">
        <v>45781</v>
      </c>
      <c r="Q47" s="76">
        <v>529.80999999999995</v>
      </c>
      <c r="R47" s="30">
        <f t="shared" si="9"/>
        <v>529.80626175662462</v>
      </c>
      <c r="S47" s="30">
        <f t="shared" si="53"/>
        <v>0.25900494814872016</v>
      </c>
      <c r="T47" s="56">
        <f t="shared" ref="T47" si="83">Q47-R47</f>
        <v>3.738243375323691E-3</v>
      </c>
      <c r="U47" s="55">
        <f t="shared" ref="U47" si="84">T47/S47</f>
        <v>1.4433096363769849E-2</v>
      </c>
    </row>
    <row r="48" spans="1:22" x14ac:dyDescent="0.3">
      <c r="I48" s="24"/>
      <c r="K48" s="9"/>
      <c r="L48" s="9"/>
      <c r="M48" s="20"/>
      <c r="N48" s="26"/>
      <c r="P48" s="58">
        <v>45809</v>
      </c>
      <c r="Q48" s="76">
        <v>529.79</v>
      </c>
      <c r="R48" s="30">
        <f t="shared" ref="R48:R59" si="85">AVERAGE($Q$4:$Q$450)</f>
        <v>529.80626175662462</v>
      </c>
      <c r="S48" s="30">
        <f t="shared" ref="S48:S59" si="86">_xlfn.STDEV.S($Q$4:$Q$390)</f>
        <v>0.25900494814872016</v>
      </c>
      <c r="T48" s="56">
        <f t="shared" ref="T48:T53" si="87">Q48-R48</f>
        <v>-1.6261756624658119E-2</v>
      </c>
      <c r="U48" s="55">
        <f t="shared" ref="U48:U53" si="88">T48/S48</f>
        <v>-6.278550560864439E-2</v>
      </c>
    </row>
    <row r="49" spans="9:21" x14ac:dyDescent="0.3">
      <c r="I49" s="24"/>
      <c r="K49" s="9"/>
      <c r="L49" s="9"/>
      <c r="M49" s="20"/>
      <c r="N49" s="26"/>
      <c r="P49" s="58">
        <v>45839</v>
      </c>
      <c r="Q49" s="76">
        <v>529.78</v>
      </c>
      <c r="R49" s="30">
        <f t="shared" si="85"/>
        <v>529.80626175662462</v>
      </c>
      <c r="S49" s="30">
        <f t="shared" si="86"/>
        <v>0.25900494814872016</v>
      </c>
      <c r="T49" s="56">
        <f t="shared" si="87"/>
        <v>-2.6261756624649024E-2</v>
      </c>
      <c r="U49" s="55">
        <f t="shared" si="88"/>
        <v>-0.10139480659485151</v>
      </c>
    </row>
    <row r="50" spans="9:21" x14ac:dyDescent="0.3">
      <c r="I50" s="24"/>
      <c r="K50" s="9"/>
      <c r="L50" s="9"/>
      <c r="M50" s="20"/>
      <c r="N50" s="26"/>
      <c r="P50" s="58">
        <v>45870</v>
      </c>
      <c r="Q50" s="76">
        <v>529.57000000000005</v>
      </c>
      <c r="R50" s="30">
        <f t="shared" si="85"/>
        <v>529.80626175662462</v>
      </c>
      <c r="S50" s="30">
        <f t="shared" si="86"/>
        <v>0.25900494814872016</v>
      </c>
      <c r="T50" s="56">
        <f t="shared" si="87"/>
        <v>-0.23626175662457172</v>
      </c>
      <c r="U50" s="55">
        <f t="shared" si="88"/>
        <v>-0.91219012730563998</v>
      </c>
    </row>
    <row r="51" spans="9:21" x14ac:dyDescent="0.3">
      <c r="I51" s="24"/>
      <c r="K51" s="9"/>
      <c r="L51" s="9"/>
      <c r="M51" s="20"/>
      <c r="N51" s="26"/>
      <c r="P51" s="58">
        <v>45901</v>
      </c>
      <c r="Q51" s="76">
        <v>529.51</v>
      </c>
      <c r="R51" s="30">
        <f t="shared" si="85"/>
        <v>529.80626175662462</v>
      </c>
      <c r="S51" s="30">
        <f t="shared" si="86"/>
        <v>0.25900494814872016</v>
      </c>
      <c r="T51" s="56">
        <f t="shared" si="87"/>
        <v>-0.29626175662463083</v>
      </c>
      <c r="U51" s="55">
        <f t="shared" si="88"/>
        <v>-1.1438459332233215</v>
      </c>
    </row>
    <row r="52" spans="9:21" x14ac:dyDescent="0.3">
      <c r="I52" s="24"/>
      <c r="K52" s="9"/>
      <c r="L52" s="9"/>
      <c r="M52" s="20"/>
      <c r="N52" s="26"/>
      <c r="P52" s="58">
        <v>45931</v>
      </c>
      <c r="Q52" s="76">
        <v>529.58000000000004</v>
      </c>
      <c r="R52" s="30">
        <f t="shared" si="85"/>
        <v>529.80626175662462</v>
      </c>
      <c r="S52" s="30">
        <f t="shared" si="86"/>
        <v>0.25900494814872016</v>
      </c>
      <c r="T52" s="56">
        <f t="shared" si="87"/>
        <v>-0.22626175662458081</v>
      </c>
      <c r="U52" s="55">
        <f t="shared" si="88"/>
        <v>-0.87358082631943279</v>
      </c>
    </row>
    <row r="53" spans="9:21" x14ac:dyDescent="0.3">
      <c r="I53" s="24"/>
      <c r="K53" s="9"/>
      <c r="L53" s="9"/>
      <c r="M53" s="20"/>
      <c r="N53" s="26"/>
      <c r="P53" s="58">
        <v>45962</v>
      </c>
      <c r="Q53" s="76">
        <v>529.61</v>
      </c>
      <c r="R53" s="30">
        <f t="shared" si="85"/>
        <v>529.80626175662462</v>
      </c>
      <c r="S53" s="30">
        <f t="shared" si="86"/>
        <v>0.25900494814872016</v>
      </c>
      <c r="T53" s="56">
        <f t="shared" si="87"/>
        <v>-0.1962617566246081</v>
      </c>
      <c r="U53" s="55">
        <f t="shared" si="88"/>
        <v>-0.75775292336081146</v>
      </c>
    </row>
    <row r="54" spans="9:21" x14ac:dyDescent="0.3">
      <c r="I54" s="24"/>
      <c r="K54" s="9"/>
      <c r="L54" s="9"/>
      <c r="M54" s="20"/>
      <c r="N54" s="26"/>
      <c r="P54" s="58">
        <v>45992</v>
      </c>
      <c r="Q54" s="76">
        <v>529.65</v>
      </c>
      <c r="R54" s="30">
        <f t="shared" si="85"/>
        <v>529.80626175662462</v>
      </c>
      <c r="S54" s="30">
        <f t="shared" si="86"/>
        <v>0.25900494814872016</v>
      </c>
      <c r="T54" s="56">
        <f t="shared" ref="T54" si="89">Q54-R54</f>
        <v>-0.15626175662464448</v>
      </c>
      <c r="U54" s="55">
        <f t="shared" ref="U54" si="90">T54/S54</f>
        <v>-0.60331571941598294</v>
      </c>
    </row>
    <row r="55" spans="9:21" x14ac:dyDescent="0.3">
      <c r="I55" s="24"/>
      <c r="K55" s="9"/>
      <c r="L55" s="9"/>
      <c r="M55" s="20"/>
      <c r="N55" s="26"/>
      <c r="P55" s="58">
        <v>46023</v>
      </c>
      <c r="Q55" s="76">
        <v>530.11</v>
      </c>
      <c r="R55" s="30">
        <f t="shared" si="85"/>
        <v>529.80626175662462</v>
      </c>
      <c r="S55" s="30">
        <f t="shared" si="86"/>
        <v>0.25900494814872016</v>
      </c>
      <c r="T55" s="56">
        <f t="shared" ref="T55" si="91">Q55-R55</f>
        <v>0.3037382433753919</v>
      </c>
      <c r="U55" s="55">
        <f t="shared" ref="U55" si="92">T55/S55</f>
        <v>1.1727121259513003</v>
      </c>
    </row>
    <row r="56" spans="9:21" x14ac:dyDescent="0.3">
      <c r="I56" s="24"/>
      <c r="K56" s="9"/>
      <c r="L56" s="9"/>
      <c r="M56" s="20"/>
      <c r="N56" s="26"/>
      <c r="P56" s="58">
        <v>46055</v>
      </c>
      <c r="Q56" s="76">
        <v>530.44000000000005</v>
      </c>
      <c r="R56" s="30">
        <f t="shared" si="85"/>
        <v>529.80626175662462</v>
      </c>
      <c r="S56" s="30">
        <f t="shared" si="86"/>
        <v>0.25900494814872016</v>
      </c>
      <c r="T56" s="56">
        <f t="shared" ref="T56:T59" si="93">Q56-R56</f>
        <v>0.63373824337543283</v>
      </c>
      <c r="U56" s="55">
        <f t="shared" ref="U56:U59" si="94">T56/S56</f>
        <v>2.4468190584974518</v>
      </c>
    </row>
    <row r="57" spans="9:21" x14ac:dyDescent="0.3">
      <c r="I57" s="24"/>
      <c r="K57" s="9"/>
      <c r="L57" s="9"/>
      <c r="M57" s="20"/>
      <c r="N57" s="26"/>
      <c r="P57" s="58">
        <v>46082</v>
      </c>
      <c r="Q57" s="76">
        <v>530.61</v>
      </c>
      <c r="R57" s="30">
        <f t="shared" si="85"/>
        <v>529.80626175662462</v>
      </c>
      <c r="S57" s="30">
        <f t="shared" si="86"/>
        <v>0.25900494814872016</v>
      </c>
      <c r="T57" s="56">
        <f t="shared" si="93"/>
        <v>0.8037382433753919</v>
      </c>
      <c r="U57" s="55">
        <f t="shared" si="94"/>
        <v>3.1031771752634119</v>
      </c>
    </row>
    <row r="58" spans="9:21" x14ac:dyDescent="0.3">
      <c r="I58" s="24"/>
      <c r="K58" s="9"/>
      <c r="L58" s="9"/>
      <c r="M58" s="20"/>
      <c r="N58" s="26"/>
      <c r="P58" s="58">
        <v>46114</v>
      </c>
      <c r="Q58" s="76">
        <v>530.47</v>
      </c>
      <c r="R58" s="30">
        <f t="shared" si="85"/>
        <v>529.80626175662462</v>
      </c>
      <c r="S58" s="30">
        <f t="shared" si="86"/>
        <v>0.25900494814872016</v>
      </c>
      <c r="T58" s="56">
        <f t="shared" si="93"/>
        <v>0.66373824337540555</v>
      </c>
      <c r="U58" s="55">
        <f t="shared" si="94"/>
        <v>2.5626469614560734</v>
      </c>
    </row>
    <row r="59" spans="9:21" x14ac:dyDescent="0.3">
      <c r="I59" s="24"/>
      <c r="K59" s="9"/>
      <c r="L59" s="9"/>
      <c r="M59" s="20"/>
      <c r="N59" s="26"/>
      <c r="P59" s="58">
        <v>46145</v>
      </c>
      <c r="Q59" s="76">
        <v>530.54999999999995</v>
      </c>
      <c r="R59" s="30">
        <f t="shared" si="85"/>
        <v>529.80626175662462</v>
      </c>
      <c r="S59" s="30">
        <f t="shared" si="86"/>
        <v>0.25900494814872016</v>
      </c>
      <c r="T59" s="56">
        <f t="shared" si="93"/>
        <v>0.74373824337533279</v>
      </c>
      <c r="U59" s="55">
        <f t="shared" si="94"/>
        <v>2.8715213693457304</v>
      </c>
    </row>
    <row r="60" spans="9:21" x14ac:dyDescent="0.3">
      <c r="I60" s="24"/>
      <c r="K60" s="9"/>
      <c r="L60" s="9"/>
      <c r="M60" s="20"/>
      <c r="N60" s="26"/>
      <c r="P60" s="52"/>
      <c r="Q60" s="53"/>
      <c r="R60" s="53"/>
      <c r="S60" s="53"/>
      <c r="T60" s="52"/>
      <c r="U60" s="52"/>
    </row>
    <row r="61" spans="9:21" x14ac:dyDescent="0.3">
      <c r="I61" s="24"/>
      <c r="K61" s="9"/>
      <c r="L61" s="9"/>
      <c r="M61" s="20"/>
      <c r="N61" s="26"/>
      <c r="P61" s="52"/>
      <c r="Q61" s="53"/>
      <c r="R61" s="53"/>
      <c r="S61" s="53"/>
      <c r="T61" s="52"/>
      <c r="U61" s="52"/>
    </row>
    <row r="62" spans="9:21" x14ac:dyDescent="0.3">
      <c r="I62" s="24"/>
      <c r="K62" s="9"/>
      <c r="L62" s="9"/>
      <c r="M62" s="20"/>
      <c r="N62" s="26"/>
      <c r="P62" s="52"/>
      <c r="Q62" s="53"/>
      <c r="R62" s="53"/>
      <c r="S62" s="53"/>
      <c r="T62" s="52"/>
      <c r="U62" s="52"/>
    </row>
    <row r="63" spans="9:21" x14ac:dyDescent="0.3">
      <c r="I63" s="24"/>
      <c r="K63" s="9"/>
      <c r="L63" s="9"/>
      <c r="M63" s="20"/>
      <c r="N63" s="26"/>
      <c r="P63" s="52"/>
      <c r="Q63" s="52"/>
      <c r="R63" s="52"/>
      <c r="S63" s="52"/>
      <c r="T63" s="52"/>
      <c r="U63" s="52"/>
    </row>
    <row r="64" spans="9:21" x14ac:dyDescent="0.3">
      <c r="I64" s="24"/>
      <c r="K64" s="9"/>
      <c r="L64" s="9"/>
      <c r="M64" s="20"/>
      <c r="N64" s="26"/>
      <c r="P64" s="52"/>
      <c r="Q64" s="52"/>
      <c r="R64" s="52"/>
      <c r="S64" s="52"/>
      <c r="T64" s="52"/>
      <c r="U64" s="52"/>
    </row>
    <row r="65" spans="9:21" x14ac:dyDescent="0.3">
      <c r="I65" s="24"/>
      <c r="K65" s="9"/>
      <c r="L65" s="9"/>
      <c r="M65" s="20"/>
      <c r="N65" s="26"/>
      <c r="P65" s="52"/>
      <c r="Q65" s="52"/>
      <c r="R65" s="52"/>
      <c r="S65" s="52"/>
      <c r="T65" s="52"/>
      <c r="U65" s="52"/>
    </row>
    <row r="66" spans="9:21" x14ac:dyDescent="0.3">
      <c r="I66" s="24"/>
      <c r="K66" s="9"/>
      <c r="L66" s="9"/>
      <c r="M66" s="20"/>
      <c r="N66" s="26"/>
      <c r="P66" s="52"/>
      <c r="Q66" s="52"/>
      <c r="R66" s="52"/>
      <c r="S66" s="52"/>
      <c r="T66" s="52"/>
      <c r="U66" s="52"/>
    </row>
    <row r="67" spans="9:21" x14ac:dyDescent="0.3">
      <c r="I67" s="24"/>
      <c r="K67" s="9"/>
      <c r="L67" s="9"/>
      <c r="M67" s="20"/>
      <c r="N67" s="26"/>
      <c r="P67" s="52"/>
      <c r="Q67" s="52"/>
      <c r="R67" s="52"/>
      <c r="S67" s="52"/>
      <c r="T67" s="52"/>
      <c r="U67" s="52"/>
    </row>
    <row r="68" spans="9:21" x14ac:dyDescent="0.3">
      <c r="I68" s="24"/>
      <c r="K68" s="9"/>
      <c r="L68" s="9"/>
      <c r="M68" s="20"/>
      <c r="N68" s="26"/>
      <c r="P68" s="52"/>
      <c r="Q68" s="52"/>
      <c r="R68" s="52"/>
      <c r="S68" s="52"/>
      <c r="T68" s="52"/>
      <c r="U68" s="52"/>
    </row>
    <row r="69" spans="9:21" x14ac:dyDescent="0.3">
      <c r="I69" s="24"/>
      <c r="K69" s="9"/>
      <c r="L69" s="9"/>
      <c r="M69" s="20"/>
      <c r="N69" s="26"/>
      <c r="P69" s="52"/>
      <c r="Q69" s="52"/>
      <c r="R69" s="52"/>
      <c r="S69" s="52"/>
      <c r="T69" s="52"/>
      <c r="U69" s="52"/>
    </row>
    <row r="70" spans="9:21" x14ac:dyDescent="0.3">
      <c r="I70" s="24"/>
      <c r="K70" s="9"/>
      <c r="L70" s="9"/>
      <c r="M70" s="20"/>
      <c r="N70" s="26"/>
      <c r="P70" s="52"/>
      <c r="Q70" s="52"/>
      <c r="R70" s="52"/>
      <c r="S70" s="52"/>
      <c r="T70" s="52"/>
      <c r="U70" s="52"/>
    </row>
    <row r="71" spans="9:21" x14ac:dyDescent="0.3">
      <c r="I71" s="24"/>
      <c r="K71" s="9"/>
      <c r="L71" s="9"/>
      <c r="M71" s="20"/>
      <c r="N71" s="26"/>
      <c r="P71" s="52"/>
      <c r="Q71" s="52"/>
      <c r="R71" s="52"/>
      <c r="S71" s="52"/>
      <c r="T71" s="52"/>
      <c r="U71" s="52"/>
    </row>
    <row r="72" spans="9:21" x14ac:dyDescent="0.3">
      <c r="I72" s="24"/>
      <c r="K72" s="9"/>
      <c r="L72" s="9"/>
      <c r="M72" s="20"/>
      <c r="N72" s="26"/>
      <c r="P72" s="52"/>
      <c r="Q72" s="52"/>
      <c r="R72" s="52"/>
      <c r="S72" s="52"/>
      <c r="T72" s="52"/>
      <c r="U72" s="52"/>
    </row>
    <row r="73" spans="9:21" x14ac:dyDescent="0.3">
      <c r="I73" s="24"/>
      <c r="K73" s="9"/>
      <c r="L73" s="9"/>
      <c r="M73" s="20"/>
      <c r="N73" s="26"/>
      <c r="P73" s="52"/>
      <c r="Q73" s="52"/>
      <c r="R73" s="52"/>
      <c r="S73" s="52"/>
      <c r="T73" s="52"/>
      <c r="U73" s="52"/>
    </row>
    <row r="74" spans="9:21" x14ac:dyDescent="0.3">
      <c r="I74" s="24"/>
      <c r="K74" s="9"/>
      <c r="L74" s="9"/>
      <c r="M74" s="20"/>
      <c r="N74" s="26"/>
      <c r="P74" s="52"/>
      <c r="Q74" s="52"/>
      <c r="R74" s="52"/>
      <c r="S74" s="52"/>
      <c r="T74" s="52"/>
      <c r="U74" s="52"/>
    </row>
    <row r="75" spans="9:21" x14ac:dyDescent="0.3">
      <c r="I75" s="24"/>
      <c r="K75" s="9"/>
      <c r="L75" s="9"/>
      <c r="M75" s="20"/>
      <c r="N75" s="26"/>
      <c r="P75" s="52"/>
      <c r="Q75" s="52"/>
      <c r="R75" s="52"/>
      <c r="S75" s="52"/>
      <c r="T75" s="52"/>
      <c r="U75" s="52"/>
    </row>
    <row r="76" spans="9:21" x14ac:dyDescent="0.3">
      <c r="I76" s="24"/>
      <c r="K76" s="9"/>
      <c r="L76" s="9"/>
      <c r="M76" s="20"/>
      <c r="N76" s="26"/>
      <c r="P76" s="52"/>
      <c r="Q76" s="52"/>
      <c r="R76" s="52"/>
      <c r="S76" s="52"/>
      <c r="T76" s="52"/>
      <c r="U76" s="52"/>
    </row>
    <row r="77" spans="9:21" x14ac:dyDescent="0.3">
      <c r="I77" s="24"/>
      <c r="K77" s="9"/>
      <c r="L77" s="9"/>
      <c r="M77" s="20"/>
      <c r="N77" s="26"/>
      <c r="P77" s="52"/>
      <c r="Q77" s="52"/>
      <c r="R77" s="52"/>
      <c r="S77" s="52"/>
      <c r="T77" s="52"/>
      <c r="U77" s="52"/>
    </row>
    <row r="78" spans="9:21" x14ac:dyDescent="0.3">
      <c r="I78" s="24"/>
      <c r="K78" s="9"/>
      <c r="L78" s="9"/>
      <c r="M78" s="20"/>
      <c r="N78" s="26"/>
      <c r="P78" s="52"/>
      <c r="Q78" s="52"/>
      <c r="R78" s="52"/>
      <c r="S78" s="52"/>
      <c r="T78" s="52"/>
      <c r="U78" s="52"/>
    </row>
    <row r="79" spans="9:21" x14ac:dyDescent="0.3">
      <c r="I79" s="24"/>
      <c r="K79" s="9"/>
      <c r="L79" s="9"/>
      <c r="M79" s="20"/>
      <c r="N79" s="26"/>
      <c r="P79" s="52"/>
      <c r="Q79" s="52"/>
      <c r="R79" s="52"/>
      <c r="S79" s="52"/>
      <c r="T79" s="52"/>
      <c r="U79" s="52"/>
    </row>
    <row r="80" spans="9:21" x14ac:dyDescent="0.3">
      <c r="I80" s="24"/>
      <c r="K80" s="9"/>
      <c r="L80" s="9"/>
      <c r="M80" s="20"/>
      <c r="N80" s="26"/>
      <c r="P80" s="52"/>
      <c r="Q80" s="52"/>
      <c r="R80" s="52"/>
      <c r="S80" s="52"/>
      <c r="T80" s="52"/>
      <c r="U80" s="52"/>
    </row>
    <row r="81" spans="9:21" x14ac:dyDescent="0.3">
      <c r="I81" s="24"/>
      <c r="K81" s="9"/>
      <c r="L81" s="9"/>
      <c r="M81" s="20"/>
      <c r="N81" s="26"/>
      <c r="P81" s="52"/>
      <c r="Q81" s="52"/>
      <c r="R81" s="52"/>
      <c r="S81" s="52"/>
      <c r="T81" s="52"/>
      <c r="U81" s="52"/>
    </row>
    <row r="82" spans="9:21" x14ac:dyDescent="0.3">
      <c r="I82" s="24"/>
      <c r="K82" s="9"/>
      <c r="L82" s="9"/>
      <c r="M82" s="20"/>
      <c r="N82" s="26"/>
      <c r="P82" s="52"/>
      <c r="Q82" s="52"/>
      <c r="R82" s="52"/>
      <c r="S82" s="52"/>
      <c r="T82" s="52"/>
      <c r="U82" s="52"/>
    </row>
    <row r="83" spans="9:21" x14ac:dyDescent="0.3">
      <c r="I83" s="24"/>
      <c r="K83" s="9"/>
      <c r="L83" s="9"/>
      <c r="M83" s="20"/>
      <c r="N83" s="26"/>
      <c r="P83" s="52"/>
      <c r="Q83" s="52"/>
      <c r="R83" s="52"/>
      <c r="S83" s="52"/>
      <c r="T83" s="52"/>
      <c r="U83" s="52"/>
    </row>
    <row r="84" spans="9:21" x14ac:dyDescent="0.3">
      <c r="I84" s="24"/>
      <c r="K84" s="9"/>
      <c r="L84" s="9"/>
      <c r="M84" s="20"/>
      <c r="N84" s="26"/>
      <c r="P84" s="52"/>
      <c r="Q84" s="52"/>
      <c r="R84" s="52"/>
      <c r="S84" s="52"/>
      <c r="T84" s="52"/>
      <c r="U84" s="52"/>
    </row>
    <row r="85" spans="9:21" x14ac:dyDescent="0.3">
      <c r="I85" s="24"/>
      <c r="K85" s="9"/>
      <c r="L85" s="9"/>
      <c r="M85" s="20"/>
      <c r="N85" s="26"/>
      <c r="P85" s="52"/>
      <c r="Q85" s="52"/>
      <c r="R85" s="52"/>
      <c r="S85" s="52"/>
      <c r="T85" s="52"/>
      <c r="U85" s="52"/>
    </row>
    <row r="86" spans="9:21" x14ac:dyDescent="0.3">
      <c r="I86" s="24"/>
      <c r="K86" s="9"/>
      <c r="L86" s="9"/>
      <c r="M86" s="20"/>
      <c r="N86" s="26"/>
      <c r="P86" s="52"/>
      <c r="Q86" s="52"/>
      <c r="R86" s="52"/>
      <c r="S86" s="52"/>
      <c r="T86" s="52"/>
      <c r="U86" s="52"/>
    </row>
    <row r="87" spans="9:21" x14ac:dyDescent="0.3">
      <c r="I87" s="24"/>
      <c r="K87" s="9"/>
      <c r="L87" s="9"/>
      <c r="M87" s="20"/>
      <c r="N87" s="26"/>
      <c r="P87" s="52"/>
      <c r="Q87" s="52"/>
      <c r="R87" s="52"/>
      <c r="S87" s="52"/>
      <c r="T87" s="52"/>
      <c r="U87" s="52"/>
    </row>
    <row r="88" spans="9:21" x14ac:dyDescent="0.3">
      <c r="I88" s="24"/>
      <c r="K88" s="9"/>
      <c r="L88" s="9"/>
      <c r="M88" s="20"/>
      <c r="N88" s="26"/>
      <c r="P88" s="52"/>
      <c r="Q88" s="52"/>
      <c r="R88" s="52"/>
      <c r="S88" s="52"/>
      <c r="T88" s="52"/>
      <c r="U88" s="52"/>
    </row>
    <row r="89" spans="9:21" x14ac:dyDescent="0.3">
      <c r="I89" s="24"/>
      <c r="K89" s="9"/>
      <c r="L89" s="9"/>
      <c r="M89" s="20"/>
      <c r="N89" s="26"/>
      <c r="P89" s="52"/>
      <c r="Q89" s="52"/>
      <c r="R89" s="52"/>
      <c r="S89" s="52"/>
      <c r="T89" s="52"/>
      <c r="U89" s="52"/>
    </row>
    <row r="90" spans="9:21" x14ac:dyDescent="0.3">
      <c r="I90" s="24"/>
      <c r="K90" s="9"/>
      <c r="L90" s="9"/>
      <c r="M90" s="20"/>
      <c r="N90" s="26"/>
      <c r="P90" s="52"/>
      <c r="Q90" s="52"/>
      <c r="R90" s="52"/>
      <c r="S90" s="52"/>
      <c r="T90" s="52"/>
      <c r="U90" s="52"/>
    </row>
    <row r="91" spans="9:21" x14ac:dyDescent="0.3">
      <c r="I91" s="24"/>
      <c r="K91" s="9"/>
      <c r="L91" s="9"/>
      <c r="M91" s="20"/>
      <c r="N91" s="26"/>
      <c r="P91" s="52"/>
      <c r="Q91" s="52"/>
      <c r="R91" s="52"/>
      <c r="S91" s="52"/>
      <c r="T91" s="52"/>
      <c r="U91" s="52"/>
    </row>
    <row r="92" spans="9:21" x14ac:dyDescent="0.3">
      <c r="I92" s="24"/>
      <c r="K92" s="9"/>
      <c r="L92" s="9"/>
      <c r="M92" s="20"/>
      <c r="N92" s="26"/>
      <c r="P92" s="52"/>
      <c r="Q92" s="52"/>
      <c r="R92" s="52"/>
      <c r="S92" s="52"/>
      <c r="T92" s="52"/>
      <c r="U92" s="52"/>
    </row>
    <row r="93" spans="9:21" x14ac:dyDescent="0.3">
      <c r="I93" s="24"/>
      <c r="K93" s="9"/>
      <c r="L93" s="9"/>
      <c r="M93" s="20"/>
      <c r="N93" s="26"/>
      <c r="P93" s="52"/>
      <c r="Q93" s="52"/>
      <c r="R93" s="52"/>
      <c r="S93" s="52"/>
      <c r="T93" s="52"/>
      <c r="U93" s="52"/>
    </row>
    <row r="94" spans="9:21" x14ac:dyDescent="0.3">
      <c r="I94" s="24"/>
      <c r="K94" s="9"/>
      <c r="L94" s="9"/>
      <c r="M94" s="20"/>
      <c r="N94" s="26"/>
      <c r="P94" s="52"/>
      <c r="Q94" s="52"/>
      <c r="R94" s="52"/>
      <c r="S94" s="52"/>
      <c r="T94" s="52"/>
      <c r="U94" s="52"/>
    </row>
    <row r="95" spans="9:21" x14ac:dyDescent="0.3">
      <c r="I95" s="24"/>
      <c r="K95" s="9"/>
      <c r="L95" s="9"/>
      <c r="M95" s="20"/>
      <c r="N95" s="26"/>
      <c r="P95" s="52"/>
      <c r="Q95" s="52"/>
      <c r="R95" s="52"/>
      <c r="S95" s="52"/>
      <c r="T95" s="52"/>
      <c r="U95" s="52"/>
    </row>
    <row r="96" spans="9:21" x14ac:dyDescent="0.3">
      <c r="I96" s="24"/>
      <c r="K96" s="9"/>
      <c r="L96" s="9"/>
      <c r="M96" s="20"/>
      <c r="N96" s="26"/>
      <c r="P96" s="52"/>
      <c r="Q96" s="52"/>
      <c r="R96" s="52"/>
      <c r="S96" s="52"/>
      <c r="T96" s="52"/>
      <c r="U96" s="52"/>
    </row>
    <row r="97" spans="9:21" x14ac:dyDescent="0.3">
      <c r="I97" s="24"/>
      <c r="K97" s="9"/>
      <c r="L97" s="9"/>
      <c r="M97" s="20"/>
      <c r="N97" s="26"/>
      <c r="P97" s="52"/>
      <c r="Q97" s="52"/>
      <c r="R97" s="52"/>
      <c r="S97" s="52"/>
      <c r="T97" s="52"/>
      <c r="U97" s="52"/>
    </row>
    <row r="98" spans="9:21" x14ac:dyDescent="0.3">
      <c r="I98" s="24"/>
      <c r="K98" s="9"/>
      <c r="L98" s="9"/>
      <c r="M98" s="20"/>
      <c r="N98" s="26"/>
      <c r="P98" s="52"/>
      <c r="Q98" s="52"/>
      <c r="R98" s="52"/>
      <c r="S98" s="52"/>
      <c r="T98" s="52"/>
      <c r="U98" s="52"/>
    </row>
    <row r="99" spans="9:21" x14ac:dyDescent="0.3">
      <c r="I99" s="24"/>
      <c r="K99" s="9"/>
      <c r="L99" s="9"/>
      <c r="M99" s="20"/>
      <c r="N99" s="26"/>
      <c r="P99" s="52"/>
      <c r="Q99" s="52"/>
      <c r="R99" s="52"/>
      <c r="S99" s="52"/>
      <c r="T99" s="52"/>
      <c r="U99" s="52"/>
    </row>
    <row r="100" spans="9:21" x14ac:dyDescent="0.3">
      <c r="I100" s="24"/>
      <c r="K100" s="9"/>
      <c r="L100" s="9"/>
      <c r="M100" s="20"/>
      <c r="N100" s="26"/>
      <c r="P100" s="52"/>
      <c r="Q100" s="52"/>
      <c r="R100" s="52"/>
      <c r="S100" s="52"/>
      <c r="T100" s="52"/>
      <c r="U100" s="52"/>
    </row>
    <row r="101" spans="9:21" x14ac:dyDescent="0.3">
      <c r="I101" s="24"/>
      <c r="K101" s="9"/>
      <c r="L101" s="9"/>
      <c r="M101" s="20"/>
      <c r="N101" s="26"/>
      <c r="P101" s="52"/>
      <c r="Q101" s="52"/>
      <c r="R101" s="52"/>
      <c r="S101" s="52"/>
      <c r="T101" s="52"/>
      <c r="U101" s="52"/>
    </row>
    <row r="102" spans="9:21" x14ac:dyDescent="0.3">
      <c r="I102" s="24"/>
      <c r="K102" s="9"/>
      <c r="L102" s="9"/>
      <c r="M102" s="20"/>
      <c r="N102" s="26"/>
      <c r="P102" s="52"/>
      <c r="Q102" s="52"/>
      <c r="R102" s="52"/>
      <c r="S102" s="52"/>
      <c r="T102" s="52"/>
      <c r="U102" s="52"/>
    </row>
    <row r="103" spans="9:21" x14ac:dyDescent="0.3">
      <c r="I103" s="24"/>
      <c r="K103" s="9"/>
      <c r="L103" s="9"/>
      <c r="M103" s="20"/>
      <c r="N103" s="26"/>
      <c r="P103" s="52"/>
      <c r="Q103" s="52"/>
      <c r="R103" s="52"/>
      <c r="S103" s="52"/>
      <c r="T103" s="52"/>
      <c r="U103" s="52"/>
    </row>
    <row r="104" spans="9:21" x14ac:dyDescent="0.3">
      <c r="I104" s="24"/>
      <c r="K104" s="9"/>
      <c r="L104" s="9"/>
      <c r="M104" s="20"/>
      <c r="N104" s="26"/>
      <c r="P104" s="52"/>
      <c r="Q104" s="52"/>
      <c r="R104" s="52"/>
      <c r="S104" s="52"/>
      <c r="T104" s="52"/>
      <c r="U104" s="52"/>
    </row>
    <row r="105" spans="9:21" x14ac:dyDescent="0.3">
      <c r="I105" s="24"/>
      <c r="K105" s="9"/>
      <c r="L105" s="9"/>
      <c r="M105" s="20"/>
      <c r="N105" s="26"/>
      <c r="P105" s="52"/>
      <c r="Q105" s="52"/>
      <c r="R105" s="52"/>
      <c r="S105" s="52"/>
      <c r="T105" s="52"/>
      <c r="U105" s="52"/>
    </row>
    <row r="106" spans="9:21" x14ac:dyDescent="0.3">
      <c r="I106" s="24"/>
      <c r="K106" s="9"/>
      <c r="L106" s="9"/>
      <c r="M106" s="20"/>
      <c r="N106" s="26"/>
      <c r="P106" s="52"/>
      <c r="Q106" s="52"/>
      <c r="R106" s="52"/>
      <c r="S106" s="52"/>
      <c r="T106" s="52"/>
      <c r="U106" s="52"/>
    </row>
    <row r="107" spans="9:21" x14ac:dyDescent="0.3">
      <c r="I107" s="24"/>
      <c r="K107" s="9"/>
      <c r="L107" s="9"/>
      <c r="M107" s="20"/>
      <c r="N107" s="26"/>
      <c r="P107" s="52"/>
      <c r="Q107" s="52"/>
      <c r="R107" s="52"/>
      <c r="S107" s="52"/>
      <c r="T107" s="52"/>
      <c r="U107" s="52"/>
    </row>
    <row r="108" spans="9:21" x14ac:dyDescent="0.3">
      <c r="I108" s="24"/>
      <c r="K108" s="9"/>
      <c r="L108" s="9"/>
      <c r="M108" s="20"/>
      <c r="N108" s="26"/>
      <c r="P108" s="52"/>
      <c r="Q108" s="52"/>
      <c r="R108" s="52"/>
      <c r="S108" s="52"/>
      <c r="T108" s="52"/>
      <c r="U108" s="52"/>
    </row>
    <row r="109" spans="9:21" x14ac:dyDescent="0.3">
      <c r="I109" s="24"/>
      <c r="K109" s="9"/>
      <c r="L109" s="9"/>
      <c r="M109" s="20"/>
      <c r="N109" s="26"/>
      <c r="P109" s="52"/>
      <c r="Q109" s="52"/>
      <c r="R109" s="52"/>
      <c r="S109" s="52"/>
      <c r="T109" s="52"/>
      <c r="U109" s="52"/>
    </row>
    <row r="110" spans="9:21" x14ac:dyDescent="0.3">
      <c r="I110" s="24"/>
      <c r="K110" s="9"/>
      <c r="L110" s="9"/>
      <c r="M110" s="20"/>
      <c r="N110" s="26"/>
      <c r="P110" s="52"/>
      <c r="Q110" s="52"/>
      <c r="R110" s="52"/>
      <c r="S110" s="52"/>
      <c r="T110" s="52"/>
      <c r="U110" s="52"/>
    </row>
    <row r="111" spans="9:21" x14ac:dyDescent="0.3">
      <c r="I111" s="24"/>
      <c r="K111" s="9"/>
      <c r="L111" s="9"/>
      <c r="M111" s="20"/>
      <c r="N111" s="26"/>
      <c r="P111" s="52"/>
      <c r="Q111" s="52"/>
      <c r="R111" s="52"/>
      <c r="S111" s="52"/>
      <c r="T111" s="52"/>
      <c r="U111" s="52"/>
    </row>
    <row r="112" spans="9:21" x14ac:dyDescent="0.3">
      <c r="I112" s="24"/>
      <c r="K112" s="9"/>
      <c r="L112" s="9"/>
      <c r="M112" s="20"/>
      <c r="N112" s="26"/>
      <c r="P112" s="52"/>
      <c r="Q112" s="52"/>
      <c r="R112" s="52"/>
      <c r="S112" s="52"/>
      <c r="T112" s="52"/>
      <c r="U112" s="52"/>
    </row>
    <row r="113" spans="9:21" x14ac:dyDescent="0.3">
      <c r="I113" s="24"/>
      <c r="K113" s="9"/>
      <c r="L113" s="9"/>
      <c r="M113" s="20"/>
      <c r="N113" s="26"/>
      <c r="P113" s="52"/>
      <c r="Q113" s="52"/>
      <c r="R113" s="52"/>
      <c r="S113" s="52"/>
      <c r="T113" s="52"/>
      <c r="U113" s="52"/>
    </row>
    <row r="114" spans="9:21" x14ac:dyDescent="0.3">
      <c r="I114" s="24"/>
      <c r="K114" s="9"/>
      <c r="L114" s="9"/>
      <c r="M114" s="20"/>
      <c r="N114" s="26"/>
      <c r="P114" s="52"/>
      <c r="Q114" s="52"/>
      <c r="R114" s="52"/>
      <c r="S114" s="52"/>
      <c r="T114" s="52"/>
      <c r="U114" s="52"/>
    </row>
    <row r="115" spans="9:21" x14ac:dyDescent="0.3">
      <c r="I115" s="24"/>
      <c r="K115" s="9"/>
      <c r="L115" s="9"/>
      <c r="M115" s="20"/>
      <c r="N115" s="26"/>
      <c r="P115" s="52"/>
      <c r="Q115" s="52"/>
      <c r="R115" s="52"/>
      <c r="S115" s="52"/>
      <c r="T115" s="52"/>
      <c r="U115" s="52"/>
    </row>
    <row r="116" spans="9:21" x14ac:dyDescent="0.3">
      <c r="I116" s="24"/>
      <c r="K116" s="9"/>
      <c r="L116" s="9"/>
      <c r="M116" s="20"/>
      <c r="N116" s="26"/>
      <c r="P116" s="52"/>
      <c r="Q116" s="52"/>
      <c r="R116" s="52"/>
      <c r="S116" s="52"/>
      <c r="T116" s="52"/>
      <c r="U116" s="52"/>
    </row>
    <row r="117" spans="9:21" x14ac:dyDescent="0.3">
      <c r="I117" s="24"/>
      <c r="K117" s="9"/>
      <c r="L117" s="9"/>
      <c r="M117" s="20"/>
      <c r="N117" s="26"/>
      <c r="P117" s="52"/>
      <c r="Q117" s="52"/>
      <c r="R117" s="52"/>
      <c r="S117" s="52"/>
      <c r="T117" s="52"/>
      <c r="U117" s="52"/>
    </row>
    <row r="118" spans="9:21" x14ac:dyDescent="0.3">
      <c r="I118" s="24"/>
      <c r="K118" s="9"/>
      <c r="L118" s="9"/>
      <c r="M118" s="20"/>
      <c r="N118" s="26"/>
      <c r="P118" s="52"/>
      <c r="Q118" s="52"/>
      <c r="R118" s="52"/>
      <c r="S118" s="52"/>
      <c r="T118" s="52"/>
      <c r="U118" s="52"/>
    </row>
    <row r="119" spans="9:21" x14ac:dyDescent="0.3">
      <c r="I119" s="24"/>
      <c r="K119" s="9"/>
      <c r="L119" s="9"/>
      <c r="M119" s="20"/>
      <c r="N119" s="26"/>
      <c r="P119" s="52"/>
      <c r="Q119" s="52"/>
      <c r="R119" s="52"/>
      <c r="S119" s="52"/>
      <c r="T119" s="52"/>
      <c r="U119" s="52"/>
    </row>
    <row r="120" spans="9:21" x14ac:dyDescent="0.3">
      <c r="I120" s="24"/>
      <c r="K120" s="9"/>
      <c r="L120" s="9"/>
      <c r="M120" s="20"/>
      <c r="N120" s="26"/>
      <c r="P120" s="52"/>
      <c r="Q120" s="52"/>
      <c r="R120" s="52"/>
      <c r="S120" s="52"/>
      <c r="T120" s="52"/>
      <c r="U120" s="52"/>
    </row>
    <row r="121" spans="9:21" x14ac:dyDescent="0.3">
      <c r="I121" s="24"/>
      <c r="K121" s="9"/>
      <c r="L121" s="9"/>
      <c r="M121" s="20"/>
      <c r="N121" s="26"/>
      <c r="P121" s="52"/>
      <c r="Q121" s="52"/>
      <c r="R121" s="52"/>
      <c r="S121" s="52"/>
      <c r="T121" s="52"/>
      <c r="U121" s="52"/>
    </row>
    <row r="122" spans="9:21" x14ac:dyDescent="0.3">
      <c r="I122" s="24"/>
      <c r="K122" s="9"/>
      <c r="L122" s="9"/>
      <c r="M122" s="20"/>
      <c r="N122" s="26"/>
      <c r="P122" s="52"/>
      <c r="Q122" s="52"/>
      <c r="R122" s="52"/>
      <c r="S122" s="52"/>
      <c r="T122" s="52"/>
      <c r="U122" s="52"/>
    </row>
    <row r="123" spans="9:21" x14ac:dyDescent="0.3">
      <c r="I123" s="24"/>
      <c r="K123" s="9"/>
      <c r="L123" s="9"/>
      <c r="M123" s="20"/>
      <c r="N123" s="26"/>
      <c r="P123" s="52"/>
      <c r="Q123" s="52"/>
      <c r="R123" s="52"/>
      <c r="S123" s="52"/>
      <c r="T123" s="52"/>
      <c r="U123" s="52"/>
    </row>
    <row r="124" spans="9:21" x14ac:dyDescent="0.3">
      <c r="I124" s="24"/>
      <c r="K124" s="9"/>
      <c r="L124" s="9"/>
      <c r="M124" s="20"/>
      <c r="N124" s="26"/>
      <c r="P124" s="52"/>
      <c r="Q124" s="52"/>
      <c r="R124" s="52"/>
      <c r="S124" s="52"/>
      <c r="T124" s="52"/>
      <c r="U124" s="52"/>
    </row>
    <row r="125" spans="9:21" x14ac:dyDescent="0.3">
      <c r="I125" s="24"/>
      <c r="K125" s="9"/>
      <c r="L125" s="9"/>
      <c r="M125" s="20"/>
      <c r="N125" s="26"/>
      <c r="P125" s="52"/>
      <c r="Q125" s="52"/>
      <c r="R125" s="52"/>
      <c r="S125" s="52"/>
      <c r="T125" s="52"/>
      <c r="U125" s="52"/>
    </row>
    <row r="126" spans="9:21" x14ac:dyDescent="0.3">
      <c r="I126" s="24"/>
      <c r="K126" s="9"/>
      <c r="L126" s="9"/>
      <c r="M126" s="20"/>
      <c r="N126" s="26"/>
      <c r="P126" s="52"/>
      <c r="Q126" s="52"/>
      <c r="R126" s="52"/>
      <c r="S126" s="52"/>
      <c r="T126" s="52"/>
      <c r="U126" s="52"/>
    </row>
    <row r="127" spans="9:21" x14ac:dyDescent="0.3">
      <c r="I127" s="24"/>
      <c r="K127" s="9"/>
      <c r="L127" s="9"/>
      <c r="M127" s="20"/>
      <c r="N127" s="26"/>
      <c r="P127" s="52"/>
      <c r="Q127" s="52"/>
      <c r="R127" s="52"/>
      <c r="S127" s="52"/>
      <c r="T127" s="52"/>
      <c r="U127" s="52"/>
    </row>
    <row r="128" spans="9:21" x14ac:dyDescent="0.3">
      <c r="I128" s="24"/>
      <c r="K128" s="9"/>
      <c r="L128" s="9"/>
      <c r="M128" s="20"/>
      <c r="N128" s="26"/>
      <c r="P128" s="52"/>
      <c r="Q128" s="52"/>
      <c r="R128" s="52"/>
      <c r="S128" s="52"/>
      <c r="T128" s="52"/>
      <c r="U128" s="52"/>
    </row>
    <row r="129" spans="9:21" x14ac:dyDescent="0.3">
      <c r="I129" s="24"/>
      <c r="K129" s="9"/>
      <c r="L129" s="9"/>
      <c r="M129" s="20"/>
      <c r="N129" s="26"/>
      <c r="P129" s="52"/>
      <c r="Q129" s="52"/>
      <c r="R129" s="52"/>
      <c r="S129" s="52"/>
      <c r="T129" s="52"/>
      <c r="U129" s="52"/>
    </row>
    <row r="130" spans="9:21" x14ac:dyDescent="0.3">
      <c r="I130" s="24"/>
      <c r="K130" s="9"/>
      <c r="L130" s="9"/>
      <c r="M130" s="20"/>
      <c r="N130" s="26"/>
      <c r="P130" s="52"/>
      <c r="Q130" s="52"/>
      <c r="R130" s="52"/>
      <c r="S130" s="52"/>
      <c r="T130" s="52"/>
      <c r="U130" s="52"/>
    </row>
    <row r="131" spans="9:21" x14ac:dyDescent="0.3">
      <c r="I131" s="24"/>
      <c r="K131" s="9"/>
      <c r="L131" s="9"/>
      <c r="M131" s="20"/>
      <c r="N131" s="26"/>
      <c r="P131" s="52"/>
      <c r="Q131" s="52"/>
      <c r="R131" s="52"/>
      <c r="S131" s="52"/>
      <c r="T131" s="52"/>
      <c r="U131" s="52"/>
    </row>
    <row r="132" spans="9:21" x14ac:dyDescent="0.3">
      <c r="I132" s="24"/>
      <c r="K132" s="9"/>
      <c r="L132" s="9"/>
      <c r="M132" s="20"/>
      <c r="N132" s="26"/>
      <c r="P132" s="52"/>
      <c r="Q132" s="52"/>
      <c r="R132" s="52"/>
      <c r="S132" s="52"/>
      <c r="T132" s="52"/>
      <c r="U132" s="52"/>
    </row>
    <row r="133" spans="9:21" x14ac:dyDescent="0.3">
      <c r="I133" s="24"/>
      <c r="K133" s="9"/>
      <c r="L133" s="9"/>
      <c r="M133" s="20"/>
      <c r="N133" s="26"/>
      <c r="P133" s="52"/>
      <c r="Q133" s="52"/>
      <c r="R133" s="52"/>
      <c r="S133" s="52"/>
      <c r="T133" s="52"/>
      <c r="U133" s="52"/>
    </row>
    <row r="134" spans="9:21" x14ac:dyDescent="0.3">
      <c r="I134" s="24"/>
      <c r="K134" s="9"/>
      <c r="L134" s="9"/>
      <c r="M134" s="20"/>
      <c r="N134" s="26"/>
      <c r="P134" s="52"/>
      <c r="Q134" s="52"/>
      <c r="R134" s="52"/>
      <c r="S134" s="52"/>
      <c r="T134" s="52"/>
      <c r="U134" s="52"/>
    </row>
    <row r="135" spans="9:21" x14ac:dyDescent="0.3">
      <c r="I135" s="24"/>
      <c r="K135" s="9"/>
      <c r="L135" s="9"/>
      <c r="M135" s="20"/>
      <c r="N135" s="26"/>
      <c r="P135" s="52"/>
      <c r="Q135" s="52"/>
      <c r="R135" s="52"/>
      <c r="S135" s="52"/>
      <c r="T135" s="52"/>
      <c r="U135" s="52"/>
    </row>
    <row r="136" spans="9:21" x14ac:dyDescent="0.3">
      <c r="I136" s="24"/>
      <c r="K136" s="9"/>
      <c r="L136" s="9"/>
      <c r="M136" s="20"/>
      <c r="N136" s="26"/>
      <c r="P136" s="52"/>
      <c r="Q136" s="52"/>
      <c r="R136" s="52"/>
      <c r="S136" s="52"/>
      <c r="T136" s="52"/>
      <c r="U136" s="52"/>
    </row>
    <row r="137" spans="9:21" x14ac:dyDescent="0.3">
      <c r="I137" s="24"/>
      <c r="K137" s="9"/>
      <c r="L137" s="9"/>
      <c r="M137" s="20"/>
      <c r="N137" s="26"/>
      <c r="P137" s="52"/>
      <c r="Q137" s="52"/>
      <c r="R137" s="52"/>
      <c r="S137" s="52"/>
      <c r="T137" s="52"/>
      <c r="U137" s="52"/>
    </row>
    <row r="138" spans="9:21" x14ac:dyDescent="0.3">
      <c r="I138" s="24"/>
      <c r="K138" s="9"/>
      <c r="L138" s="9"/>
      <c r="M138" s="20"/>
      <c r="N138" s="26"/>
      <c r="P138" s="52"/>
      <c r="Q138" s="52"/>
      <c r="R138" s="52"/>
      <c r="S138" s="52"/>
      <c r="T138" s="52"/>
      <c r="U138" s="52"/>
    </row>
    <row r="139" spans="9:21" x14ac:dyDescent="0.3">
      <c r="I139" s="24"/>
      <c r="K139" s="9"/>
      <c r="L139" s="9"/>
      <c r="M139" s="20"/>
      <c r="N139" s="26"/>
      <c r="P139" s="52"/>
      <c r="Q139" s="52"/>
      <c r="R139" s="52"/>
      <c r="S139" s="52"/>
      <c r="T139" s="52"/>
      <c r="U139" s="52"/>
    </row>
    <row r="140" spans="9:21" x14ac:dyDescent="0.3">
      <c r="I140" s="24"/>
      <c r="K140" s="9"/>
      <c r="L140" s="9"/>
      <c r="M140" s="20"/>
      <c r="N140" s="26"/>
      <c r="P140" s="52"/>
      <c r="Q140" s="52"/>
      <c r="R140" s="52"/>
      <c r="S140" s="52"/>
      <c r="T140" s="52"/>
      <c r="U140" s="52"/>
    </row>
    <row r="141" spans="9:21" x14ac:dyDescent="0.3">
      <c r="I141" s="24"/>
      <c r="K141" s="9"/>
      <c r="L141" s="9"/>
      <c r="M141" s="20"/>
      <c r="N141" s="26"/>
      <c r="P141" s="52"/>
      <c r="Q141" s="52"/>
      <c r="R141" s="52"/>
      <c r="S141" s="52"/>
      <c r="T141" s="52"/>
      <c r="U141" s="52"/>
    </row>
    <row r="142" spans="9:21" x14ac:dyDescent="0.3">
      <c r="I142" s="24"/>
      <c r="K142" s="9"/>
      <c r="L142" s="9"/>
      <c r="M142" s="20"/>
      <c r="N142" s="26"/>
      <c r="P142" s="52"/>
      <c r="Q142" s="52"/>
      <c r="R142" s="52"/>
      <c r="S142" s="52"/>
      <c r="T142" s="52"/>
      <c r="U142" s="52"/>
    </row>
    <row r="143" spans="9:21" x14ac:dyDescent="0.3">
      <c r="I143" s="24"/>
      <c r="K143" s="9"/>
      <c r="L143" s="9"/>
      <c r="M143" s="20"/>
      <c r="N143" s="26"/>
      <c r="P143" s="52"/>
      <c r="Q143" s="52"/>
      <c r="R143" s="52"/>
      <c r="S143" s="52"/>
      <c r="T143" s="52"/>
      <c r="U143" s="52"/>
    </row>
    <row r="144" spans="9:21" x14ac:dyDescent="0.3">
      <c r="I144" s="24"/>
      <c r="K144" s="9"/>
      <c r="L144" s="9"/>
      <c r="M144" s="20"/>
      <c r="N144" s="26"/>
      <c r="P144" s="52"/>
      <c r="Q144" s="52"/>
      <c r="R144" s="52"/>
      <c r="S144" s="52"/>
      <c r="T144" s="52"/>
      <c r="U144" s="52"/>
    </row>
    <row r="145" spans="9:21" x14ac:dyDescent="0.3">
      <c r="I145" s="24"/>
      <c r="K145" s="9"/>
      <c r="L145" s="9"/>
      <c r="M145" s="20"/>
      <c r="N145" s="26"/>
      <c r="P145" s="52"/>
      <c r="Q145" s="52"/>
      <c r="R145" s="52"/>
      <c r="S145" s="52"/>
      <c r="T145" s="52"/>
      <c r="U145" s="52"/>
    </row>
    <row r="146" spans="9:21" x14ac:dyDescent="0.3">
      <c r="I146" s="24"/>
      <c r="K146" s="9"/>
      <c r="L146" s="9"/>
      <c r="M146" s="20"/>
      <c r="N146" s="26"/>
      <c r="P146" s="52"/>
      <c r="Q146" s="52"/>
      <c r="R146" s="52"/>
      <c r="S146" s="52"/>
      <c r="T146" s="52"/>
      <c r="U146" s="52"/>
    </row>
    <row r="147" spans="9:21" x14ac:dyDescent="0.3">
      <c r="I147" s="24"/>
      <c r="K147" s="9"/>
      <c r="L147" s="9"/>
      <c r="M147" s="20"/>
      <c r="N147" s="26"/>
      <c r="P147" s="52"/>
      <c r="Q147" s="52"/>
      <c r="R147" s="52"/>
      <c r="S147" s="52"/>
      <c r="T147" s="52"/>
      <c r="U147" s="52"/>
    </row>
    <row r="148" spans="9:21" x14ac:dyDescent="0.3">
      <c r="I148" s="24"/>
      <c r="K148" s="9"/>
      <c r="L148" s="9"/>
      <c r="M148" s="20"/>
      <c r="N148" s="26"/>
      <c r="P148" s="52"/>
      <c r="Q148" s="52"/>
      <c r="R148" s="52"/>
      <c r="S148" s="52"/>
      <c r="T148" s="52"/>
      <c r="U148" s="52"/>
    </row>
    <row r="149" spans="9:21" x14ac:dyDescent="0.3">
      <c r="I149" s="24"/>
      <c r="K149" s="9"/>
      <c r="L149" s="9"/>
      <c r="M149" s="20"/>
      <c r="N149" s="26"/>
      <c r="P149" s="52"/>
      <c r="Q149" s="52"/>
      <c r="R149" s="52"/>
      <c r="S149" s="52"/>
      <c r="T149" s="52"/>
      <c r="U149" s="52"/>
    </row>
    <row r="150" spans="9:21" x14ac:dyDescent="0.3">
      <c r="I150" s="24"/>
      <c r="K150" s="9"/>
      <c r="L150" s="9"/>
      <c r="M150" s="20"/>
      <c r="N150" s="26"/>
      <c r="P150" s="52"/>
      <c r="Q150" s="52"/>
      <c r="R150" s="52"/>
      <c r="S150" s="52"/>
      <c r="T150" s="52"/>
      <c r="U150" s="52"/>
    </row>
    <row r="151" spans="9:21" x14ac:dyDescent="0.3">
      <c r="I151" s="24"/>
      <c r="K151" s="9"/>
      <c r="L151" s="9"/>
      <c r="M151" s="20"/>
      <c r="N151" s="26"/>
      <c r="P151" s="52"/>
      <c r="Q151" s="52"/>
      <c r="R151" s="52"/>
      <c r="S151" s="52"/>
      <c r="T151" s="52"/>
      <c r="U151" s="52"/>
    </row>
    <row r="152" spans="9:21" x14ac:dyDescent="0.3">
      <c r="I152" s="24"/>
      <c r="K152" s="9"/>
      <c r="L152" s="9"/>
      <c r="M152" s="20"/>
      <c r="N152" s="26"/>
      <c r="P152" s="52"/>
      <c r="Q152" s="52"/>
      <c r="R152" s="52"/>
      <c r="S152" s="52"/>
      <c r="T152" s="52"/>
      <c r="U152" s="52"/>
    </row>
    <row r="153" spans="9:21" x14ac:dyDescent="0.3">
      <c r="I153" s="24"/>
      <c r="K153" s="9"/>
      <c r="L153" s="9"/>
      <c r="M153" s="20"/>
      <c r="N153" s="26"/>
      <c r="P153" s="52"/>
      <c r="Q153" s="52"/>
      <c r="R153" s="52"/>
      <c r="S153" s="52"/>
      <c r="T153" s="52"/>
      <c r="U153" s="52"/>
    </row>
    <row r="154" spans="9:21" x14ac:dyDescent="0.3">
      <c r="I154" s="24"/>
      <c r="K154" s="9"/>
      <c r="L154" s="9"/>
      <c r="M154" s="20"/>
      <c r="N154" s="26"/>
      <c r="P154" s="52"/>
      <c r="Q154" s="52"/>
      <c r="R154" s="52"/>
      <c r="S154" s="52"/>
      <c r="T154" s="52"/>
      <c r="U154" s="52"/>
    </row>
    <row r="155" spans="9:21" x14ac:dyDescent="0.3">
      <c r="I155" s="24"/>
      <c r="K155" s="9"/>
      <c r="L155" s="9"/>
      <c r="M155" s="20"/>
      <c r="N155" s="26"/>
      <c r="P155" s="52"/>
      <c r="Q155" s="52"/>
      <c r="R155" s="52"/>
      <c r="S155" s="52"/>
      <c r="T155" s="52"/>
      <c r="U155" s="52"/>
    </row>
    <row r="156" spans="9:21" x14ac:dyDescent="0.3">
      <c r="I156" s="24"/>
      <c r="K156" s="9"/>
      <c r="L156" s="9"/>
      <c r="M156" s="20"/>
      <c r="N156" s="26"/>
      <c r="P156" s="52"/>
      <c r="Q156" s="52"/>
      <c r="R156" s="52"/>
      <c r="S156" s="52"/>
      <c r="T156" s="52"/>
      <c r="U156" s="52"/>
    </row>
    <row r="157" spans="9:21" x14ac:dyDescent="0.3">
      <c r="I157" s="24"/>
      <c r="K157" s="9"/>
      <c r="L157" s="9"/>
      <c r="M157" s="20"/>
      <c r="N157" s="26"/>
      <c r="P157" s="52"/>
      <c r="Q157" s="52"/>
      <c r="R157" s="52"/>
      <c r="S157" s="52"/>
      <c r="T157" s="52"/>
      <c r="U157" s="52"/>
    </row>
    <row r="158" spans="9:21" x14ac:dyDescent="0.3">
      <c r="I158" s="24"/>
      <c r="K158" s="9"/>
      <c r="L158" s="9"/>
      <c r="M158" s="20"/>
      <c r="N158" s="26"/>
      <c r="P158" s="57"/>
    </row>
    <row r="159" spans="9:21" x14ac:dyDescent="0.3">
      <c r="I159" s="24"/>
      <c r="K159" s="9"/>
      <c r="L159" s="9"/>
      <c r="M159" s="20"/>
      <c r="N159" s="26"/>
    </row>
    <row r="160" spans="9:21" x14ac:dyDescent="0.3">
      <c r="I160" s="24"/>
      <c r="K160" s="9"/>
      <c r="L160" s="9"/>
      <c r="M160" s="20"/>
      <c r="N160" s="26"/>
    </row>
    <row r="161" spans="9:14" x14ac:dyDescent="0.3">
      <c r="I161" s="24"/>
      <c r="K161" s="9"/>
      <c r="L161" s="9"/>
      <c r="M161" s="20"/>
      <c r="N161" s="26"/>
    </row>
    <row r="162" spans="9:14" x14ac:dyDescent="0.3">
      <c r="I162" s="24"/>
      <c r="K162" s="9"/>
      <c r="L162" s="9"/>
      <c r="M162" s="20"/>
      <c r="N162" s="26"/>
    </row>
    <row r="163" spans="9:14" x14ac:dyDescent="0.3">
      <c r="I163" s="24"/>
      <c r="K163" s="9"/>
      <c r="L163" s="9"/>
      <c r="M163" s="20"/>
      <c r="N163" s="26"/>
    </row>
    <row r="164" spans="9:14" x14ac:dyDescent="0.3">
      <c r="I164" s="24"/>
      <c r="K164" s="9"/>
      <c r="L164" s="9"/>
      <c r="M164" s="20"/>
      <c r="N164" s="26"/>
    </row>
    <row r="165" spans="9:14" x14ac:dyDescent="0.3">
      <c r="I165" s="24"/>
      <c r="K165" s="9"/>
      <c r="L165" s="9"/>
      <c r="M165" s="20"/>
      <c r="N165" s="26"/>
    </row>
    <row r="166" spans="9:14" x14ac:dyDescent="0.3">
      <c r="I166" s="24"/>
      <c r="K166" s="9"/>
      <c r="L166" s="9"/>
      <c r="M166" s="20"/>
      <c r="N166" s="26"/>
    </row>
    <row r="167" spans="9:14" x14ac:dyDescent="0.3">
      <c r="I167" s="24"/>
      <c r="K167" s="9"/>
      <c r="L167" s="9"/>
      <c r="M167" s="20"/>
      <c r="N167" s="26"/>
    </row>
    <row r="168" spans="9:14" x14ac:dyDescent="0.3">
      <c r="I168" s="24"/>
      <c r="K168" s="9"/>
      <c r="L168" s="9"/>
      <c r="M168" s="20"/>
      <c r="N168" s="26"/>
    </row>
    <row r="169" spans="9:14" x14ac:dyDescent="0.3">
      <c r="I169" s="24"/>
      <c r="K169" s="9"/>
      <c r="L169" s="9"/>
      <c r="M169" s="20"/>
      <c r="N169" s="26"/>
    </row>
    <row r="170" spans="9:14" x14ac:dyDescent="0.3">
      <c r="I170" s="24"/>
      <c r="K170" s="9"/>
      <c r="L170" s="9"/>
      <c r="M170" s="20"/>
      <c r="N170" s="26"/>
    </row>
    <row r="171" spans="9:14" x14ac:dyDescent="0.3">
      <c r="I171" s="24"/>
      <c r="K171" s="9"/>
      <c r="L171" s="9"/>
      <c r="M171" s="20"/>
      <c r="N171" s="26"/>
    </row>
    <row r="172" spans="9:14" x14ac:dyDescent="0.3">
      <c r="I172" s="24"/>
      <c r="K172" s="9"/>
      <c r="L172" s="9"/>
      <c r="M172" s="20"/>
      <c r="N172" s="26"/>
    </row>
    <row r="173" spans="9:14" x14ac:dyDescent="0.3">
      <c r="I173" s="24"/>
      <c r="K173" s="9"/>
      <c r="L173" s="9"/>
      <c r="M173" s="20"/>
      <c r="N173" s="26"/>
    </row>
    <row r="174" spans="9:14" x14ac:dyDescent="0.3">
      <c r="I174" s="24"/>
      <c r="K174" s="9"/>
      <c r="L174" s="9"/>
      <c r="M174" s="20"/>
      <c r="N174" s="26"/>
    </row>
    <row r="175" spans="9:14" x14ac:dyDescent="0.3">
      <c r="I175" s="24"/>
      <c r="K175" s="9"/>
      <c r="L175" s="9"/>
      <c r="M175" s="20"/>
      <c r="N175" s="26"/>
    </row>
    <row r="176" spans="9:14" x14ac:dyDescent="0.3">
      <c r="I176" s="24"/>
      <c r="K176" s="9"/>
      <c r="L176" s="9"/>
      <c r="M176" s="20"/>
      <c r="N176" s="26"/>
    </row>
    <row r="177" spans="9:14" x14ac:dyDescent="0.3">
      <c r="I177" s="24"/>
      <c r="K177" s="9"/>
      <c r="L177" s="9"/>
      <c r="M177" s="20"/>
      <c r="N177" s="26"/>
    </row>
    <row r="178" spans="9:14" x14ac:dyDescent="0.3">
      <c r="I178" s="24"/>
      <c r="K178" s="9"/>
      <c r="L178" s="9"/>
      <c r="M178" s="20"/>
      <c r="N178" s="26"/>
    </row>
    <row r="179" spans="9:14" x14ac:dyDescent="0.3">
      <c r="I179" s="24"/>
      <c r="K179" s="9"/>
      <c r="L179" s="9"/>
      <c r="M179" s="20"/>
      <c r="N179" s="26"/>
    </row>
    <row r="180" spans="9:14" x14ac:dyDescent="0.3">
      <c r="I180" s="24"/>
      <c r="K180" s="9"/>
      <c r="L180" s="9"/>
      <c r="M180" s="20"/>
      <c r="N180" s="26"/>
    </row>
    <row r="181" spans="9:14" x14ac:dyDescent="0.3">
      <c r="I181" s="24"/>
      <c r="K181" s="9"/>
      <c r="L181" s="9"/>
      <c r="M181" s="20"/>
      <c r="N181" s="26"/>
    </row>
    <row r="182" spans="9:14" x14ac:dyDescent="0.3">
      <c r="I182" s="24"/>
      <c r="K182" s="9"/>
      <c r="L182" s="9"/>
      <c r="M182" s="20"/>
      <c r="N182" s="26"/>
    </row>
    <row r="183" spans="9:14" x14ac:dyDescent="0.3">
      <c r="I183" s="24"/>
      <c r="K183" s="9"/>
      <c r="L183" s="9"/>
      <c r="M183" s="20"/>
      <c r="N183" s="26"/>
    </row>
    <row r="184" spans="9:14" x14ac:dyDescent="0.3">
      <c r="I184" s="24"/>
      <c r="K184" s="9"/>
      <c r="L184" s="9"/>
      <c r="M184" s="20"/>
      <c r="N184" s="26"/>
    </row>
    <row r="185" spans="9:14" x14ac:dyDescent="0.3">
      <c r="I185" s="24"/>
      <c r="K185" s="9"/>
      <c r="L185" s="9"/>
      <c r="M185" s="20"/>
      <c r="N185" s="26"/>
    </row>
    <row r="186" spans="9:14" x14ac:dyDescent="0.3">
      <c r="I186" s="24"/>
      <c r="K186" s="9"/>
      <c r="L186" s="9"/>
      <c r="M186" s="20"/>
      <c r="N186" s="26"/>
    </row>
    <row r="187" spans="9:14" x14ac:dyDescent="0.3">
      <c r="I187" s="24"/>
      <c r="K187" s="9"/>
      <c r="L187" s="9"/>
      <c r="M187" s="20"/>
      <c r="N187" s="26"/>
    </row>
    <row r="188" spans="9:14" x14ac:dyDescent="0.3">
      <c r="I188" s="24"/>
      <c r="K188" s="9"/>
      <c r="L188" s="9"/>
      <c r="M188" s="20"/>
      <c r="N188" s="26"/>
    </row>
    <row r="189" spans="9:14" x14ac:dyDescent="0.3">
      <c r="I189" s="24"/>
      <c r="K189" s="9"/>
      <c r="L189" s="9"/>
      <c r="M189" s="20"/>
      <c r="N189" s="26"/>
    </row>
    <row r="190" spans="9:14" x14ac:dyDescent="0.3">
      <c r="I190" s="24"/>
      <c r="K190" s="9"/>
      <c r="L190" s="9"/>
      <c r="M190" s="20"/>
      <c r="N190" s="26"/>
    </row>
    <row r="191" spans="9:14" x14ac:dyDescent="0.3">
      <c r="I191" s="24"/>
      <c r="K191" s="9"/>
      <c r="L191" s="9"/>
      <c r="M191" s="20"/>
      <c r="N191" s="26"/>
    </row>
    <row r="192" spans="9:14" x14ac:dyDescent="0.3">
      <c r="I192" s="24"/>
      <c r="K192" s="9"/>
      <c r="L192" s="9"/>
      <c r="M192" s="20"/>
      <c r="N192" s="26"/>
    </row>
    <row r="193" spans="9:14" x14ac:dyDescent="0.3">
      <c r="I193" s="24"/>
      <c r="K193" s="9"/>
      <c r="L193" s="9"/>
      <c r="M193" s="20"/>
      <c r="N193" s="26"/>
    </row>
    <row r="194" spans="9:14" x14ac:dyDescent="0.3">
      <c r="I194" s="24"/>
      <c r="K194" s="9"/>
      <c r="L194" s="9"/>
      <c r="M194" s="20"/>
      <c r="N194" s="26"/>
    </row>
    <row r="195" spans="9:14" x14ac:dyDescent="0.3">
      <c r="I195" s="24"/>
      <c r="K195" s="9"/>
      <c r="L195" s="9"/>
      <c r="M195" s="20"/>
      <c r="N195" s="26"/>
    </row>
    <row r="196" spans="9:14" x14ac:dyDescent="0.3">
      <c r="I196" s="24"/>
      <c r="K196" s="9"/>
      <c r="L196" s="9"/>
      <c r="M196" s="20"/>
      <c r="N196" s="26"/>
    </row>
    <row r="197" spans="9:14" x14ac:dyDescent="0.3">
      <c r="I197" s="24"/>
      <c r="K197" s="9"/>
      <c r="L197" s="9"/>
      <c r="M197" s="20"/>
      <c r="N197" s="26"/>
    </row>
    <row r="198" spans="9:14" x14ac:dyDescent="0.3">
      <c r="I198" s="24"/>
      <c r="K198" s="9"/>
      <c r="L198" s="9"/>
      <c r="M198" s="20"/>
      <c r="N198" s="26"/>
    </row>
    <row r="199" spans="9:14" x14ac:dyDescent="0.3">
      <c r="I199" s="24"/>
      <c r="K199" s="9"/>
      <c r="L199" s="9"/>
      <c r="M199" s="20"/>
      <c r="N199" s="26"/>
    </row>
    <row r="200" spans="9:14" x14ac:dyDescent="0.3">
      <c r="I200" s="24"/>
      <c r="K200" s="9"/>
      <c r="L200" s="9"/>
      <c r="M200" s="20"/>
      <c r="N200" s="26"/>
    </row>
    <row r="201" spans="9:14" x14ac:dyDescent="0.3">
      <c r="I201" s="24"/>
      <c r="K201" s="9"/>
      <c r="L201" s="9"/>
      <c r="M201" s="20"/>
      <c r="N201" s="26"/>
    </row>
    <row r="202" spans="9:14" x14ac:dyDescent="0.3">
      <c r="I202" s="24"/>
      <c r="K202" s="9"/>
      <c r="L202" s="9"/>
      <c r="M202" s="20"/>
      <c r="N202" s="26"/>
    </row>
    <row r="203" spans="9:14" x14ac:dyDescent="0.3">
      <c r="I203" s="24"/>
      <c r="K203" s="9"/>
      <c r="L203" s="9"/>
      <c r="M203" s="20"/>
      <c r="N203" s="26"/>
    </row>
    <row r="204" spans="9:14" x14ac:dyDescent="0.3">
      <c r="I204" s="24"/>
      <c r="K204" s="9"/>
      <c r="L204" s="9"/>
      <c r="M204" s="20"/>
      <c r="N204" s="26"/>
    </row>
    <row r="205" spans="9:14" x14ac:dyDescent="0.3">
      <c r="I205" s="24"/>
      <c r="K205" s="9"/>
      <c r="L205" s="9"/>
      <c r="M205" s="20"/>
      <c r="N205" s="26"/>
    </row>
    <row r="206" spans="9:14" x14ac:dyDescent="0.3">
      <c r="I206" s="24"/>
      <c r="K206" s="9"/>
      <c r="L206" s="9"/>
      <c r="M206" s="20"/>
      <c r="N206" s="26"/>
    </row>
    <row r="207" spans="9:14" x14ac:dyDescent="0.3">
      <c r="I207" s="24"/>
      <c r="K207" s="9"/>
      <c r="L207" s="9"/>
      <c r="M207" s="20"/>
      <c r="N207" s="26"/>
    </row>
    <row r="208" spans="9:14" x14ac:dyDescent="0.3">
      <c r="I208" s="24"/>
      <c r="K208" s="9"/>
      <c r="L208" s="9"/>
      <c r="M208" s="20"/>
      <c r="N208" s="26"/>
    </row>
    <row r="209" spans="9:14" x14ac:dyDescent="0.3">
      <c r="I209" s="24"/>
      <c r="K209" s="9"/>
      <c r="L209" s="9"/>
      <c r="M209" s="20"/>
      <c r="N209" s="26"/>
    </row>
    <row r="210" spans="9:14" x14ac:dyDescent="0.3">
      <c r="I210" s="24"/>
      <c r="K210" s="9"/>
      <c r="L210" s="9"/>
      <c r="M210" s="20"/>
      <c r="N210" s="26"/>
    </row>
    <row r="211" spans="9:14" x14ac:dyDescent="0.3">
      <c r="I211" s="24"/>
      <c r="K211" s="9"/>
      <c r="L211" s="9"/>
      <c r="M211" s="20"/>
      <c r="N211" s="26"/>
    </row>
    <row r="212" spans="9:14" x14ac:dyDescent="0.3">
      <c r="I212" s="24"/>
      <c r="K212" s="9"/>
      <c r="L212" s="9"/>
      <c r="M212" s="20"/>
      <c r="N212" s="26"/>
    </row>
    <row r="213" spans="9:14" x14ac:dyDescent="0.3">
      <c r="I213" s="24"/>
      <c r="K213" s="9"/>
      <c r="L213" s="9"/>
      <c r="M213" s="20"/>
      <c r="N213" s="26"/>
    </row>
    <row r="214" spans="9:14" x14ac:dyDescent="0.3">
      <c r="I214" s="24"/>
      <c r="K214" s="9"/>
      <c r="L214" s="9"/>
      <c r="M214" s="20"/>
      <c r="N214" s="26"/>
    </row>
    <row r="215" spans="9:14" x14ac:dyDescent="0.3">
      <c r="I215" s="24"/>
      <c r="K215" s="9"/>
      <c r="L215" s="9"/>
      <c r="M215" s="20"/>
      <c r="N215" s="26"/>
    </row>
    <row r="216" spans="9:14" x14ac:dyDescent="0.3">
      <c r="I216" s="24"/>
      <c r="K216" s="9"/>
      <c r="L216" s="9"/>
      <c r="M216" s="20"/>
      <c r="N216" s="26"/>
    </row>
    <row r="217" spans="9:14" x14ac:dyDescent="0.3">
      <c r="I217" s="24"/>
      <c r="K217" s="9"/>
      <c r="L217" s="9"/>
      <c r="M217" s="20"/>
      <c r="N217" s="26"/>
    </row>
    <row r="218" spans="9:14" x14ac:dyDescent="0.3">
      <c r="I218" s="24"/>
      <c r="K218" s="9"/>
      <c r="L218" s="9"/>
      <c r="M218" s="20"/>
      <c r="N218" s="26"/>
    </row>
    <row r="219" spans="9:14" x14ac:dyDescent="0.3">
      <c r="I219" s="24"/>
      <c r="K219" s="9"/>
      <c r="L219" s="9"/>
      <c r="M219" s="20"/>
      <c r="N219" s="26"/>
    </row>
    <row r="220" spans="9:14" x14ac:dyDescent="0.3">
      <c r="I220" s="24"/>
      <c r="K220" s="9"/>
      <c r="L220" s="9"/>
      <c r="M220" s="20"/>
      <c r="N220" s="26"/>
    </row>
    <row r="221" spans="9:14" x14ac:dyDescent="0.3">
      <c r="I221" s="24"/>
      <c r="K221" s="9"/>
      <c r="L221" s="9"/>
      <c r="M221" s="20"/>
      <c r="N221" s="26"/>
    </row>
    <row r="222" spans="9:14" x14ac:dyDescent="0.3">
      <c r="I222" s="24"/>
      <c r="K222" s="9"/>
      <c r="L222" s="9"/>
      <c r="M222" s="20"/>
      <c r="N222" s="26"/>
    </row>
    <row r="223" spans="9:14" x14ac:dyDescent="0.3">
      <c r="I223" s="24"/>
      <c r="K223" s="9"/>
      <c r="L223" s="9"/>
      <c r="M223" s="20"/>
      <c r="N223" s="26"/>
    </row>
    <row r="224" spans="9:14" x14ac:dyDescent="0.3">
      <c r="I224" s="24"/>
      <c r="K224" s="9"/>
      <c r="L224" s="9"/>
      <c r="M224" s="20"/>
      <c r="N224" s="26"/>
    </row>
    <row r="225" spans="9:14" x14ac:dyDescent="0.3">
      <c r="I225" s="24"/>
      <c r="K225" s="9"/>
      <c r="L225" s="9"/>
      <c r="M225" s="20"/>
      <c r="N225" s="26"/>
    </row>
    <row r="226" spans="9:14" x14ac:dyDescent="0.3">
      <c r="I226" s="24"/>
      <c r="K226" s="9"/>
      <c r="L226" s="9"/>
      <c r="M226" s="20"/>
      <c r="N226" s="26"/>
    </row>
    <row r="227" spans="9:14" x14ac:dyDescent="0.3">
      <c r="I227" s="24"/>
      <c r="K227" s="9"/>
      <c r="L227" s="9"/>
      <c r="M227" s="20"/>
      <c r="N227" s="26"/>
    </row>
    <row r="228" spans="9:14" x14ac:dyDescent="0.3">
      <c r="I228" s="24"/>
      <c r="K228" s="9"/>
      <c r="L228" s="9"/>
      <c r="M228" s="20"/>
      <c r="N228" s="26"/>
    </row>
    <row r="229" spans="9:14" x14ac:dyDescent="0.3">
      <c r="I229" s="24"/>
      <c r="K229" s="9"/>
      <c r="L229" s="9"/>
      <c r="M229" s="20"/>
      <c r="N229" s="26"/>
    </row>
    <row r="230" spans="9:14" x14ac:dyDescent="0.3">
      <c r="I230" s="24"/>
      <c r="K230" s="9"/>
      <c r="L230" s="9"/>
      <c r="M230" s="20"/>
      <c r="N230" s="26"/>
    </row>
    <row r="231" spans="9:14" x14ac:dyDescent="0.3">
      <c r="I231" s="24"/>
      <c r="K231" s="9"/>
      <c r="L231" s="9"/>
      <c r="M231" s="20"/>
      <c r="N231" s="26"/>
    </row>
    <row r="232" spans="9:14" x14ac:dyDescent="0.3">
      <c r="I232" s="24"/>
      <c r="K232" s="9"/>
      <c r="L232" s="9"/>
      <c r="M232" s="20"/>
      <c r="N232" s="26"/>
    </row>
    <row r="233" spans="9:14" x14ac:dyDescent="0.3">
      <c r="I233" s="24"/>
      <c r="K233" s="9"/>
      <c r="L233" s="9"/>
      <c r="M233" s="20"/>
      <c r="N233" s="26"/>
    </row>
    <row r="234" spans="9:14" x14ac:dyDescent="0.3">
      <c r="I234" s="24"/>
      <c r="K234" s="9"/>
      <c r="L234" s="9"/>
      <c r="M234" s="20"/>
      <c r="N234" s="26"/>
    </row>
    <row r="235" spans="9:14" x14ac:dyDescent="0.3">
      <c r="I235" s="24"/>
      <c r="K235" s="9"/>
      <c r="L235" s="9"/>
      <c r="M235" s="20"/>
      <c r="N235" s="26"/>
    </row>
    <row r="236" spans="9:14" x14ac:dyDescent="0.3">
      <c r="I236" s="24"/>
      <c r="K236" s="9"/>
      <c r="L236" s="9"/>
      <c r="M236" s="20"/>
      <c r="N236" s="26"/>
    </row>
    <row r="237" spans="9:14" x14ac:dyDescent="0.3">
      <c r="I237" s="24"/>
      <c r="K237" s="9"/>
      <c r="L237" s="9"/>
      <c r="M237" s="20"/>
      <c r="N237" s="26"/>
    </row>
    <row r="238" spans="9:14" x14ac:dyDescent="0.3">
      <c r="I238" s="24"/>
      <c r="K238" s="9"/>
      <c r="L238" s="9"/>
      <c r="M238" s="20"/>
      <c r="N238" s="26"/>
    </row>
    <row r="239" spans="9:14" x14ac:dyDescent="0.3">
      <c r="I239" s="24"/>
      <c r="K239" s="9"/>
      <c r="L239" s="9"/>
      <c r="M239" s="20"/>
      <c r="N239" s="26"/>
    </row>
    <row r="240" spans="9:14" x14ac:dyDescent="0.3">
      <c r="I240" s="24"/>
      <c r="K240" s="9"/>
      <c r="L240" s="9"/>
      <c r="M240" s="20"/>
      <c r="N240" s="26"/>
    </row>
    <row r="241" spans="9:14" x14ac:dyDescent="0.3">
      <c r="I241" s="24"/>
      <c r="K241" s="9"/>
      <c r="L241" s="9"/>
      <c r="M241" s="20"/>
      <c r="N241" s="26"/>
    </row>
    <row r="242" spans="9:14" x14ac:dyDescent="0.3">
      <c r="I242" s="24"/>
      <c r="K242" s="9"/>
      <c r="L242" s="9"/>
      <c r="M242" s="20"/>
      <c r="N242" s="26"/>
    </row>
    <row r="243" spans="9:14" x14ac:dyDescent="0.3">
      <c r="I243" s="24"/>
      <c r="K243" s="9"/>
      <c r="L243" s="9"/>
      <c r="M243" s="20"/>
      <c r="N243" s="26"/>
    </row>
    <row r="244" spans="9:14" x14ac:dyDescent="0.3">
      <c r="I244" s="24"/>
      <c r="K244" s="9"/>
      <c r="L244" s="9"/>
      <c r="M244" s="20"/>
      <c r="N244" s="26"/>
    </row>
    <row r="245" spans="9:14" x14ac:dyDescent="0.3">
      <c r="I245" s="24"/>
      <c r="K245" s="9"/>
      <c r="L245" s="9"/>
      <c r="M245" s="20"/>
      <c r="N245" s="26"/>
    </row>
    <row r="246" spans="9:14" x14ac:dyDescent="0.3">
      <c r="I246" s="24"/>
      <c r="K246" s="9"/>
      <c r="L246" s="9"/>
      <c r="M246" s="20"/>
      <c r="N246" s="26"/>
    </row>
    <row r="247" spans="9:14" x14ac:dyDescent="0.3">
      <c r="I247" s="24"/>
      <c r="K247" s="9"/>
      <c r="L247" s="9"/>
      <c r="M247" s="20"/>
      <c r="N247" s="26"/>
    </row>
    <row r="248" spans="9:14" x14ac:dyDescent="0.3">
      <c r="I248" s="24"/>
      <c r="K248" s="9"/>
      <c r="L248" s="9"/>
      <c r="M248" s="20"/>
      <c r="N248" s="26"/>
    </row>
    <row r="249" spans="9:14" x14ac:dyDescent="0.3">
      <c r="I249" s="24"/>
      <c r="K249" s="9"/>
      <c r="L249" s="9"/>
      <c r="M249" s="20"/>
      <c r="N249" s="26"/>
    </row>
    <row r="250" spans="9:14" x14ac:dyDescent="0.3">
      <c r="I250" s="24"/>
      <c r="K250" s="9"/>
      <c r="L250" s="9"/>
      <c r="M250" s="20"/>
      <c r="N250" s="26"/>
    </row>
    <row r="251" spans="9:14" x14ac:dyDescent="0.3">
      <c r="I251" s="24"/>
      <c r="K251" s="9"/>
      <c r="L251" s="9"/>
      <c r="M251" s="20"/>
      <c r="N251" s="26"/>
    </row>
    <row r="252" spans="9:14" x14ac:dyDescent="0.3">
      <c r="I252" s="24"/>
      <c r="K252" s="9"/>
      <c r="L252" s="9"/>
      <c r="M252" s="20"/>
      <c r="N252" s="26"/>
    </row>
    <row r="253" spans="9:14" x14ac:dyDescent="0.3">
      <c r="I253" s="24"/>
      <c r="K253" s="9"/>
      <c r="L253" s="9"/>
      <c r="M253" s="20"/>
      <c r="N253" s="26"/>
    </row>
    <row r="254" spans="9:14" x14ac:dyDescent="0.3">
      <c r="I254" s="24"/>
      <c r="K254" s="9"/>
      <c r="L254" s="9"/>
      <c r="M254" s="20"/>
      <c r="N254" s="26"/>
    </row>
    <row r="255" spans="9:14" x14ac:dyDescent="0.3">
      <c r="I255" s="24"/>
      <c r="K255" s="9"/>
      <c r="L255" s="9"/>
      <c r="M255" s="20"/>
      <c r="N255" s="26"/>
    </row>
    <row r="256" spans="9:14" x14ac:dyDescent="0.3">
      <c r="I256" s="24"/>
      <c r="K256" s="9"/>
      <c r="L256" s="9"/>
      <c r="M256" s="20"/>
      <c r="N256" s="26"/>
    </row>
    <row r="257" spans="9:14" x14ac:dyDescent="0.3">
      <c r="I257" s="24"/>
      <c r="K257" s="9"/>
      <c r="L257" s="9"/>
      <c r="M257" s="20"/>
      <c r="N257" s="26"/>
    </row>
    <row r="258" spans="9:14" x14ac:dyDescent="0.3">
      <c r="I258" s="24"/>
      <c r="K258" s="9"/>
      <c r="L258" s="9"/>
      <c r="M258" s="20"/>
      <c r="N258" s="26"/>
    </row>
    <row r="259" spans="9:14" x14ac:dyDescent="0.3">
      <c r="I259" s="24"/>
      <c r="K259" s="9"/>
      <c r="L259" s="9"/>
      <c r="M259" s="20"/>
      <c r="N259" s="26"/>
    </row>
    <row r="260" spans="9:14" x14ac:dyDescent="0.3">
      <c r="I260" s="24"/>
      <c r="K260" s="9"/>
      <c r="L260" s="9"/>
      <c r="M260" s="20"/>
      <c r="N260" s="26"/>
    </row>
    <row r="261" spans="9:14" x14ac:dyDescent="0.3">
      <c r="I261" s="24"/>
      <c r="K261" s="9"/>
      <c r="L261" s="9"/>
      <c r="M261" s="20"/>
      <c r="N261" s="26"/>
    </row>
    <row r="262" spans="9:14" x14ac:dyDescent="0.3">
      <c r="I262" s="24"/>
      <c r="K262" s="9"/>
      <c r="L262" s="9"/>
      <c r="M262" s="20"/>
      <c r="N262" s="26"/>
    </row>
    <row r="263" spans="9:14" x14ac:dyDescent="0.3">
      <c r="I263" s="24"/>
      <c r="K263" s="9"/>
      <c r="L263" s="9"/>
      <c r="M263" s="20"/>
      <c r="N263" s="26"/>
    </row>
    <row r="264" spans="9:14" x14ac:dyDescent="0.3">
      <c r="I264" s="24"/>
      <c r="K264" s="9"/>
      <c r="L264" s="9"/>
      <c r="M264" s="20"/>
      <c r="N264" s="26"/>
    </row>
    <row r="265" spans="9:14" x14ac:dyDescent="0.3">
      <c r="I265" s="24"/>
      <c r="K265" s="9"/>
      <c r="L265" s="9"/>
      <c r="M265" s="20"/>
      <c r="N265" s="26"/>
    </row>
    <row r="266" spans="9:14" x14ac:dyDescent="0.3">
      <c r="I266" s="24"/>
      <c r="K266" s="9"/>
      <c r="L266" s="9"/>
      <c r="M266" s="20"/>
      <c r="N266" s="26"/>
    </row>
    <row r="267" spans="9:14" x14ac:dyDescent="0.3">
      <c r="I267" s="24"/>
      <c r="K267" s="9"/>
      <c r="L267" s="9"/>
      <c r="M267" s="20"/>
      <c r="N267" s="26"/>
    </row>
    <row r="268" spans="9:14" x14ac:dyDescent="0.3">
      <c r="I268" s="24"/>
      <c r="K268" s="9"/>
      <c r="L268" s="9"/>
      <c r="M268" s="20"/>
      <c r="N268" s="26"/>
    </row>
    <row r="269" spans="9:14" x14ac:dyDescent="0.3">
      <c r="I269" s="24"/>
      <c r="K269" s="9"/>
      <c r="L269" s="9"/>
      <c r="M269" s="20"/>
      <c r="N269" s="26"/>
    </row>
    <row r="270" spans="9:14" x14ac:dyDescent="0.3">
      <c r="I270" s="24"/>
      <c r="K270" s="9"/>
      <c r="L270" s="9"/>
      <c r="M270" s="20"/>
      <c r="N270" s="26"/>
    </row>
    <row r="271" spans="9:14" x14ac:dyDescent="0.3">
      <c r="I271" s="24"/>
      <c r="K271" s="9"/>
      <c r="L271" s="9"/>
      <c r="M271" s="20"/>
      <c r="N271" s="26"/>
    </row>
    <row r="272" spans="9:14" x14ac:dyDescent="0.3">
      <c r="I272" s="24"/>
      <c r="K272" s="9"/>
      <c r="L272" s="9"/>
      <c r="M272" s="20"/>
      <c r="N272" s="26"/>
    </row>
    <row r="273" spans="9:14" x14ac:dyDescent="0.3">
      <c r="I273" s="24"/>
      <c r="K273" s="9"/>
      <c r="L273" s="9"/>
      <c r="M273" s="20"/>
      <c r="N273" s="26"/>
    </row>
    <row r="274" spans="9:14" x14ac:dyDescent="0.3">
      <c r="I274" s="24"/>
      <c r="K274" s="9"/>
      <c r="L274" s="9"/>
      <c r="M274" s="20"/>
      <c r="N274" s="26"/>
    </row>
    <row r="275" spans="9:14" x14ac:dyDescent="0.3">
      <c r="I275" s="24"/>
      <c r="K275" s="9"/>
      <c r="L275" s="9"/>
      <c r="M275" s="20"/>
      <c r="N275" s="26"/>
    </row>
    <row r="276" spans="9:14" x14ac:dyDescent="0.3">
      <c r="I276" s="24"/>
      <c r="K276" s="9"/>
      <c r="L276" s="9"/>
      <c r="M276" s="20"/>
      <c r="N276" s="26"/>
    </row>
    <row r="277" spans="9:14" x14ac:dyDescent="0.3">
      <c r="I277" s="24"/>
      <c r="K277" s="9"/>
      <c r="L277" s="9"/>
      <c r="M277" s="20"/>
      <c r="N277" s="26"/>
    </row>
    <row r="278" spans="9:14" x14ac:dyDescent="0.3">
      <c r="I278" s="24"/>
      <c r="K278" s="9"/>
      <c r="L278" s="9"/>
      <c r="M278" s="20"/>
      <c r="N278" s="26"/>
    </row>
    <row r="279" spans="9:14" x14ac:dyDescent="0.3">
      <c r="I279" s="24"/>
      <c r="K279" s="9"/>
      <c r="L279" s="9"/>
      <c r="M279" s="20"/>
      <c r="N279" s="26"/>
    </row>
    <row r="280" spans="9:14" x14ac:dyDescent="0.3">
      <c r="I280" s="24"/>
      <c r="K280" s="9"/>
      <c r="L280" s="9"/>
      <c r="M280" s="20"/>
      <c r="N280" s="26"/>
    </row>
    <row r="281" spans="9:14" x14ac:dyDescent="0.3">
      <c r="I281" s="24"/>
      <c r="K281" s="9"/>
      <c r="L281" s="9"/>
      <c r="M281" s="20"/>
      <c r="N281" s="26"/>
    </row>
    <row r="282" spans="9:14" x14ac:dyDescent="0.3">
      <c r="I282" s="24"/>
      <c r="K282" s="9"/>
      <c r="L282" s="9"/>
      <c r="M282" s="20"/>
      <c r="N282" s="26"/>
    </row>
    <row r="283" spans="9:14" x14ac:dyDescent="0.3">
      <c r="I283" s="24"/>
      <c r="K283" s="9"/>
      <c r="L283" s="9"/>
      <c r="M283" s="20"/>
      <c r="N283" s="26"/>
    </row>
    <row r="284" spans="9:14" x14ac:dyDescent="0.3">
      <c r="I284" s="24"/>
      <c r="K284" s="9"/>
      <c r="L284" s="9"/>
      <c r="M284" s="20"/>
      <c r="N284" s="26"/>
    </row>
    <row r="285" spans="9:14" x14ac:dyDescent="0.3">
      <c r="I285" s="24"/>
      <c r="K285" s="9"/>
      <c r="L285" s="9"/>
      <c r="M285" s="20"/>
      <c r="N285" s="26"/>
    </row>
    <row r="286" spans="9:14" x14ac:dyDescent="0.3">
      <c r="I286" s="24"/>
      <c r="K286" s="9"/>
      <c r="L286" s="9"/>
      <c r="M286" s="20"/>
      <c r="N286" s="26"/>
    </row>
    <row r="287" spans="9:14" x14ac:dyDescent="0.3">
      <c r="I287" s="24"/>
      <c r="K287" s="9"/>
      <c r="L287" s="9"/>
      <c r="M287" s="20"/>
      <c r="N287" s="26"/>
    </row>
    <row r="288" spans="9:14" x14ac:dyDescent="0.3">
      <c r="I288" s="24"/>
      <c r="K288" s="9"/>
      <c r="L288" s="9"/>
      <c r="M288" s="20"/>
      <c r="N288" s="26"/>
    </row>
    <row r="289" spans="9:14" x14ac:dyDescent="0.3">
      <c r="I289" s="24"/>
      <c r="K289" s="9"/>
      <c r="L289" s="9"/>
      <c r="M289" s="20"/>
      <c r="N289" s="26"/>
    </row>
    <row r="290" spans="9:14" x14ac:dyDescent="0.3">
      <c r="I290" s="24"/>
      <c r="K290" s="9"/>
      <c r="L290" s="9"/>
      <c r="M290" s="20"/>
      <c r="N290" s="26"/>
    </row>
    <row r="291" spans="9:14" x14ac:dyDescent="0.3">
      <c r="I291" s="24"/>
      <c r="K291" s="9"/>
      <c r="L291" s="9"/>
      <c r="M291" s="20"/>
      <c r="N291" s="26"/>
    </row>
    <row r="292" spans="9:14" x14ac:dyDescent="0.3">
      <c r="I292" s="24"/>
      <c r="K292" s="9"/>
      <c r="L292" s="9"/>
      <c r="M292" s="20"/>
      <c r="N292" s="26"/>
    </row>
    <row r="293" spans="9:14" x14ac:dyDescent="0.3">
      <c r="I293" s="24"/>
      <c r="K293" s="9"/>
      <c r="L293" s="9"/>
      <c r="M293" s="20"/>
      <c r="N293" s="26"/>
    </row>
    <row r="294" spans="9:14" x14ac:dyDescent="0.3">
      <c r="I294" s="24"/>
      <c r="K294" s="9"/>
      <c r="L294" s="9"/>
      <c r="M294" s="20"/>
      <c r="N294" s="26"/>
    </row>
    <row r="295" spans="9:14" x14ac:dyDescent="0.3">
      <c r="I295" s="24"/>
      <c r="K295" s="9"/>
      <c r="L295" s="9"/>
      <c r="M295" s="20"/>
      <c r="N295" s="26"/>
    </row>
    <row r="296" spans="9:14" x14ac:dyDescent="0.3">
      <c r="I296" s="24"/>
      <c r="K296" s="9"/>
      <c r="L296" s="9"/>
      <c r="M296" s="20"/>
      <c r="N296" s="26"/>
    </row>
    <row r="297" spans="9:14" x14ac:dyDescent="0.3">
      <c r="I297" s="24"/>
      <c r="K297" s="9"/>
      <c r="L297" s="9"/>
      <c r="M297" s="20"/>
      <c r="N297" s="26"/>
    </row>
    <row r="298" spans="9:14" x14ac:dyDescent="0.3">
      <c r="I298" s="24"/>
      <c r="K298" s="9"/>
      <c r="L298" s="9"/>
      <c r="M298" s="20"/>
      <c r="N298" s="26"/>
    </row>
    <row r="299" spans="9:14" x14ac:dyDescent="0.3">
      <c r="I299" s="24"/>
      <c r="K299" s="9"/>
      <c r="L299" s="9"/>
      <c r="M299" s="20"/>
      <c r="N299" s="26"/>
    </row>
    <row r="300" spans="9:14" x14ac:dyDescent="0.3">
      <c r="I300" s="24"/>
      <c r="K300" s="9"/>
      <c r="L300" s="9"/>
      <c r="M300" s="20"/>
      <c r="N300" s="26"/>
    </row>
    <row r="301" spans="9:14" x14ac:dyDescent="0.3">
      <c r="I301" s="24"/>
      <c r="K301" s="9"/>
      <c r="L301" s="9"/>
      <c r="M301" s="20"/>
      <c r="N301" s="26"/>
    </row>
    <row r="302" spans="9:14" x14ac:dyDescent="0.3">
      <c r="I302" s="24"/>
      <c r="K302" s="9"/>
      <c r="L302" s="9"/>
      <c r="M302" s="20"/>
      <c r="N302" s="26"/>
    </row>
    <row r="303" spans="9:14" x14ac:dyDescent="0.3">
      <c r="I303" s="24"/>
      <c r="K303" s="9"/>
      <c r="L303" s="9"/>
      <c r="M303" s="20"/>
      <c r="N303" s="26"/>
    </row>
    <row r="304" spans="9:14" x14ac:dyDescent="0.3">
      <c r="I304" s="24"/>
      <c r="K304" s="9"/>
      <c r="L304" s="9"/>
      <c r="M304" s="20"/>
      <c r="N304" s="26"/>
    </row>
    <row r="305" spans="9:14" x14ac:dyDescent="0.3">
      <c r="I305" s="24"/>
      <c r="K305" s="9"/>
      <c r="L305" s="9"/>
      <c r="M305" s="20"/>
      <c r="N305" s="26"/>
    </row>
    <row r="306" spans="9:14" x14ac:dyDescent="0.3">
      <c r="I306" s="24"/>
      <c r="K306" s="9"/>
      <c r="L306" s="9"/>
      <c r="M306" s="20"/>
      <c r="N306" s="26"/>
    </row>
    <row r="307" spans="9:14" x14ac:dyDescent="0.3">
      <c r="I307" s="24"/>
      <c r="K307" s="9"/>
      <c r="L307" s="9"/>
      <c r="M307" s="20"/>
      <c r="N307" s="26"/>
    </row>
    <row r="308" spans="9:14" x14ac:dyDescent="0.3">
      <c r="I308" s="24"/>
      <c r="K308" s="9"/>
      <c r="L308" s="9"/>
      <c r="M308" s="20"/>
      <c r="N308" s="26"/>
    </row>
    <row r="309" spans="9:14" x14ac:dyDescent="0.3">
      <c r="I309" s="24"/>
      <c r="K309" s="9"/>
      <c r="L309" s="9"/>
      <c r="M309" s="20"/>
      <c r="N309" s="26"/>
    </row>
    <row r="310" spans="9:14" x14ac:dyDescent="0.3">
      <c r="I310" s="24"/>
      <c r="K310" s="9"/>
      <c r="L310" s="9"/>
      <c r="M310" s="20"/>
      <c r="N310" s="26"/>
    </row>
    <row r="311" spans="9:14" x14ac:dyDescent="0.3">
      <c r="I311" s="24"/>
      <c r="K311" s="9"/>
      <c r="L311" s="9"/>
      <c r="M311" s="20"/>
      <c r="N311" s="26"/>
    </row>
    <row r="312" spans="9:14" x14ac:dyDescent="0.3">
      <c r="I312" s="24"/>
      <c r="K312" s="9"/>
      <c r="L312" s="9"/>
      <c r="M312" s="20"/>
      <c r="N312" s="26"/>
    </row>
    <row r="313" spans="9:14" x14ac:dyDescent="0.3">
      <c r="I313" s="24"/>
      <c r="K313" s="9"/>
      <c r="L313" s="9"/>
      <c r="M313" s="20"/>
      <c r="N313" s="26"/>
    </row>
    <row r="314" spans="9:14" x14ac:dyDescent="0.3">
      <c r="I314" s="24"/>
      <c r="K314" s="9"/>
      <c r="L314" s="9"/>
      <c r="M314" s="20"/>
      <c r="N314" s="26"/>
    </row>
    <row r="315" spans="9:14" x14ac:dyDescent="0.3">
      <c r="I315" s="24"/>
      <c r="K315" s="9"/>
      <c r="L315" s="9"/>
      <c r="M315" s="20"/>
      <c r="N315" s="26"/>
    </row>
    <row r="316" spans="9:14" x14ac:dyDescent="0.3">
      <c r="I316" s="24"/>
      <c r="K316" s="9"/>
      <c r="L316" s="9"/>
      <c r="M316" s="20"/>
      <c r="N316" s="26"/>
    </row>
    <row r="317" spans="9:14" x14ac:dyDescent="0.3">
      <c r="I317" s="24"/>
      <c r="K317" s="9"/>
      <c r="L317" s="9"/>
      <c r="M317" s="20"/>
      <c r="N317" s="26"/>
    </row>
    <row r="318" spans="9:14" x14ac:dyDescent="0.3">
      <c r="I318" s="24"/>
      <c r="K318" s="9"/>
      <c r="L318" s="9"/>
      <c r="M318" s="20"/>
      <c r="N318" s="26"/>
    </row>
    <row r="319" spans="9:14" x14ac:dyDescent="0.3">
      <c r="I319" s="24"/>
      <c r="K319" s="9"/>
      <c r="L319" s="9"/>
      <c r="M319" s="20"/>
      <c r="N319" s="26"/>
    </row>
    <row r="320" spans="9:14" x14ac:dyDescent="0.3">
      <c r="I320" s="24"/>
      <c r="K320" s="9"/>
      <c r="L320" s="9"/>
      <c r="M320" s="20"/>
      <c r="N320" s="26"/>
    </row>
    <row r="321" spans="9:14" x14ac:dyDescent="0.3">
      <c r="I321" s="24"/>
      <c r="K321" s="9"/>
      <c r="L321" s="9"/>
      <c r="M321" s="20"/>
      <c r="N321" s="26"/>
    </row>
    <row r="322" spans="9:14" x14ac:dyDescent="0.3">
      <c r="I322" s="24"/>
      <c r="K322" s="9"/>
      <c r="L322" s="9"/>
      <c r="M322" s="20"/>
      <c r="N322" s="26"/>
    </row>
    <row r="323" spans="9:14" x14ac:dyDescent="0.3">
      <c r="I323" s="24"/>
      <c r="K323" s="9"/>
      <c r="L323" s="9"/>
      <c r="M323" s="20"/>
      <c r="N323" s="26"/>
    </row>
    <row r="324" spans="9:14" x14ac:dyDescent="0.3">
      <c r="I324" s="24"/>
      <c r="K324" s="9"/>
      <c r="L324" s="9"/>
      <c r="M324" s="20"/>
      <c r="N324" s="26"/>
    </row>
    <row r="325" spans="9:14" x14ac:dyDescent="0.3">
      <c r="I325" s="24"/>
      <c r="K325" s="9"/>
      <c r="L325" s="9"/>
      <c r="M325" s="20"/>
      <c r="N325" s="26"/>
    </row>
    <row r="326" spans="9:14" x14ac:dyDescent="0.3">
      <c r="I326" s="24"/>
      <c r="K326" s="9"/>
      <c r="L326" s="9"/>
      <c r="M326" s="20"/>
      <c r="N326" s="26"/>
    </row>
    <row r="327" spans="9:14" x14ac:dyDescent="0.3">
      <c r="I327" s="24"/>
      <c r="K327" s="9"/>
      <c r="L327" s="9"/>
      <c r="M327" s="20"/>
      <c r="N327" s="26"/>
    </row>
    <row r="328" spans="9:14" x14ac:dyDescent="0.3">
      <c r="I328" s="24"/>
      <c r="K328" s="9"/>
      <c r="L328" s="9"/>
      <c r="M328" s="20"/>
      <c r="N328" s="26"/>
    </row>
    <row r="329" spans="9:14" x14ac:dyDescent="0.3">
      <c r="I329" s="24"/>
      <c r="K329" s="9"/>
      <c r="L329" s="9"/>
      <c r="M329" s="20"/>
      <c r="N329" s="26"/>
    </row>
    <row r="330" spans="9:14" x14ac:dyDescent="0.3">
      <c r="I330" s="24"/>
      <c r="K330" s="9"/>
      <c r="L330" s="9"/>
      <c r="M330" s="20"/>
      <c r="N330" s="26"/>
    </row>
    <row r="331" spans="9:14" x14ac:dyDescent="0.3">
      <c r="I331" s="24"/>
      <c r="K331" s="9"/>
      <c r="L331" s="9"/>
      <c r="M331" s="20"/>
      <c r="N331" s="26"/>
    </row>
    <row r="332" spans="9:14" x14ac:dyDescent="0.3">
      <c r="I332" s="24"/>
      <c r="K332" s="9"/>
      <c r="L332" s="9"/>
      <c r="M332" s="20"/>
      <c r="N332" s="26"/>
    </row>
    <row r="333" spans="9:14" x14ac:dyDescent="0.3">
      <c r="I333" s="24"/>
      <c r="K333" s="9"/>
      <c r="L333" s="9"/>
      <c r="M333" s="20"/>
      <c r="N333" s="26"/>
    </row>
    <row r="334" spans="9:14" x14ac:dyDescent="0.3">
      <c r="I334" s="24"/>
      <c r="K334" s="9"/>
      <c r="L334" s="9"/>
      <c r="M334" s="20"/>
      <c r="N334" s="26"/>
    </row>
    <row r="335" spans="9:14" x14ac:dyDescent="0.3">
      <c r="I335" s="24"/>
      <c r="K335" s="9"/>
      <c r="L335" s="9"/>
      <c r="M335" s="20"/>
      <c r="N335" s="26"/>
    </row>
    <row r="336" spans="9:14" x14ac:dyDescent="0.3">
      <c r="I336" s="24"/>
      <c r="K336" s="9"/>
      <c r="L336" s="9"/>
      <c r="M336" s="20"/>
      <c r="N336" s="26"/>
    </row>
    <row r="337" spans="9:14" x14ac:dyDescent="0.3">
      <c r="I337" s="24"/>
      <c r="K337" s="9"/>
      <c r="L337" s="9"/>
      <c r="M337" s="20"/>
      <c r="N337" s="26"/>
    </row>
    <row r="338" spans="9:14" x14ac:dyDescent="0.3">
      <c r="I338" s="24"/>
      <c r="K338" s="9"/>
      <c r="L338" s="9"/>
      <c r="M338" s="20"/>
      <c r="N338" s="26"/>
    </row>
    <row r="339" spans="9:14" x14ac:dyDescent="0.3">
      <c r="I339" s="24"/>
      <c r="K339" s="9"/>
      <c r="L339" s="9"/>
      <c r="M339" s="20"/>
      <c r="N339" s="26"/>
    </row>
    <row r="340" spans="9:14" x14ac:dyDescent="0.3">
      <c r="I340" s="24"/>
      <c r="K340" s="9"/>
      <c r="L340" s="9"/>
      <c r="M340" s="20"/>
      <c r="N340" s="26"/>
    </row>
    <row r="341" spans="9:14" x14ac:dyDescent="0.3">
      <c r="I341" s="24"/>
      <c r="K341" s="9"/>
      <c r="L341" s="9"/>
      <c r="M341" s="20"/>
      <c r="N341" s="26"/>
    </row>
    <row r="342" spans="9:14" x14ac:dyDescent="0.3">
      <c r="I342" s="24"/>
      <c r="K342" s="9"/>
      <c r="L342" s="9"/>
      <c r="M342" s="20"/>
      <c r="N342" s="26"/>
    </row>
    <row r="343" spans="9:14" x14ac:dyDescent="0.3">
      <c r="I343" s="24"/>
      <c r="K343" s="9"/>
      <c r="L343" s="9"/>
      <c r="M343" s="20"/>
      <c r="N343" s="26"/>
    </row>
    <row r="344" spans="9:14" x14ac:dyDescent="0.3">
      <c r="I344" s="24"/>
      <c r="K344" s="9"/>
      <c r="L344" s="9"/>
      <c r="M344" s="20"/>
      <c r="N344" s="26"/>
    </row>
    <row r="345" spans="9:14" x14ac:dyDescent="0.3">
      <c r="I345" s="24"/>
      <c r="K345" s="9"/>
      <c r="L345" s="9"/>
      <c r="M345" s="20"/>
      <c r="N345" s="26"/>
    </row>
    <row r="346" spans="9:14" x14ac:dyDescent="0.3">
      <c r="I346" s="24"/>
      <c r="K346" s="9"/>
      <c r="L346" s="9"/>
      <c r="M346" s="20"/>
      <c r="N346" s="26"/>
    </row>
    <row r="347" spans="9:14" x14ac:dyDescent="0.3">
      <c r="I347" s="24"/>
      <c r="K347" s="9"/>
      <c r="L347" s="9"/>
      <c r="M347" s="20"/>
      <c r="N347" s="26"/>
    </row>
    <row r="348" spans="9:14" x14ac:dyDescent="0.3">
      <c r="I348" s="24"/>
      <c r="K348" s="9"/>
      <c r="L348" s="9"/>
      <c r="M348" s="20"/>
      <c r="N348" s="26"/>
    </row>
    <row r="349" spans="9:14" x14ac:dyDescent="0.3">
      <c r="I349" s="24"/>
      <c r="K349" s="9"/>
      <c r="L349" s="9"/>
      <c r="M349" s="20"/>
      <c r="N349" s="26"/>
    </row>
    <row r="350" spans="9:14" x14ac:dyDescent="0.3">
      <c r="I350" s="24"/>
      <c r="K350" s="9"/>
      <c r="L350" s="9"/>
      <c r="M350" s="20"/>
      <c r="N350" s="26"/>
    </row>
    <row r="351" spans="9:14" x14ac:dyDescent="0.3">
      <c r="I351" s="24"/>
      <c r="K351" s="9"/>
      <c r="L351" s="9"/>
      <c r="M351" s="20"/>
      <c r="N351" s="26"/>
    </row>
    <row r="352" spans="9:14" x14ac:dyDescent="0.3">
      <c r="I352" s="24"/>
      <c r="K352" s="9"/>
      <c r="L352" s="9"/>
      <c r="M352" s="20"/>
      <c r="N352" s="26"/>
    </row>
    <row r="353" spans="9:14" x14ac:dyDescent="0.3">
      <c r="I353" s="24"/>
      <c r="K353" s="9"/>
      <c r="L353" s="9"/>
      <c r="M353" s="20"/>
      <c r="N353" s="26"/>
    </row>
    <row r="354" spans="9:14" x14ac:dyDescent="0.3">
      <c r="I354" s="24"/>
      <c r="K354" s="9"/>
      <c r="L354" s="9"/>
      <c r="M354" s="20"/>
      <c r="N354" s="26"/>
    </row>
    <row r="355" spans="9:14" x14ac:dyDescent="0.3">
      <c r="I355" s="24"/>
      <c r="K355" s="9"/>
      <c r="L355" s="9"/>
      <c r="M355" s="20"/>
      <c r="N355" s="26"/>
    </row>
    <row r="356" spans="9:14" x14ac:dyDescent="0.3">
      <c r="I356" s="24"/>
      <c r="K356" s="9"/>
      <c r="L356" s="9"/>
      <c r="M356" s="20"/>
      <c r="N356" s="26"/>
    </row>
    <row r="357" spans="9:14" x14ac:dyDescent="0.3">
      <c r="I357" s="24"/>
      <c r="K357" s="9"/>
      <c r="L357" s="9"/>
      <c r="M357" s="20"/>
      <c r="N357" s="26"/>
    </row>
    <row r="358" spans="9:14" x14ac:dyDescent="0.3">
      <c r="I358" s="24"/>
      <c r="K358" s="9"/>
      <c r="L358" s="9"/>
      <c r="M358" s="20"/>
      <c r="N358" s="26"/>
    </row>
    <row r="359" spans="9:14" x14ac:dyDescent="0.3">
      <c r="I359" s="24"/>
      <c r="K359" s="9"/>
      <c r="L359" s="9"/>
      <c r="M359" s="20"/>
      <c r="N359" s="26"/>
    </row>
    <row r="360" spans="9:14" x14ac:dyDescent="0.3">
      <c r="I360" s="24"/>
      <c r="K360" s="9"/>
      <c r="L360" s="9"/>
      <c r="M360" s="20"/>
      <c r="N360" s="26"/>
    </row>
    <row r="361" spans="9:14" x14ac:dyDescent="0.3">
      <c r="I361" s="24"/>
      <c r="K361" s="9"/>
      <c r="L361" s="9"/>
      <c r="M361" s="20"/>
      <c r="N361" s="26"/>
    </row>
    <row r="362" spans="9:14" x14ac:dyDescent="0.3">
      <c r="I362" s="24"/>
      <c r="K362" s="9"/>
      <c r="L362" s="9"/>
      <c r="M362" s="20"/>
      <c r="N362" s="26"/>
    </row>
    <row r="363" spans="9:14" x14ac:dyDescent="0.3">
      <c r="I363" s="24"/>
      <c r="K363" s="9"/>
      <c r="L363" s="9"/>
      <c r="M363" s="20"/>
      <c r="N363" s="26"/>
    </row>
    <row r="364" spans="9:14" x14ac:dyDescent="0.3">
      <c r="I364" s="24"/>
      <c r="K364" s="9"/>
      <c r="L364" s="9"/>
      <c r="M364" s="20"/>
      <c r="N364" s="26"/>
    </row>
    <row r="365" spans="9:14" x14ac:dyDescent="0.3">
      <c r="I365" s="24"/>
      <c r="K365" s="9"/>
      <c r="L365" s="9"/>
      <c r="M365" s="20"/>
      <c r="N365" s="26"/>
    </row>
    <row r="366" spans="9:14" x14ac:dyDescent="0.3">
      <c r="I366" s="24"/>
      <c r="K366" s="9"/>
      <c r="L366" s="9"/>
      <c r="M366" s="20"/>
      <c r="N366" s="26"/>
    </row>
    <row r="367" spans="9:14" x14ac:dyDescent="0.3">
      <c r="I367" s="24"/>
      <c r="K367" s="9"/>
      <c r="L367" s="9"/>
      <c r="M367" s="20"/>
      <c r="N367" s="26"/>
    </row>
    <row r="368" spans="9:14" x14ac:dyDescent="0.3">
      <c r="I368" s="24"/>
      <c r="K368" s="9"/>
      <c r="L368" s="9"/>
      <c r="M368" s="20"/>
      <c r="N368" s="26"/>
    </row>
    <row r="369" spans="9:14" x14ac:dyDescent="0.3">
      <c r="I369" s="24"/>
      <c r="K369" s="9"/>
      <c r="L369" s="9"/>
      <c r="M369" s="20"/>
      <c r="N369" s="26"/>
    </row>
    <row r="370" spans="9:14" x14ac:dyDescent="0.3">
      <c r="I370" s="24"/>
      <c r="K370" s="9"/>
      <c r="L370" s="9"/>
      <c r="M370" s="20"/>
      <c r="N370" s="26"/>
    </row>
    <row r="371" spans="9:14" x14ac:dyDescent="0.3">
      <c r="I371" s="24"/>
      <c r="K371" s="9"/>
      <c r="L371" s="9"/>
      <c r="M371" s="20"/>
      <c r="N371" s="26"/>
    </row>
    <row r="372" spans="9:14" x14ac:dyDescent="0.3">
      <c r="I372" s="24"/>
      <c r="K372" s="9"/>
      <c r="L372" s="9"/>
      <c r="M372" s="20"/>
      <c r="N372" s="26"/>
    </row>
    <row r="373" spans="9:14" x14ac:dyDescent="0.3">
      <c r="I373" s="24"/>
      <c r="K373" s="9"/>
      <c r="L373" s="9"/>
      <c r="M373" s="20"/>
      <c r="N373" s="26"/>
    </row>
    <row r="374" spans="9:14" x14ac:dyDescent="0.3">
      <c r="I374" s="24"/>
      <c r="K374" s="9"/>
      <c r="L374" s="9"/>
      <c r="M374" s="20"/>
      <c r="N374" s="26"/>
    </row>
    <row r="375" spans="9:14" x14ac:dyDescent="0.3">
      <c r="I375" s="24"/>
      <c r="K375" s="9"/>
      <c r="L375" s="9"/>
      <c r="M375" s="20"/>
      <c r="N375" s="26"/>
    </row>
    <row r="376" spans="9:14" x14ac:dyDescent="0.3">
      <c r="I376" s="24"/>
      <c r="K376" s="9"/>
      <c r="L376" s="9"/>
      <c r="M376" s="20"/>
      <c r="N376" s="26"/>
    </row>
    <row r="377" spans="9:14" x14ac:dyDescent="0.3">
      <c r="I377" s="24"/>
      <c r="K377" s="9"/>
      <c r="L377" s="9"/>
      <c r="M377" s="20"/>
      <c r="N377" s="26"/>
    </row>
    <row r="378" spans="9:14" x14ac:dyDescent="0.3">
      <c r="I378" s="24"/>
      <c r="K378" s="9"/>
      <c r="L378" s="9"/>
      <c r="M378" s="20"/>
      <c r="N378" s="26"/>
    </row>
    <row r="379" spans="9:14" x14ac:dyDescent="0.3">
      <c r="I379" s="24"/>
      <c r="K379" s="9"/>
      <c r="L379" s="9"/>
      <c r="M379" s="20"/>
      <c r="N379" s="26"/>
    </row>
    <row r="380" spans="9:14" x14ac:dyDescent="0.3">
      <c r="I380" s="24"/>
      <c r="K380" s="9"/>
      <c r="L380" s="9"/>
      <c r="M380" s="20"/>
      <c r="N380" s="26"/>
    </row>
    <row r="381" spans="9:14" x14ac:dyDescent="0.3">
      <c r="I381" s="24"/>
      <c r="K381" s="9"/>
      <c r="L381" s="9"/>
      <c r="M381" s="20"/>
      <c r="N381" s="26"/>
    </row>
    <row r="382" spans="9:14" x14ac:dyDescent="0.3">
      <c r="I382" s="24"/>
      <c r="K382" s="9"/>
      <c r="L382" s="9"/>
      <c r="M382" s="20"/>
      <c r="N382" s="26"/>
    </row>
    <row r="383" spans="9:14" x14ac:dyDescent="0.3">
      <c r="I383" s="24"/>
      <c r="K383" s="9"/>
      <c r="L383" s="9"/>
      <c r="M383" s="20"/>
      <c r="N383" s="26"/>
    </row>
    <row r="384" spans="9:14" x14ac:dyDescent="0.3">
      <c r="I384" s="24"/>
      <c r="K384" s="9"/>
      <c r="L384" s="9"/>
      <c r="M384" s="20"/>
      <c r="N384" s="26"/>
    </row>
    <row r="385" spans="9:14" x14ac:dyDescent="0.3">
      <c r="I385" s="24"/>
      <c r="K385" s="9"/>
      <c r="L385" s="9"/>
      <c r="M385" s="20"/>
      <c r="N385" s="26"/>
    </row>
    <row r="386" spans="9:14" x14ac:dyDescent="0.3">
      <c r="I386" s="24"/>
      <c r="K386" s="9"/>
      <c r="L386" s="9"/>
      <c r="M386" s="20"/>
      <c r="N386" s="26"/>
    </row>
    <row r="387" spans="9:14" x14ac:dyDescent="0.3">
      <c r="I387" s="24"/>
      <c r="K387" s="9"/>
      <c r="L387" s="9"/>
      <c r="M387" s="20"/>
      <c r="N387" s="26"/>
    </row>
    <row r="388" spans="9:14" x14ac:dyDescent="0.3">
      <c r="I388" s="24"/>
      <c r="K388" s="9"/>
      <c r="L388" s="9"/>
      <c r="M388" s="20"/>
      <c r="N388" s="26"/>
    </row>
    <row r="389" spans="9:14" x14ac:dyDescent="0.3">
      <c r="I389" s="24"/>
      <c r="K389" s="9"/>
      <c r="L389" s="9"/>
      <c r="M389" s="20"/>
      <c r="N389" s="26"/>
    </row>
    <row r="390" spans="9:14" x14ac:dyDescent="0.3">
      <c r="I390" s="24"/>
      <c r="K390" s="9"/>
      <c r="L390" s="9"/>
      <c r="M390" s="20"/>
      <c r="N390" s="26"/>
    </row>
    <row r="391" spans="9:14" x14ac:dyDescent="0.3">
      <c r="I391" s="24"/>
      <c r="K391" s="9"/>
      <c r="L391" s="9"/>
      <c r="M391" s="20"/>
      <c r="N391" s="26"/>
    </row>
    <row r="392" spans="9:14" x14ac:dyDescent="0.3">
      <c r="I392" s="24"/>
      <c r="K392" s="9"/>
      <c r="L392" s="9"/>
      <c r="M392" s="20"/>
      <c r="N392" s="26"/>
    </row>
    <row r="393" spans="9:14" x14ac:dyDescent="0.3">
      <c r="I393" s="24"/>
      <c r="K393" s="9"/>
      <c r="L393" s="9"/>
      <c r="M393" s="20"/>
      <c r="N393" s="26"/>
    </row>
    <row r="394" spans="9:14" x14ac:dyDescent="0.3">
      <c r="I394" s="24"/>
      <c r="K394" s="9"/>
      <c r="L394" s="9"/>
      <c r="M394" s="20"/>
      <c r="N394" s="26"/>
    </row>
    <row r="395" spans="9:14" x14ac:dyDescent="0.3">
      <c r="I395" s="24"/>
      <c r="K395" s="9"/>
      <c r="L395" s="9"/>
      <c r="M395" s="20"/>
      <c r="N395" s="26"/>
    </row>
    <row r="396" spans="9:14" x14ac:dyDescent="0.3">
      <c r="I396" s="24"/>
      <c r="K396" s="9"/>
      <c r="L396" s="9"/>
      <c r="M396" s="20"/>
      <c r="N396" s="26"/>
    </row>
    <row r="397" spans="9:14" x14ac:dyDescent="0.3">
      <c r="I397" s="24"/>
      <c r="K397" s="9"/>
      <c r="L397" s="9"/>
      <c r="M397" s="20"/>
      <c r="N397" s="26"/>
    </row>
    <row r="398" spans="9:14" x14ac:dyDescent="0.3">
      <c r="I398" s="24"/>
      <c r="K398" s="9"/>
      <c r="L398" s="9"/>
      <c r="M398" s="20"/>
      <c r="N398" s="26"/>
    </row>
    <row r="399" spans="9:14" x14ac:dyDescent="0.3">
      <c r="I399" s="24"/>
      <c r="K399" s="9"/>
      <c r="L399" s="9"/>
      <c r="M399" s="20"/>
      <c r="N399" s="26"/>
    </row>
    <row r="400" spans="9:14" x14ac:dyDescent="0.3">
      <c r="I400" s="24"/>
      <c r="K400" s="9"/>
      <c r="L400" s="9"/>
      <c r="M400" s="20"/>
      <c r="N400" s="26"/>
    </row>
    <row r="401" spans="9:14" x14ac:dyDescent="0.3">
      <c r="I401" s="24"/>
      <c r="K401" s="9"/>
      <c r="L401" s="9"/>
      <c r="M401" s="20"/>
      <c r="N401" s="26"/>
    </row>
    <row r="402" spans="9:14" x14ac:dyDescent="0.3">
      <c r="I402" s="24"/>
      <c r="K402" s="9"/>
      <c r="L402" s="9"/>
      <c r="M402" s="20"/>
      <c r="N402" s="26"/>
    </row>
    <row r="403" spans="9:14" x14ac:dyDescent="0.3">
      <c r="I403" s="24"/>
      <c r="K403" s="9"/>
      <c r="L403" s="9"/>
      <c r="M403" s="20"/>
      <c r="N403" s="26"/>
    </row>
    <row r="404" spans="9:14" x14ac:dyDescent="0.3">
      <c r="I404" s="24"/>
      <c r="K404" s="9"/>
      <c r="L404" s="9"/>
      <c r="M404" s="20"/>
      <c r="N404" s="26"/>
    </row>
    <row r="405" spans="9:14" x14ac:dyDescent="0.3">
      <c r="I405" s="24"/>
      <c r="K405" s="9"/>
      <c r="L405" s="9"/>
      <c r="M405" s="20"/>
      <c r="N405" s="26"/>
    </row>
    <row r="406" spans="9:14" x14ac:dyDescent="0.3">
      <c r="I406" s="24"/>
      <c r="K406" s="9"/>
      <c r="L406" s="9"/>
      <c r="M406" s="20"/>
      <c r="N406" s="26"/>
    </row>
    <row r="407" spans="9:14" x14ac:dyDescent="0.3">
      <c r="I407" s="24"/>
      <c r="K407" s="9"/>
      <c r="L407" s="9"/>
      <c r="M407" s="20"/>
      <c r="N407" s="26"/>
    </row>
    <row r="408" spans="9:14" x14ac:dyDescent="0.3">
      <c r="I408" s="24"/>
      <c r="K408" s="9"/>
      <c r="L408" s="9"/>
      <c r="M408" s="20"/>
      <c r="N408" s="26"/>
    </row>
    <row r="409" spans="9:14" x14ac:dyDescent="0.3">
      <c r="I409" s="24"/>
      <c r="K409" s="9"/>
      <c r="L409" s="9"/>
      <c r="M409" s="20"/>
      <c r="N409" s="26"/>
    </row>
    <row r="410" spans="9:14" x14ac:dyDescent="0.3">
      <c r="I410" s="24"/>
      <c r="K410" s="9"/>
      <c r="L410" s="9"/>
      <c r="M410" s="20"/>
      <c r="N410" s="26"/>
    </row>
    <row r="411" spans="9:14" x14ac:dyDescent="0.3">
      <c r="I411" s="24"/>
      <c r="K411" s="9"/>
      <c r="L411" s="9"/>
      <c r="M411" s="20"/>
      <c r="N411" s="26"/>
    </row>
    <row r="412" spans="9:14" x14ac:dyDescent="0.3">
      <c r="I412" s="24"/>
      <c r="K412" s="9"/>
      <c r="L412" s="9"/>
      <c r="M412" s="20"/>
      <c r="N412" s="26"/>
    </row>
    <row r="413" spans="9:14" x14ac:dyDescent="0.3">
      <c r="I413" s="24"/>
      <c r="K413" s="9"/>
      <c r="L413" s="9"/>
      <c r="M413" s="20"/>
      <c r="N413" s="26"/>
    </row>
    <row r="414" spans="9:14" x14ac:dyDescent="0.3">
      <c r="I414" s="24"/>
      <c r="K414" s="9"/>
      <c r="L414" s="9"/>
      <c r="M414" s="20"/>
      <c r="N414" s="26"/>
    </row>
    <row r="415" spans="9:14" x14ac:dyDescent="0.3">
      <c r="I415" s="24"/>
      <c r="K415" s="9"/>
      <c r="L415" s="9"/>
      <c r="M415" s="20"/>
      <c r="N415" s="26"/>
    </row>
    <row r="416" spans="9:14" x14ac:dyDescent="0.3">
      <c r="I416" s="24"/>
      <c r="K416" s="9"/>
      <c r="L416" s="9"/>
      <c r="M416" s="20"/>
      <c r="N416" s="26"/>
    </row>
    <row r="417" spans="9:14" x14ac:dyDescent="0.3">
      <c r="I417" s="24"/>
      <c r="K417" s="9"/>
      <c r="L417" s="9"/>
      <c r="M417" s="20"/>
      <c r="N417" s="26"/>
    </row>
    <row r="418" spans="9:14" x14ac:dyDescent="0.3">
      <c r="I418" s="24"/>
      <c r="K418" s="9"/>
      <c r="L418" s="9"/>
      <c r="M418" s="20"/>
      <c r="N418" s="26"/>
    </row>
    <row r="419" spans="9:14" x14ac:dyDescent="0.3">
      <c r="I419" s="24"/>
      <c r="K419" s="9"/>
      <c r="L419" s="9"/>
      <c r="M419" s="20"/>
      <c r="N419" s="26"/>
    </row>
    <row r="420" spans="9:14" x14ac:dyDescent="0.3">
      <c r="I420" s="24"/>
      <c r="K420" s="9"/>
      <c r="L420" s="9"/>
      <c r="M420" s="20"/>
      <c r="N420" s="26"/>
    </row>
    <row r="421" spans="9:14" x14ac:dyDescent="0.3">
      <c r="I421" s="24"/>
      <c r="K421" s="9"/>
      <c r="L421" s="9"/>
      <c r="M421" s="20"/>
      <c r="N421" s="26"/>
    </row>
    <row r="422" spans="9:14" x14ac:dyDescent="0.3">
      <c r="I422" s="24"/>
      <c r="K422" s="9"/>
      <c r="L422" s="9"/>
      <c r="M422" s="20"/>
      <c r="N422" s="26"/>
    </row>
    <row r="423" spans="9:14" x14ac:dyDescent="0.3">
      <c r="I423" s="24"/>
      <c r="L423" s="9"/>
      <c r="M423" s="20"/>
      <c r="N423" s="26"/>
    </row>
    <row r="424" spans="9:14" x14ac:dyDescent="0.3">
      <c r="I424" s="24"/>
      <c r="L424" s="9"/>
      <c r="M424" s="20"/>
      <c r="N424" s="26"/>
    </row>
    <row r="425" spans="9:14" x14ac:dyDescent="0.3">
      <c r="I425" s="24"/>
      <c r="L425" s="9"/>
      <c r="M425" s="20"/>
      <c r="N425" s="26"/>
    </row>
    <row r="426" spans="9:14" x14ac:dyDescent="0.3">
      <c r="I426" s="24"/>
      <c r="L426" s="9"/>
      <c r="M426" s="20"/>
      <c r="N426" s="26"/>
    </row>
    <row r="427" spans="9:14" x14ac:dyDescent="0.3">
      <c r="I427" s="24"/>
      <c r="L427" s="9"/>
      <c r="M427" s="20"/>
      <c r="N427" s="26"/>
    </row>
    <row r="428" spans="9:14" x14ac:dyDescent="0.3">
      <c r="I428" s="24"/>
      <c r="L428" s="9"/>
      <c r="M428" s="20"/>
      <c r="N428" s="26"/>
    </row>
    <row r="429" spans="9:14" x14ac:dyDescent="0.3">
      <c r="I429" s="24"/>
      <c r="L429" s="9"/>
      <c r="M429" s="20"/>
      <c r="N429" s="26"/>
    </row>
    <row r="430" spans="9:14" x14ac:dyDescent="0.3">
      <c r="I430" s="24"/>
      <c r="L430" s="9"/>
      <c r="M430" s="20"/>
      <c r="N430" s="26"/>
    </row>
    <row r="431" spans="9:14" x14ac:dyDescent="0.3">
      <c r="I431" s="24"/>
      <c r="L431" s="9"/>
      <c r="M431" s="20"/>
      <c r="N431" s="26"/>
    </row>
    <row r="432" spans="9:14" x14ac:dyDescent="0.3">
      <c r="I432" s="24"/>
      <c r="L432" s="9"/>
      <c r="M432" s="20"/>
      <c r="N432" s="26"/>
    </row>
    <row r="433" spans="9:14" x14ac:dyDescent="0.3">
      <c r="I433" s="24"/>
      <c r="L433" s="9"/>
      <c r="M433" s="20"/>
      <c r="N433" s="26"/>
    </row>
    <row r="434" spans="9:14" x14ac:dyDescent="0.3">
      <c r="I434" s="24"/>
      <c r="L434" s="9"/>
      <c r="M434" s="20"/>
      <c r="N434" s="26"/>
    </row>
    <row r="435" spans="9:14" x14ac:dyDescent="0.3">
      <c r="I435" s="24"/>
      <c r="L435" s="9"/>
      <c r="M435" s="20"/>
      <c r="N435" s="26"/>
    </row>
    <row r="436" spans="9:14" x14ac:dyDescent="0.3">
      <c r="I436" s="24"/>
      <c r="L436" s="9"/>
      <c r="M436" s="20"/>
      <c r="N436" s="26"/>
    </row>
    <row r="437" spans="9:14" x14ac:dyDescent="0.3">
      <c r="I437" s="24"/>
      <c r="L437" s="9"/>
      <c r="M437" s="20"/>
      <c r="N437" s="26"/>
    </row>
    <row r="438" spans="9:14" x14ac:dyDescent="0.3">
      <c r="I438" s="24"/>
      <c r="L438" s="9"/>
      <c r="M438" s="20"/>
      <c r="N438" s="26"/>
    </row>
    <row r="439" spans="9:14" x14ac:dyDescent="0.3">
      <c r="I439" s="24"/>
      <c r="L439" s="9"/>
      <c r="M439" s="20"/>
      <c r="N439" s="26"/>
    </row>
    <row r="440" spans="9:14" x14ac:dyDescent="0.3">
      <c r="I440" s="24"/>
      <c r="L440" s="9"/>
      <c r="M440" s="20"/>
      <c r="N440" s="26"/>
    </row>
    <row r="441" spans="9:14" x14ac:dyDescent="0.3">
      <c r="I441" s="24"/>
      <c r="L441" s="9"/>
      <c r="M441" s="20"/>
      <c r="N441" s="26"/>
    </row>
    <row r="442" spans="9:14" x14ac:dyDescent="0.3">
      <c r="I442" s="24"/>
      <c r="L442" s="9"/>
      <c r="M442" s="20"/>
      <c r="N442" s="26"/>
    </row>
    <row r="443" spans="9:14" x14ac:dyDescent="0.3">
      <c r="I443" s="24"/>
      <c r="L443" s="9"/>
      <c r="M443" s="20"/>
      <c r="N443" s="26"/>
    </row>
    <row r="444" spans="9:14" x14ac:dyDescent="0.3">
      <c r="I444" s="24"/>
      <c r="L444" s="9"/>
      <c r="M444" s="20"/>
      <c r="N444" s="26"/>
    </row>
    <row r="445" spans="9:14" x14ac:dyDescent="0.3">
      <c r="I445" s="24"/>
      <c r="L445" s="9"/>
      <c r="M445" s="20"/>
      <c r="N445" s="26"/>
    </row>
    <row r="446" spans="9:14" x14ac:dyDescent="0.3">
      <c r="I446" s="24"/>
      <c r="L446" s="9"/>
      <c r="M446" s="20"/>
      <c r="N446" s="26"/>
    </row>
    <row r="447" spans="9:14" x14ac:dyDescent="0.3">
      <c r="I447" s="24"/>
      <c r="L447" s="9"/>
      <c r="M447" s="20"/>
      <c r="N447" s="26"/>
    </row>
    <row r="448" spans="9:14" x14ac:dyDescent="0.3">
      <c r="I448" s="24"/>
      <c r="L448" s="9"/>
      <c r="M448" s="20"/>
      <c r="N448" s="26"/>
    </row>
    <row r="449" spans="9:14" x14ac:dyDescent="0.3">
      <c r="I449" s="24"/>
      <c r="L449" s="9"/>
      <c r="M449" s="20"/>
      <c r="N449" s="26"/>
    </row>
    <row r="450" spans="9:14" x14ac:dyDescent="0.3">
      <c r="I450" s="24"/>
      <c r="L450" s="9"/>
      <c r="M450" s="20"/>
      <c r="N450" s="26"/>
    </row>
    <row r="451" spans="9:14" x14ac:dyDescent="0.3">
      <c r="I451" s="24"/>
      <c r="L451" s="9"/>
      <c r="M451" s="20"/>
      <c r="N451" s="26"/>
    </row>
    <row r="452" spans="9:14" x14ac:dyDescent="0.3">
      <c r="I452" s="24"/>
      <c r="L452" s="9"/>
      <c r="M452" s="20"/>
      <c r="N452" s="26"/>
    </row>
    <row r="453" spans="9:14" x14ac:dyDescent="0.3">
      <c r="I453" s="24"/>
      <c r="L453" s="9"/>
      <c r="M453" s="20"/>
      <c r="N453" s="26"/>
    </row>
    <row r="454" spans="9:14" x14ac:dyDescent="0.3">
      <c r="I454" s="24"/>
      <c r="L454" s="9"/>
      <c r="M454" s="20"/>
      <c r="N454" s="26"/>
    </row>
    <row r="455" spans="9:14" x14ac:dyDescent="0.3">
      <c r="I455" s="24"/>
      <c r="L455" s="9"/>
      <c r="M455" s="20"/>
      <c r="N455" s="26"/>
    </row>
    <row r="456" spans="9:14" x14ac:dyDescent="0.3">
      <c r="I456" s="24"/>
      <c r="L456" s="9"/>
      <c r="M456" s="20"/>
      <c r="N456" s="26"/>
    </row>
    <row r="457" spans="9:14" x14ac:dyDescent="0.3">
      <c r="I457" s="24"/>
      <c r="L457" s="9"/>
      <c r="M457" s="20"/>
      <c r="N457" s="26"/>
    </row>
    <row r="458" spans="9:14" x14ac:dyDescent="0.3">
      <c r="I458" s="24"/>
      <c r="L458" s="9"/>
      <c r="M458" s="20"/>
      <c r="N458" s="26"/>
    </row>
    <row r="459" spans="9:14" x14ac:dyDescent="0.3">
      <c r="I459" s="24"/>
      <c r="L459" s="9"/>
      <c r="M459" s="20"/>
      <c r="N459" s="26"/>
    </row>
    <row r="460" spans="9:14" x14ac:dyDescent="0.3">
      <c r="I460" s="24"/>
      <c r="L460" s="9"/>
      <c r="M460" s="20"/>
      <c r="N460" s="26"/>
    </row>
    <row r="461" spans="9:14" x14ac:dyDescent="0.3">
      <c r="I461" s="24"/>
      <c r="L461" s="9"/>
      <c r="M461" s="20"/>
      <c r="N461" s="26"/>
    </row>
    <row r="462" spans="9:14" x14ac:dyDescent="0.3">
      <c r="I462" s="24"/>
      <c r="L462" s="9"/>
      <c r="M462" s="20"/>
      <c r="N462" s="26"/>
    </row>
    <row r="463" spans="9:14" x14ac:dyDescent="0.3">
      <c r="I463" s="24"/>
      <c r="L463" s="9"/>
      <c r="M463" s="20"/>
      <c r="N463" s="26"/>
    </row>
    <row r="464" spans="9:14" x14ac:dyDescent="0.3">
      <c r="I464" s="24"/>
      <c r="L464" s="9"/>
      <c r="M464" s="20"/>
      <c r="N464" s="26"/>
    </row>
    <row r="465" spans="9:14" x14ac:dyDescent="0.3">
      <c r="I465" s="24"/>
      <c r="L465" s="9"/>
      <c r="M465" s="20"/>
      <c r="N465" s="26"/>
    </row>
    <row r="466" spans="9:14" x14ac:dyDescent="0.3">
      <c r="I466" s="24"/>
      <c r="L466" s="9"/>
      <c r="M466" s="20"/>
      <c r="N466" s="26"/>
    </row>
    <row r="467" spans="9:14" x14ac:dyDescent="0.3">
      <c r="I467" s="24"/>
      <c r="L467" s="9"/>
      <c r="M467" s="20"/>
      <c r="N467" s="26"/>
    </row>
    <row r="468" spans="9:14" x14ac:dyDescent="0.3">
      <c r="I468" s="24"/>
      <c r="L468" s="9"/>
      <c r="M468" s="20"/>
      <c r="N468" s="26"/>
    </row>
    <row r="469" spans="9:14" x14ac:dyDescent="0.3">
      <c r="I469" s="24"/>
      <c r="L469" s="9"/>
      <c r="M469" s="20"/>
      <c r="N469" s="26"/>
    </row>
    <row r="470" spans="9:14" x14ac:dyDescent="0.3">
      <c r="I470" s="24"/>
      <c r="L470" s="9"/>
      <c r="M470" s="20"/>
      <c r="N470" s="26"/>
    </row>
    <row r="471" spans="9:14" x14ac:dyDescent="0.3">
      <c r="I471" s="24"/>
      <c r="L471" s="9"/>
      <c r="M471" s="20"/>
      <c r="N471" s="26"/>
    </row>
    <row r="472" spans="9:14" x14ac:dyDescent="0.3">
      <c r="I472" s="24"/>
      <c r="L472" s="9"/>
      <c r="M472" s="20"/>
      <c r="N472" s="26"/>
    </row>
    <row r="473" spans="9:14" x14ac:dyDescent="0.3">
      <c r="I473" s="24"/>
      <c r="L473" s="9"/>
      <c r="M473" s="20"/>
      <c r="N473" s="26"/>
    </row>
    <row r="474" spans="9:14" x14ac:dyDescent="0.3">
      <c r="I474" s="24"/>
      <c r="L474" s="9"/>
      <c r="M474" s="20"/>
      <c r="N474" s="26"/>
    </row>
    <row r="475" spans="9:14" x14ac:dyDescent="0.3">
      <c r="I475" s="24"/>
      <c r="L475" s="9"/>
      <c r="M475" s="20"/>
      <c r="N475" s="26"/>
    </row>
    <row r="476" spans="9:14" x14ac:dyDescent="0.3">
      <c r="I476" s="24"/>
      <c r="L476" s="9"/>
      <c r="M476" s="20"/>
      <c r="N476" s="26"/>
    </row>
    <row r="477" spans="9:14" x14ac:dyDescent="0.3">
      <c r="I477" s="24"/>
      <c r="L477" s="9"/>
      <c r="M477" s="20"/>
      <c r="N477" s="26"/>
    </row>
    <row r="478" spans="9:14" x14ac:dyDescent="0.3">
      <c r="I478" s="24"/>
      <c r="L478" s="9"/>
      <c r="M478" s="20"/>
      <c r="N478" s="26"/>
    </row>
    <row r="479" spans="9:14" x14ac:dyDescent="0.3">
      <c r="I479" s="24"/>
      <c r="L479" s="9"/>
      <c r="M479" s="20"/>
      <c r="N479" s="26"/>
    </row>
    <row r="480" spans="9:14" x14ac:dyDescent="0.3">
      <c r="I480" s="24"/>
      <c r="L480" s="9"/>
      <c r="M480" s="20"/>
      <c r="N480" s="26"/>
    </row>
    <row r="481" spans="9:14" x14ac:dyDescent="0.3">
      <c r="I481" s="24"/>
      <c r="L481" s="9"/>
      <c r="M481" s="20"/>
      <c r="N481" s="26"/>
    </row>
    <row r="482" spans="9:14" x14ac:dyDescent="0.3">
      <c r="I482" s="24"/>
      <c r="L482" s="9"/>
      <c r="M482" s="20"/>
      <c r="N482" s="26"/>
    </row>
    <row r="483" spans="9:14" x14ac:dyDescent="0.3">
      <c r="I483" s="24"/>
      <c r="L483" s="9"/>
      <c r="M483" s="20"/>
      <c r="N483" s="26"/>
    </row>
    <row r="484" spans="9:14" x14ac:dyDescent="0.3">
      <c r="I484" s="24"/>
      <c r="L484" s="9"/>
      <c r="M484" s="20"/>
      <c r="N484" s="26"/>
    </row>
    <row r="485" spans="9:14" x14ac:dyDescent="0.3">
      <c r="I485" s="24"/>
      <c r="L485" s="9"/>
      <c r="M485" s="20"/>
      <c r="N485" s="26"/>
    </row>
    <row r="486" spans="9:14" x14ac:dyDescent="0.3">
      <c r="I486" s="24"/>
      <c r="L486" s="9"/>
      <c r="M486" s="20"/>
      <c r="N486" s="26"/>
    </row>
    <row r="487" spans="9:14" x14ac:dyDescent="0.3">
      <c r="I487" s="24"/>
      <c r="L487" s="9"/>
      <c r="M487" s="20"/>
      <c r="N487" s="26"/>
    </row>
    <row r="488" spans="9:14" x14ac:dyDescent="0.3">
      <c r="I488" s="24"/>
      <c r="L488" s="9"/>
      <c r="M488" s="20"/>
      <c r="N488" s="26"/>
    </row>
    <row r="489" spans="9:14" x14ac:dyDescent="0.3">
      <c r="I489" s="24"/>
      <c r="L489" s="9"/>
      <c r="M489" s="20"/>
      <c r="N489" s="26"/>
    </row>
    <row r="490" spans="9:14" x14ac:dyDescent="0.3">
      <c r="I490" s="24"/>
      <c r="L490" s="9"/>
      <c r="M490" s="20"/>
      <c r="N490" s="26"/>
    </row>
    <row r="491" spans="9:14" x14ac:dyDescent="0.3">
      <c r="I491" s="24"/>
      <c r="L491" s="9"/>
      <c r="M491" s="20"/>
      <c r="N491" s="26"/>
    </row>
    <row r="492" spans="9:14" x14ac:dyDescent="0.3">
      <c r="I492" s="24"/>
      <c r="L492" s="9"/>
      <c r="M492" s="20"/>
      <c r="N492" s="26"/>
    </row>
    <row r="493" spans="9:14" x14ac:dyDescent="0.3">
      <c r="I493" s="24"/>
      <c r="L493" s="9"/>
      <c r="M493" s="20"/>
      <c r="N493" s="26"/>
    </row>
    <row r="494" spans="9:14" x14ac:dyDescent="0.3">
      <c r="I494" s="24"/>
      <c r="L494" s="9"/>
      <c r="M494" s="20"/>
      <c r="N494" s="26"/>
    </row>
    <row r="495" spans="9:14" x14ac:dyDescent="0.3">
      <c r="I495" s="24"/>
      <c r="L495" s="9"/>
      <c r="M495" s="20"/>
      <c r="N495" s="26"/>
    </row>
    <row r="496" spans="9:14" x14ac:dyDescent="0.3">
      <c r="I496" s="24"/>
      <c r="L496" s="9"/>
      <c r="M496" s="20"/>
      <c r="N496" s="26"/>
    </row>
    <row r="497" spans="9:14" x14ac:dyDescent="0.3">
      <c r="I497" s="24"/>
      <c r="L497" s="9"/>
      <c r="M497" s="20"/>
      <c r="N497" s="26"/>
    </row>
    <row r="498" spans="9:14" x14ac:dyDescent="0.3">
      <c r="I498" s="24"/>
      <c r="L498" s="9"/>
      <c r="M498" s="20"/>
      <c r="N498" s="26"/>
    </row>
    <row r="499" spans="9:14" x14ac:dyDescent="0.3">
      <c r="I499" s="24"/>
      <c r="L499" s="9"/>
      <c r="M499" s="20"/>
      <c r="N499" s="26"/>
    </row>
    <row r="500" spans="9:14" x14ac:dyDescent="0.3">
      <c r="I500" s="24"/>
      <c r="L500" s="9"/>
      <c r="M500" s="20"/>
      <c r="N500" s="26"/>
    </row>
    <row r="501" spans="9:14" x14ac:dyDescent="0.3">
      <c r="I501" s="24"/>
      <c r="L501" s="9"/>
      <c r="M501" s="20"/>
      <c r="N501" s="26"/>
    </row>
    <row r="502" spans="9:14" x14ac:dyDescent="0.3">
      <c r="I502" s="24"/>
      <c r="L502" s="9"/>
      <c r="M502" s="20"/>
      <c r="N502" s="26"/>
    </row>
    <row r="503" spans="9:14" x14ac:dyDescent="0.3">
      <c r="I503" s="24"/>
      <c r="L503" s="9"/>
      <c r="M503" s="20"/>
      <c r="N503" s="26"/>
    </row>
    <row r="504" spans="9:14" x14ac:dyDescent="0.3">
      <c r="I504" s="24"/>
      <c r="L504" s="9"/>
      <c r="M504" s="20"/>
      <c r="N504" s="26"/>
    </row>
    <row r="505" spans="9:14" x14ac:dyDescent="0.3">
      <c r="I505" s="24"/>
      <c r="L505" s="9"/>
      <c r="M505" s="20"/>
      <c r="N505" s="26"/>
    </row>
    <row r="506" spans="9:14" x14ac:dyDescent="0.3">
      <c r="I506" s="24"/>
      <c r="L506" s="9"/>
      <c r="M506" s="20"/>
      <c r="N506" s="26"/>
    </row>
    <row r="507" spans="9:14" x14ac:dyDescent="0.3">
      <c r="I507" s="24"/>
      <c r="L507" s="9"/>
      <c r="M507" s="20"/>
      <c r="N507" s="26"/>
    </row>
    <row r="508" spans="9:14" x14ac:dyDescent="0.3">
      <c r="I508" s="24"/>
      <c r="L508" s="9"/>
      <c r="M508" s="20"/>
      <c r="N508" s="26"/>
    </row>
    <row r="509" spans="9:14" x14ac:dyDescent="0.3">
      <c r="I509" s="24"/>
      <c r="L509" s="9"/>
      <c r="M509" s="20"/>
      <c r="N509" s="26"/>
    </row>
    <row r="510" spans="9:14" x14ac:dyDescent="0.3">
      <c r="I510" s="24"/>
      <c r="L510" s="9"/>
      <c r="M510" s="20"/>
      <c r="N510" s="26"/>
    </row>
    <row r="511" spans="9:14" x14ac:dyDescent="0.3">
      <c r="I511" s="24"/>
      <c r="L511" s="9"/>
      <c r="M511" s="20"/>
      <c r="N511" s="26"/>
    </row>
    <row r="512" spans="9:14" x14ac:dyDescent="0.3">
      <c r="I512" s="24"/>
      <c r="L512" s="9"/>
      <c r="M512" s="20"/>
      <c r="N512" s="26"/>
    </row>
    <row r="513" spans="9:14" x14ac:dyDescent="0.3">
      <c r="I513" s="24"/>
      <c r="L513" s="9"/>
      <c r="M513" s="20"/>
      <c r="N513" s="26"/>
    </row>
    <row r="514" spans="9:14" x14ac:dyDescent="0.3">
      <c r="I514" s="24"/>
      <c r="L514" s="9"/>
      <c r="M514" s="20"/>
      <c r="N514" s="26"/>
    </row>
    <row r="515" spans="9:14" x14ac:dyDescent="0.3">
      <c r="I515" s="24"/>
      <c r="L515" s="9"/>
      <c r="M515" s="20"/>
      <c r="N515" s="26"/>
    </row>
    <row r="516" spans="9:14" x14ac:dyDescent="0.3">
      <c r="I516" s="24"/>
      <c r="L516" s="9"/>
      <c r="M516" s="20"/>
      <c r="N516" s="26"/>
    </row>
    <row r="517" spans="9:14" x14ac:dyDescent="0.3">
      <c r="I517" s="24"/>
      <c r="L517" s="9"/>
      <c r="M517" s="20"/>
      <c r="N517" s="26"/>
    </row>
    <row r="518" spans="9:14" x14ac:dyDescent="0.3">
      <c r="I518" s="24"/>
      <c r="L518" s="9"/>
      <c r="M518" s="20"/>
      <c r="N518" s="26"/>
    </row>
    <row r="519" spans="9:14" x14ac:dyDescent="0.3">
      <c r="I519" s="24"/>
      <c r="L519" s="9"/>
      <c r="M519" s="20"/>
      <c r="N519" s="26"/>
    </row>
    <row r="520" spans="9:14" x14ac:dyDescent="0.3">
      <c r="I520" s="24"/>
      <c r="L520" s="9"/>
      <c r="M520" s="20"/>
      <c r="N520" s="26"/>
    </row>
    <row r="521" spans="9:14" x14ac:dyDescent="0.3">
      <c r="I521" s="24"/>
      <c r="L521" s="9"/>
      <c r="M521" s="20"/>
      <c r="N521" s="26"/>
    </row>
    <row r="522" spans="9:14" x14ac:dyDescent="0.3">
      <c r="I522" s="24"/>
      <c r="L522" s="9"/>
      <c r="M522" s="20"/>
      <c r="N522" s="26"/>
    </row>
    <row r="523" spans="9:14" x14ac:dyDescent="0.3">
      <c r="I523" s="24"/>
      <c r="L523" s="9"/>
      <c r="M523" s="20"/>
      <c r="N523" s="26"/>
    </row>
    <row r="524" spans="9:14" x14ac:dyDescent="0.3">
      <c r="I524" s="24"/>
      <c r="L524" s="9"/>
      <c r="M524" s="20"/>
      <c r="N524" s="26"/>
    </row>
    <row r="525" spans="9:14" x14ac:dyDescent="0.3">
      <c r="I525" s="24"/>
      <c r="L525" s="9"/>
      <c r="M525" s="20"/>
      <c r="N525" s="26"/>
    </row>
    <row r="526" spans="9:14" x14ac:dyDescent="0.3">
      <c r="I526" s="24"/>
      <c r="L526" s="9"/>
      <c r="M526" s="20"/>
      <c r="N526" s="26"/>
    </row>
    <row r="527" spans="9:14" x14ac:dyDescent="0.3">
      <c r="I527" s="24"/>
      <c r="L527" s="9"/>
      <c r="M527" s="20"/>
      <c r="N527" s="26"/>
    </row>
    <row r="528" spans="9:14" x14ac:dyDescent="0.3">
      <c r="I528" s="24"/>
      <c r="L528" s="9"/>
      <c r="M528" s="20"/>
      <c r="N528" s="26"/>
    </row>
    <row r="529" spans="9:14" x14ac:dyDescent="0.3">
      <c r="I529" s="24"/>
      <c r="L529" s="9"/>
      <c r="M529" s="20"/>
      <c r="N529" s="26"/>
    </row>
    <row r="530" spans="9:14" x14ac:dyDescent="0.3">
      <c r="I530" s="24"/>
      <c r="L530" s="9"/>
      <c r="M530" s="20"/>
      <c r="N530" s="26"/>
    </row>
    <row r="531" spans="9:14" x14ac:dyDescent="0.3">
      <c r="I531" s="24"/>
      <c r="L531" s="9"/>
      <c r="M531" s="20"/>
      <c r="N531" s="26"/>
    </row>
    <row r="532" spans="9:14" x14ac:dyDescent="0.3">
      <c r="I532" s="24"/>
      <c r="L532" s="9"/>
      <c r="M532" s="20"/>
      <c r="N532" s="26"/>
    </row>
    <row r="533" spans="9:14" x14ac:dyDescent="0.3">
      <c r="I533" s="24"/>
      <c r="L533" s="9"/>
      <c r="M533" s="20"/>
      <c r="N533" s="26"/>
    </row>
    <row r="534" spans="9:14" x14ac:dyDescent="0.3">
      <c r="I534" s="24"/>
      <c r="L534" s="9"/>
      <c r="M534" s="20"/>
      <c r="N534" s="26"/>
    </row>
    <row r="535" spans="9:14" x14ac:dyDescent="0.3">
      <c r="I535" s="24"/>
      <c r="L535" s="9"/>
      <c r="M535" s="20"/>
      <c r="N535" s="26"/>
    </row>
    <row r="536" spans="9:14" x14ac:dyDescent="0.3">
      <c r="I536" s="24"/>
      <c r="L536" s="9"/>
      <c r="M536" s="20"/>
      <c r="N536" s="26"/>
    </row>
    <row r="537" spans="9:14" x14ac:dyDescent="0.3">
      <c r="I537" s="24"/>
      <c r="L537" s="9"/>
      <c r="M537" s="20"/>
      <c r="N537" s="26"/>
    </row>
    <row r="538" spans="9:14" x14ac:dyDescent="0.3">
      <c r="I538" s="24"/>
      <c r="L538" s="9"/>
      <c r="M538" s="20"/>
      <c r="N538" s="26"/>
    </row>
    <row r="539" spans="9:14" x14ac:dyDescent="0.3">
      <c r="I539" s="24"/>
      <c r="L539" s="9"/>
      <c r="M539" s="20"/>
      <c r="N539" s="26"/>
    </row>
    <row r="540" spans="9:14" x14ac:dyDescent="0.3">
      <c r="I540" s="24"/>
      <c r="L540" s="9"/>
      <c r="M540" s="20"/>
      <c r="N540" s="26"/>
    </row>
    <row r="541" spans="9:14" x14ac:dyDescent="0.3">
      <c r="I541" s="24"/>
      <c r="L541" s="9"/>
      <c r="M541" s="20"/>
      <c r="N541" s="26"/>
    </row>
    <row r="542" spans="9:14" x14ac:dyDescent="0.3">
      <c r="I542" s="24"/>
      <c r="L542" s="9"/>
      <c r="M542" s="20"/>
      <c r="N542" s="26"/>
    </row>
    <row r="543" spans="9:14" x14ac:dyDescent="0.3">
      <c r="I543" s="24"/>
      <c r="L543" s="9"/>
      <c r="M543" s="20"/>
      <c r="N543" s="26"/>
    </row>
    <row r="544" spans="9:14" x14ac:dyDescent="0.3">
      <c r="I544" s="24"/>
      <c r="L544" s="9"/>
      <c r="M544" s="20"/>
      <c r="N544" s="26"/>
    </row>
    <row r="545" spans="9:14" x14ac:dyDescent="0.3">
      <c r="I545" s="24"/>
      <c r="L545" s="9"/>
      <c r="M545" s="20"/>
      <c r="N545" s="26"/>
    </row>
    <row r="546" spans="9:14" x14ac:dyDescent="0.3">
      <c r="I546" s="24"/>
      <c r="L546" s="9"/>
      <c r="M546" s="20"/>
      <c r="N546" s="26"/>
    </row>
    <row r="547" spans="9:14" x14ac:dyDescent="0.3">
      <c r="I547" s="24"/>
      <c r="L547" s="9"/>
      <c r="M547" s="20"/>
      <c r="N547" s="26"/>
    </row>
    <row r="548" spans="9:14" x14ac:dyDescent="0.3">
      <c r="I548" s="24"/>
      <c r="L548" s="9"/>
      <c r="M548" s="20"/>
      <c r="N548" s="26"/>
    </row>
    <row r="549" spans="9:14" x14ac:dyDescent="0.3">
      <c r="I549" s="24"/>
      <c r="L549" s="9"/>
      <c r="M549" s="20"/>
      <c r="N549" s="26"/>
    </row>
    <row r="550" spans="9:14" x14ac:dyDescent="0.3">
      <c r="I550" s="24"/>
      <c r="L550" s="9"/>
      <c r="M550" s="20"/>
      <c r="N550" s="26"/>
    </row>
    <row r="551" spans="9:14" x14ac:dyDescent="0.3">
      <c r="I551" s="24"/>
      <c r="L551" s="9"/>
      <c r="M551" s="20"/>
      <c r="N551" s="26"/>
    </row>
    <row r="552" spans="9:14" x14ac:dyDescent="0.3">
      <c r="I552" s="24"/>
      <c r="L552" s="9"/>
      <c r="M552" s="20"/>
      <c r="N552" s="26"/>
    </row>
    <row r="553" spans="9:14" x14ac:dyDescent="0.3">
      <c r="I553" s="24"/>
      <c r="L553" s="9"/>
      <c r="M553" s="20"/>
      <c r="N553" s="26"/>
    </row>
    <row r="554" spans="9:14" x14ac:dyDescent="0.3">
      <c r="I554" s="24"/>
      <c r="L554" s="9"/>
      <c r="M554" s="20"/>
      <c r="N554" s="26"/>
    </row>
    <row r="555" spans="9:14" x14ac:dyDescent="0.3">
      <c r="I555" s="24"/>
      <c r="L555" s="9"/>
      <c r="M555" s="20"/>
      <c r="N555" s="26"/>
    </row>
    <row r="556" spans="9:14" x14ac:dyDescent="0.3">
      <c r="I556" s="24"/>
      <c r="L556" s="9"/>
      <c r="M556" s="20"/>
      <c r="N556" s="26"/>
    </row>
    <row r="557" spans="9:14" x14ac:dyDescent="0.3">
      <c r="I557" s="24"/>
      <c r="L557" s="9"/>
      <c r="M557" s="20"/>
      <c r="N557" s="26"/>
    </row>
    <row r="558" spans="9:14" x14ac:dyDescent="0.3">
      <c r="I558" s="24"/>
      <c r="L558" s="9"/>
      <c r="M558" s="20"/>
      <c r="N558" s="26"/>
    </row>
    <row r="559" spans="9:14" x14ac:dyDescent="0.3">
      <c r="I559" s="24"/>
      <c r="L559" s="9"/>
      <c r="M559" s="20"/>
      <c r="N559" s="26"/>
    </row>
    <row r="560" spans="9:14" x14ac:dyDescent="0.3">
      <c r="I560" s="24"/>
      <c r="L560" s="9"/>
      <c r="M560" s="20"/>
      <c r="N560" s="26"/>
    </row>
    <row r="561" spans="9:14" x14ac:dyDescent="0.3">
      <c r="I561" s="24"/>
      <c r="L561" s="9"/>
      <c r="M561" s="20"/>
      <c r="N561" s="26"/>
    </row>
    <row r="562" spans="9:14" x14ac:dyDescent="0.3">
      <c r="I562" s="24"/>
      <c r="L562" s="9"/>
      <c r="M562" s="20"/>
      <c r="N562" s="26"/>
    </row>
    <row r="563" spans="9:14" x14ac:dyDescent="0.3">
      <c r="I563" s="24"/>
      <c r="L563" s="9"/>
      <c r="M563" s="20"/>
      <c r="N563" s="26"/>
    </row>
    <row r="564" spans="9:14" x14ac:dyDescent="0.3">
      <c r="I564" s="24"/>
      <c r="L564" s="9"/>
      <c r="M564" s="20"/>
      <c r="N564" s="26"/>
    </row>
    <row r="565" spans="9:14" x14ac:dyDescent="0.3">
      <c r="I565" s="24"/>
      <c r="L565" s="9"/>
      <c r="M565" s="20"/>
      <c r="N565" s="26"/>
    </row>
    <row r="566" spans="9:14" x14ac:dyDescent="0.3">
      <c r="I566" s="24"/>
      <c r="L566" s="9"/>
      <c r="M566" s="20"/>
      <c r="N566" s="26"/>
    </row>
    <row r="567" spans="9:14" x14ac:dyDescent="0.3">
      <c r="I567" s="24"/>
      <c r="L567" s="9"/>
      <c r="M567" s="20"/>
      <c r="N567" s="26"/>
    </row>
    <row r="568" spans="9:14" x14ac:dyDescent="0.3">
      <c r="I568" s="24"/>
      <c r="L568" s="9"/>
      <c r="M568" s="20"/>
      <c r="N568" s="26"/>
    </row>
    <row r="569" spans="9:14" x14ac:dyDescent="0.3">
      <c r="I569" s="24"/>
      <c r="L569" s="9"/>
      <c r="M569" s="20"/>
      <c r="N569" s="26"/>
    </row>
    <row r="570" spans="9:14" x14ac:dyDescent="0.3">
      <c r="I570" s="24"/>
      <c r="L570" s="9"/>
      <c r="M570" s="20"/>
      <c r="N570" s="26"/>
    </row>
    <row r="571" spans="9:14" x14ac:dyDescent="0.3">
      <c r="I571" s="24"/>
      <c r="L571" s="9"/>
      <c r="M571" s="20"/>
      <c r="N571" s="26"/>
    </row>
    <row r="572" spans="9:14" x14ac:dyDescent="0.3">
      <c r="I572" s="24"/>
      <c r="L572" s="9"/>
      <c r="M572" s="20"/>
      <c r="N572" s="26"/>
    </row>
    <row r="573" spans="9:14" x14ac:dyDescent="0.3">
      <c r="I573" s="24"/>
      <c r="L573" s="9"/>
      <c r="M573" s="20"/>
      <c r="N573" s="26"/>
    </row>
    <row r="574" spans="9:14" x14ac:dyDescent="0.3">
      <c r="I574" s="24"/>
      <c r="L574" s="9"/>
      <c r="M574" s="20"/>
      <c r="N574" s="26"/>
    </row>
    <row r="575" spans="9:14" x14ac:dyDescent="0.3">
      <c r="I575" s="24"/>
      <c r="L575" s="9"/>
      <c r="M575" s="20"/>
      <c r="N575" s="26"/>
    </row>
    <row r="576" spans="9:14" x14ac:dyDescent="0.3">
      <c r="I576" s="24"/>
      <c r="L576" s="9"/>
      <c r="M576" s="20"/>
      <c r="N576" s="26"/>
    </row>
    <row r="577" spans="9:14" x14ac:dyDescent="0.3">
      <c r="I577" s="24"/>
      <c r="L577" s="9"/>
      <c r="M577" s="20"/>
      <c r="N577" s="26"/>
    </row>
    <row r="578" spans="9:14" x14ac:dyDescent="0.3">
      <c r="I578" s="24"/>
      <c r="L578" s="9"/>
      <c r="M578" s="20"/>
      <c r="N578" s="26"/>
    </row>
    <row r="579" spans="9:14" x14ac:dyDescent="0.3">
      <c r="I579" s="24"/>
      <c r="L579" s="9"/>
      <c r="M579" s="20"/>
      <c r="N579" s="26"/>
    </row>
    <row r="580" spans="9:14" x14ac:dyDescent="0.3">
      <c r="I580" s="24"/>
      <c r="L580" s="9"/>
      <c r="M580" s="20"/>
      <c r="N580" s="26"/>
    </row>
    <row r="581" spans="9:14" x14ac:dyDescent="0.3">
      <c r="I581" s="24"/>
      <c r="L581" s="9"/>
      <c r="M581" s="20"/>
      <c r="N581" s="26"/>
    </row>
    <row r="582" spans="9:14" x14ac:dyDescent="0.3">
      <c r="I582" s="24"/>
      <c r="L582" s="9"/>
      <c r="M582" s="20"/>
      <c r="N582" s="26"/>
    </row>
    <row r="583" spans="9:14" x14ac:dyDescent="0.3">
      <c r="I583" s="24"/>
      <c r="L583" s="9"/>
      <c r="M583" s="20"/>
      <c r="N583" s="26"/>
    </row>
    <row r="584" spans="9:14" x14ac:dyDescent="0.3">
      <c r="I584" s="24"/>
      <c r="L584" s="9"/>
      <c r="M584" s="20"/>
      <c r="N584" s="26"/>
    </row>
    <row r="585" spans="9:14" x14ac:dyDescent="0.3">
      <c r="I585" s="24"/>
      <c r="L585" s="9"/>
      <c r="M585" s="20"/>
      <c r="N585" s="26"/>
    </row>
    <row r="586" spans="9:14" x14ac:dyDescent="0.3">
      <c r="I586" s="24"/>
      <c r="L586" s="9"/>
      <c r="M586" s="20"/>
      <c r="N586" s="26"/>
    </row>
    <row r="587" spans="9:14" x14ac:dyDescent="0.3">
      <c r="I587" s="24"/>
      <c r="L587" s="9"/>
      <c r="M587" s="20"/>
      <c r="N587" s="26"/>
    </row>
    <row r="588" spans="9:14" x14ac:dyDescent="0.3">
      <c r="I588" s="24"/>
      <c r="L588" s="9"/>
      <c r="M588" s="20"/>
      <c r="N588" s="26"/>
    </row>
    <row r="589" spans="9:14" x14ac:dyDescent="0.3">
      <c r="I589" s="24"/>
      <c r="L589" s="9"/>
      <c r="M589" s="20"/>
      <c r="N589" s="26"/>
    </row>
    <row r="590" spans="9:14" x14ac:dyDescent="0.3">
      <c r="I590" s="24"/>
      <c r="L590" s="9"/>
      <c r="M590" s="20"/>
      <c r="N590" s="26"/>
    </row>
    <row r="591" spans="9:14" x14ac:dyDescent="0.3">
      <c r="I591" s="24"/>
      <c r="L591" s="9"/>
      <c r="M591" s="20"/>
      <c r="N591" s="26"/>
    </row>
    <row r="592" spans="9:14" x14ac:dyDescent="0.3">
      <c r="I592" s="24"/>
      <c r="L592" s="9"/>
      <c r="M592" s="20"/>
      <c r="N592" s="26"/>
    </row>
    <row r="593" spans="9:14" x14ac:dyDescent="0.3">
      <c r="I593" s="24"/>
      <c r="L593" s="9"/>
      <c r="M593" s="20"/>
      <c r="N593" s="26"/>
    </row>
    <row r="594" spans="9:14" x14ac:dyDescent="0.3">
      <c r="I594" s="24"/>
      <c r="L594" s="9"/>
      <c r="M594" s="20"/>
      <c r="N594" s="26"/>
    </row>
    <row r="595" spans="9:14" x14ac:dyDescent="0.3">
      <c r="I595" s="24"/>
      <c r="L595" s="9"/>
      <c r="M595" s="20"/>
      <c r="N595" s="26"/>
    </row>
    <row r="596" spans="9:14" x14ac:dyDescent="0.3">
      <c r="I596" s="24"/>
      <c r="L596" s="9"/>
      <c r="M596" s="20"/>
      <c r="N596" s="26"/>
    </row>
    <row r="597" spans="9:14" x14ac:dyDescent="0.3">
      <c r="I597" s="24"/>
      <c r="L597" s="9"/>
      <c r="M597" s="20"/>
      <c r="N597" s="26"/>
    </row>
    <row r="598" spans="9:14" x14ac:dyDescent="0.3">
      <c r="I598" s="24"/>
      <c r="L598" s="9"/>
      <c r="M598" s="20"/>
      <c r="N598" s="26"/>
    </row>
    <row r="599" spans="9:14" x14ac:dyDescent="0.3">
      <c r="I599" s="24"/>
      <c r="L599" s="9"/>
      <c r="M599" s="20"/>
      <c r="N599" s="26"/>
    </row>
    <row r="600" spans="9:14" x14ac:dyDescent="0.3">
      <c r="I600" s="24"/>
      <c r="L600" s="9"/>
      <c r="M600" s="20"/>
      <c r="N600" s="26"/>
    </row>
    <row r="601" spans="9:14" x14ac:dyDescent="0.3">
      <c r="I601" s="24"/>
      <c r="L601" s="9"/>
      <c r="M601" s="20"/>
      <c r="N601" s="26"/>
    </row>
    <row r="602" spans="9:14" x14ac:dyDescent="0.3">
      <c r="I602" s="24"/>
      <c r="L602" s="9"/>
      <c r="M602" s="20"/>
      <c r="N602" s="26"/>
    </row>
    <row r="603" spans="9:14" x14ac:dyDescent="0.3">
      <c r="I603" s="24"/>
      <c r="L603" s="9"/>
      <c r="M603" s="20"/>
      <c r="N603" s="26"/>
    </row>
    <row r="604" spans="9:14" x14ac:dyDescent="0.3">
      <c r="I604" s="24"/>
      <c r="L604" s="9"/>
      <c r="M604" s="20"/>
      <c r="N604" s="26"/>
    </row>
    <row r="605" spans="9:14" x14ac:dyDescent="0.3">
      <c r="I605" s="24"/>
      <c r="L605" s="9"/>
      <c r="M605" s="20"/>
      <c r="N605" s="26"/>
    </row>
    <row r="606" spans="9:14" x14ac:dyDescent="0.3">
      <c r="I606" s="24"/>
      <c r="L606" s="9"/>
      <c r="M606" s="20"/>
      <c r="N606" s="26"/>
    </row>
    <row r="607" spans="9:14" x14ac:dyDescent="0.3">
      <c r="I607" s="24"/>
      <c r="L607" s="9"/>
      <c r="M607" s="20"/>
      <c r="N607" s="26"/>
    </row>
    <row r="608" spans="9:14" x14ac:dyDescent="0.3">
      <c r="I608" s="24"/>
      <c r="L608" s="9"/>
      <c r="M608" s="20"/>
      <c r="N608" s="26"/>
    </row>
    <row r="609" spans="9:9" x14ac:dyDescent="0.3">
      <c r="I609" s="24"/>
    </row>
  </sheetData>
  <mergeCells count="14">
    <mergeCell ref="A1:Z1"/>
    <mergeCell ref="A2:G2"/>
    <mergeCell ref="I2:K2"/>
    <mergeCell ref="P2:U2"/>
    <mergeCell ref="W4:Z4"/>
    <mergeCell ref="W11:X11"/>
    <mergeCell ref="Y11:Z11"/>
    <mergeCell ref="AA11:AB11"/>
    <mergeCell ref="AC11:AD11"/>
    <mergeCell ref="AA4:AD4"/>
    <mergeCell ref="W5:X5"/>
    <mergeCell ref="Y5:Z5"/>
    <mergeCell ref="AA5:AB5"/>
    <mergeCell ref="AC5:AD5"/>
  </mergeCells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FEF0-777E-4022-AD6C-68462EC2F7DA}">
  <dimension ref="A1:N611"/>
  <sheetViews>
    <sheetView topLeftCell="E40" zoomScaleNormal="100" workbookViewId="0">
      <selection activeCell="J47" sqref="J47"/>
    </sheetView>
  </sheetViews>
  <sheetFormatPr defaultRowHeight="14.4" x14ac:dyDescent="0.3"/>
  <cols>
    <col min="1" max="1" width="17.33203125" style="136" bestFit="1" customWidth="1"/>
    <col min="2" max="2" width="20.88671875" style="125" customWidth="1"/>
    <col min="3" max="3" width="17" style="17" customWidth="1"/>
    <col min="4" max="4" width="17.5546875" style="17" customWidth="1"/>
    <col min="5" max="5" width="16.88671875" customWidth="1"/>
    <col min="6" max="6" width="20.33203125" style="136" customWidth="1"/>
    <col min="7" max="7" width="18.33203125" style="17" customWidth="1"/>
    <col min="8" max="8" width="13" style="17" customWidth="1"/>
    <col min="9" max="9" width="19" style="17" customWidth="1"/>
    <col min="11" max="11" width="32.44140625" style="17" bestFit="1" customWidth="1"/>
    <col min="12" max="12" width="26" style="17" bestFit="1" customWidth="1"/>
    <col min="13" max="13" width="12.44140625" style="17" customWidth="1"/>
    <col min="14" max="14" width="12.88671875" style="17" customWidth="1"/>
  </cols>
  <sheetData>
    <row r="1" spans="1:14" x14ac:dyDescent="0.3">
      <c r="A1" s="196" t="s">
        <v>44</v>
      </c>
      <c r="B1" s="196"/>
      <c r="C1" s="196"/>
      <c r="D1" s="196"/>
      <c r="F1" s="196" t="s">
        <v>45</v>
      </c>
      <c r="G1" s="196"/>
      <c r="H1" s="196"/>
      <c r="I1" s="196"/>
      <c r="K1" s="174" t="s">
        <v>46</v>
      </c>
      <c r="L1" s="174"/>
      <c r="M1" s="174"/>
      <c r="N1" s="174"/>
    </row>
    <row r="2" spans="1:14" x14ac:dyDescent="0.3">
      <c r="A2" s="115" t="s">
        <v>13</v>
      </c>
      <c r="B2" s="116">
        <f>AVERAGE(B4:B611)</f>
        <v>4.4253195961707039</v>
      </c>
      <c r="C2" s="115" t="s">
        <v>47</v>
      </c>
      <c r="D2" s="117">
        <f>_xlfn.STDEV.S(B4:B611)</f>
        <v>7.4767602330586955</v>
      </c>
      <c r="F2" s="115" t="s">
        <v>48</v>
      </c>
      <c r="G2" s="117">
        <f>AVERAGE(G4:G39)</f>
        <v>12.498647058823529</v>
      </c>
      <c r="H2" s="115" t="s">
        <v>47</v>
      </c>
      <c r="I2" s="117">
        <f>_xlfn.STDEV.S(G4:G39)</f>
        <v>30.866486051126472</v>
      </c>
      <c r="K2" s="115" t="s">
        <v>13</v>
      </c>
      <c r="L2" s="118">
        <f>AVERAGE(L4:L340)</f>
        <v>1195.1686363636363</v>
      </c>
      <c r="M2" s="119" t="s">
        <v>47</v>
      </c>
      <c r="N2" s="117">
        <f>_xlfn.STDEV.S(L4:L300)</f>
        <v>0.85849338258911734</v>
      </c>
    </row>
    <row r="3" spans="1:14" x14ac:dyDescent="0.3">
      <c r="A3" s="120" t="s">
        <v>31</v>
      </c>
      <c r="B3" s="121" t="s">
        <v>49</v>
      </c>
      <c r="C3" s="122" t="s">
        <v>50</v>
      </c>
      <c r="D3" s="122" t="s">
        <v>51</v>
      </c>
      <c r="F3" s="122" t="s">
        <v>31</v>
      </c>
      <c r="G3" s="122" t="s">
        <v>52</v>
      </c>
      <c r="H3" s="122" t="s">
        <v>50</v>
      </c>
      <c r="I3" s="122" t="s">
        <v>51</v>
      </c>
      <c r="K3" s="122" t="s">
        <v>31</v>
      </c>
      <c r="L3" s="122" t="s">
        <v>53</v>
      </c>
      <c r="M3" s="122" t="s">
        <v>50</v>
      </c>
      <c r="N3" s="122" t="s">
        <v>51</v>
      </c>
    </row>
    <row r="4" spans="1:14" x14ac:dyDescent="0.3">
      <c r="A4" s="123">
        <v>44835</v>
      </c>
      <c r="B4" s="124">
        <v>0.48</v>
      </c>
      <c r="C4" s="99">
        <f>B4-$B$2</f>
        <v>-3.9453195961707039</v>
      </c>
      <c r="D4" s="99">
        <f>C4/$D$2</f>
        <v>-0.52767769370567319</v>
      </c>
      <c r="F4" s="123">
        <v>44835</v>
      </c>
      <c r="G4" s="17">
        <v>1.524</v>
      </c>
      <c r="H4" s="17">
        <f>G4-G$2</f>
        <v>-10.974647058823528</v>
      </c>
      <c r="I4" s="125">
        <f>H4/I$2</f>
        <v>-0.35555220120117975</v>
      </c>
      <c r="K4" s="123">
        <v>44835</v>
      </c>
      <c r="L4" s="99">
        <v>1193.635</v>
      </c>
      <c r="M4" s="99">
        <f>L4-$L$2</f>
        <v>-1.533636363636333</v>
      </c>
      <c r="N4" s="17">
        <f>M4/$N$2</f>
        <v>-1.7864277054891933</v>
      </c>
    </row>
    <row r="5" spans="1:14" x14ac:dyDescent="0.3">
      <c r="A5" s="123">
        <v>44866</v>
      </c>
      <c r="B5" s="124">
        <v>0.79</v>
      </c>
      <c r="C5" s="99">
        <f>B5-$B$2</f>
        <v>-3.6353195961707039</v>
      </c>
      <c r="D5" s="99">
        <f t="shared" ref="D5:D46" si="0">C5/$D$2</f>
        <v>-0.48621588533721344</v>
      </c>
      <c r="F5" s="123">
        <v>44866</v>
      </c>
      <c r="G5" s="17">
        <v>5.08</v>
      </c>
      <c r="H5" s="17">
        <f t="shared" ref="H5:H45" si="1">G5-G$2</f>
        <v>-7.4186470588235292</v>
      </c>
      <c r="I5" s="125">
        <f t="shared" ref="I5:I45" si="2">H5/I$2</f>
        <v>-0.24034634349162612</v>
      </c>
      <c r="K5" s="123">
        <v>44866</v>
      </c>
      <c r="L5" s="99">
        <v>1193.4349999999999</v>
      </c>
      <c r="M5" s="99">
        <f t="shared" ref="M5:M47" si="3">L5-$L$2</f>
        <v>-1.7336363636363785</v>
      </c>
      <c r="N5" s="17">
        <f t="shared" ref="N5:N30" si="4">M5/$N$2</f>
        <v>-2.0193939741363303</v>
      </c>
    </row>
    <row r="6" spans="1:14" x14ac:dyDescent="0.3">
      <c r="A6" s="123">
        <v>44896</v>
      </c>
      <c r="B6" s="124">
        <v>7.36</v>
      </c>
      <c r="C6" s="99">
        <f t="shared" ref="C6:C28" si="5">B6-$B$2</f>
        <v>2.9346804038292964</v>
      </c>
      <c r="D6" s="99">
        <f t="shared" si="0"/>
        <v>0.39250695653627199</v>
      </c>
      <c r="F6" s="123">
        <v>44896</v>
      </c>
      <c r="G6" s="17">
        <f>AVERAGE(G5,G7)</f>
        <v>17.271999999999998</v>
      </c>
      <c r="H6" s="17">
        <f t="shared" si="1"/>
        <v>4.7733529411764692</v>
      </c>
      <c r="I6" s="125">
        <f t="shared" si="2"/>
        <v>0.15464516865541506</v>
      </c>
      <c r="K6" s="123">
        <v>44896</v>
      </c>
      <c r="L6" s="99">
        <v>1193.885</v>
      </c>
      <c r="M6" s="99">
        <f t="shared" si="3"/>
        <v>-1.283636363636333</v>
      </c>
      <c r="N6" s="17">
        <f t="shared" si="4"/>
        <v>-1.4952198696803385</v>
      </c>
    </row>
    <row r="7" spans="1:14" x14ac:dyDescent="0.3">
      <c r="A7" s="123">
        <v>44927</v>
      </c>
      <c r="B7" s="124">
        <v>20.5</v>
      </c>
      <c r="C7" s="99">
        <f t="shared" si="5"/>
        <v>16.074680403829298</v>
      </c>
      <c r="D7" s="99">
        <f t="shared" si="0"/>
        <v>2.1499526402832432</v>
      </c>
      <c r="F7" s="123">
        <v>44927</v>
      </c>
      <c r="G7" s="17">
        <v>29.463999999999999</v>
      </c>
      <c r="H7" s="17">
        <f t="shared" si="1"/>
        <v>16.965352941176469</v>
      </c>
      <c r="I7" s="125">
        <f t="shared" si="2"/>
        <v>0.54963668080245631</v>
      </c>
      <c r="K7" s="123">
        <v>44927</v>
      </c>
      <c r="L7" s="99">
        <v>1195.29</v>
      </c>
      <c r="M7" s="99">
        <f t="shared" si="3"/>
        <v>0.12136363636363967</v>
      </c>
      <c r="N7" s="17">
        <f t="shared" si="4"/>
        <v>0.14136816756539333</v>
      </c>
    </row>
    <row r="8" spans="1:14" x14ac:dyDescent="0.3">
      <c r="A8" s="123">
        <v>44958</v>
      </c>
      <c r="B8" s="124">
        <v>25.2</v>
      </c>
      <c r="C8" s="99">
        <f t="shared" si="5"/>
        <v>20.774680403829294</v>
      </c>
      <c r="D8" s="99">
        <f t="shared" si="0"/>
        <v>2.7785671542566641</v>
      </c>
      <c r="F8" s="123">
        <v>44958</v>
      </c>
      <c r="G8" s="17">
        <f>AVERAGE(G7,G9)</f>
        <v>29.463999999999999</v>
      </c>
      <c r="H8" s="17">
        <f t="shared" si="1"/>
        <v>16.965352941176469</v>
      </c>
      <c r="I8" s="125">
        <f t="shared" si="2"/>
        <v>0.54963668080245631</v>
      </c>
      <c r="K8" s="123">
        <v>44958</v>
      </c>
      <c r="L8" s="99">
        <v>1195.06</v>
      </c>
      <c r="M8" s="99">
        <f t="shared" si="3"/>
        <v>-0.10863636363637852</v>
      </c>
      <c r="N8" s="17">
        <f t="shared" si="4"/>
        <v>-0.12654304137877423</v>
      </c>
    </row>
    <row r="9" spans="1:14" x14ac:dyDescent="0.3">
      <c r="A9" s="123">
        <v>44986</v>
      </c>
      <c r="B9" s="124">
        <v>22.81</v>
      </c>
      <c r="C9" s="99">
        <f t="shared" si="5"/>
        <v>18.384680403829293</v>
      </c>
      <c r="D9" s="99">
        <f t="shared" si="0"/>
        <v>2.4589099865127326</v>
      </c>
      <c r="F9" s="123">
        <v>44986</v>
      </c>
      <c r="H9" s="17">
        <f t="shared" si="1"/>
        <v>-12.498647058823529</v>
      </c>
      <c r="I9" s="125">
        <f t="shared" si="2"/>
        <v>-0.40492614021955997</v>
      </c>
      <c r="K9" s="123">
        <v>44986</v>
      </c>
      <c r="L9" s="99">
        <v>1195.6950000000002</v>
      </c>
      <c r="M9" s="99">
        <f t="shared" si="3"/>
        <v>0.52636363636383976</v>
      </c>
      <c r="N9" s="17">
        <f t="shared" si="4"/>
        <v>0.61312486157597113</v>
      </c>
    </row>
    <row r="10" spans="1:14" x14ac:dyDescent="0.3">
      <c r="A10" s="123">
        <v>45017</v>
      </c>
      <c r="B10" s="124">
        <v>5.14</v>
      </c>
      <c r="C10" s="99">
        <f t="shared" si="5"/>
        <v>0.71468040382929576</v>
      </c>
      <c r="D10" s="99">
        <f t="shared" si="0"/>
        <v>9.5586909510527993E-2</v>
      </c>
      <c r="F10" s="123">
        <v>45017</v>
      </c>
      <c r="H10" s="17">
        <f t="shared" si="1"/>
        <v>-12.498647058823529</v>
      </c>
      <c r="I10" s="125">
        <f t="shared" si="2"/>
        <v>-0.40492614021955997</v>
      </c>
      <c r="K10" s="123">
        <v>45017</v>
      </c>
      <c r="L10" s="99">
        <v>1195.875</v>
      </c>
      <c r="M10" s="99">
        <f t="shared" si="3"/>
        <v>0.70636363636367605</v>
      </c>
      <c r="N10" s="17">
        <f t="shared" si="4"/>
        <v>0.82279450335815585</v>
      </c>
    </row>
    <row r="11" spans="1:14" x14ac:dyDescent="0.3">
      <c r="A11" s="123">
        <v>45047</v>
      </c>
      <c r="B11" s="124">
        <v>2.2599999999999998</v>
      </c>
      <c r="C11" s="99">
        <f t="shared" si="5"/>
        <v>-2.1653195961707041</v>
      </c>
      <c r="D11" s="99">
        <f t="shared" si="0"/>
        <v>-0.289606665009356</v>
      </c>
      <c r="F11" s="123">
        <v>45047</v>
      </c>
      <c r="G11" s="17">
        <v>4.0640000000000001</v>
      </c>
      <c r="H11" s="17">
        <f t="shared" si="1"/>
        <v>-8.4346470588235292</v>
      </c>
      <c r="I11" s="125">
        <f t="shared" si="2"/>
        <v>-0.27326230283721287</v>
      </c>
      <c r="K11" s="123">
        <v>45047</v>
      </c>
      <c r="L11" s="99">
        <v>1195.75</v>
      </c>
      <c r="M11" s="99">
        <f t="shared" si="3"/>
        <v>0.58136363636367605</v>
      </c>
      <c r="N11" s="17">
        <f t="shared" si="4"/>
        <v>0.67719058545372846</v>
      </c>
    </row>
    <row r="12" spans="1:14" x14ac:dyDescent="0.3">
      <c r="A12" s="123">
        <v>45078</v>
      </c>
      <c r="B12" s="124">
        <v>1.27</v>
      </c>
      <c r="C12" s="99">
        <f t="shared" si="5"/>
        <v>-3.1553195961707039</v>
      </c>
      <c r="D12" s="99">
        <f t="shared" si="0"/>
        <v>-0.42201695625056612</v>
      </c>
      <c r="F12" s="123">
        <v>45078</v>
      </c>
      <c r="G12" s="17">
        <v>1.778</v>
      </c>
      <c r="H12" s="17">
        <f t="shared" si="1"/>
        <v>-10.720647058823529</v>
      </c>
      <c r="I12" s="125">
        <f t="shared" si="2"/>
        <v>-0.34732321136478311</v>
      </c>
      <c r="K12" s="123">
        <v>45078</v>
      </c>
      <c r="L12" s="99">
        <v>1195.165</v>
      </c>
      <c r="M12" s="99">
        <f t="shared" si="3"/>
        <v>-3.6363636363603291E-3</v>
      </c>
      <c r="N12" s="17">
        <f t="shared" si="4"/>
        <v>-4.2357503390340352E-3</v>
      </c>
    </row>
    <row r="13" spans="1:14" x14ac:dyDescent="0.3">
      <c r="A13" s="123">
        <v>45108</v>
      </c>
      <c r="B13" s="124">
        <v>0.7</v>
      </c>
      <c r="C13" s="99">
        <f t="shared" si="5"/>
        <v>-3.7253195961707037</v>
      </c>
      <c r="D13" s="99">
        <f t="shared" si="0"/>
        <v>-0.49825318454095979</v>
      </c>
      <c r="F13" s="123">
        <v>45108</v>
      </c>
      <c r="G13" s="17">
        <v>1.524</v>
      </c>
      <c r="H13" s="17">
        <f t="shared" si="1"/>
        <v>-10.974647058823528</v>
      </c>
      <c r="I13" s="125">
        <f t="shared" si="2"/>
        <v>-0.35555220120117975</v>
      </c>
      <c r="K13" s="123">
        <v>45108</v>
      </c>
      <c r="L13" s="99">
        <v>1194.855</v>
      </c>
      <c r="M13" s="99">
        <f t="shared" si="3"/>
        <v>-0.31363636363630576</v>
      </c>
      <c r="N13" s="17">
        <f t="shared" si="4"/>
        <v>-0.36533346674195033</v>
      </c>
    </row>
    <row r="14" spans="1:14" x14ac:dyDescent="0.3">
      <c r="A14" s="123">
        <v>45139</v>
      </c>
      <c r="B14" s="124">
        <v>0.46</v>
      </c>
      <c r="C14" s="99">
        <f t="shared" si="5"/>
        <v>-3.965319596170704</v>
      </c>
      <c r="D14" s="99">
        <f t="shared" si="0"/>
        <v>-0.53035264908428348</v>
      </c>
      <c r="F14" s="123">
        <v>45139</v>
      </c>
      <c r="G14" s="17">
        <v>1.27</v>
      </c>
      <c r="H14" s="17">
        <f t="shared" si="1"/>
        <v>-11.22864705882353</v>
      </c>
      <c r="I14" s="125">
        <f t="shared" si="2"/>
        <v>-0.3637811910375765</v>
      </c>
      <c r="K14" s="123">
        <v>45139</v>
      </c>
      <c r="L14" s="99">
        <v>1194.76</v>
      </c>
      <c r="M14" s="99">
        <f>L14-$L$2</f>
        <v>-0.40863636363633304</v>
      </c>
      <c r="N14" s="17">
        <f t="shared" si="4"/>
        <v>-0.47599244434934695</v>
      </c>
    </row>
    <row r="15" spans="1:14" x14ac:dyDescent="0.3">
      <c r="A15" s="123">
        <v>45170</v>
      </c>
      <c r="B15" s="124">
        <v>0.17</v>
      </c>
      <c r="C15" s="99">
        <f t="shared" si="5"/>
        <v>-4.255319596170704</v>
      </c>
      <c r="D15" s="99">
        <f t="shared" si="0"/>
        <v>-0.56913950207413289</v>
      </c>
      <c r="F15" s="123">
        <v>45170</v>
      </c>
      <c r="G15" s="17">
        <v>0.50800000000000001</v>
      </c>
      <c r="H15" s="17">
        <f t="shared" si="1"/>
        <v>-11.99064705882353</v>
      </c>
      <c r="I15" s="125">
        <f t="shared" si="2"/>
        <v>-0.38846816054676658</v>
      </c>
      <c r="K15" s="123">
        <v>45170</v>
      </c>
      <c r="L15" s="99">
        <v>1194.6500000000001</v>
      </c>
      <c r="M15" s="99">
        <f t="shared" si="3"/>
        <v>-0.518636363636233</v>
      </c>
      <c r="N15" s="17">
        <f t="shared" si="4"/>
        <v>-0.60412389210512651</v>
      </c>
    </row>
    <row r="16" spans="1:14" x14ac:dyDescent="0.3">
      <c r="A16" s="123">
        <v>45200</v>
      </c>
      <c r="B16" s="124">
        <v>0.17</v>
      </c>
      <c r="C16" s="99">
        <f t="shared" si="5"/>
        <v>-4.255319596170704</v>
      </c>
      <c r="D16" s="99">
        <f t="shared" si="0"/>
        <v>-0.56913950207413289</v>
      </c>
      <c r="F16" s="123">
        <v>45200</v>
      </c>
      <c r="G16" s="17">
        <v>2.286</v>
      </c>
      <c r="H16" s="17">
        <f t="shared" si="1"/>
        <v>-10.21264705882353</v>
      </c>
      <c r="I16" s="125">
        <f t="shared" si="2"/>
        <v>-0.33086523169198973</v>
      </c>
      <c r="K16" s="123">
        <v>45200</v>
      </c>
      <c r="L16" s="17">
        <v>1194.6500000000001</v>
      </c>
      <c r="M16" s="99">
        <f t="shared" si="3"/>
        <v>-0.518636363636233</v>
      </c>
      <c r="N16" s="17">
        <f t="shared" si="4"/>
        <v>-0.60412389210512651</v>
      </c>
    </row>
    <row r="17" spans="1:14" x14ac:dyDescent="0.3">
      <c r="A17" s="123">
        <v>45231</v>
      </c>
      <c r="B17" s="124">
        <v>0.33</v>
      </c>
      <c r="C17" s="99">
        <f t="shared" si="5"/>
        <v>-4.0953195961707038</v>
      </c>
      <c r="D17" s="99">
        <f t="shared" si="0"/>
        <v>-0.54773985904525047</v>
      </c>
      <c r="F17" s="123">
        <v>45231</v>
      </c>
      <c r="G17" s="17">
        <v>1.016</v>
      </c>
      <c r="H17" s="17">
        <f t="shared" si="1"/>
        <v>-11.482647058823529</v>
      </c>
      <c r="I17" s="125">
        <f t="shared" si="2"/>
        <v>-0.3720101808739732</v>
      </c>
      <c r="K17" s="123">
        <v>45231</v>
      </c>
      <c r="L17" s="17">
        <v>1194.42</v>
      </c>
      <c r="M17" s="99">
        <f t="shared" si="3"/>
        <v>-0.74863636363625119</v>
      </c>
      <c r="N17" s="17">
        <f t="shared" si="4"/>
        <v>-0.87203510104929405</v>
      </c>
    </row>
    <row r="18" spans="1:14" x14ac:dyDescent="0.3">
      <c r="A18" s="123">
        <v>45261</v>
      </c>
      <c r="B18" s="124">
        <v>0.68476466647207235</v>
      </c>
      <c r="C18" s="99">
        <f t="shared" si="5"/>
        <v>-3.7405549296986313</v>
      </c>
      <c r="D18" s="99">
        <f t="shared" si="0"/>
        <v>-0.50029087640923242</v>
      </c>
      <c r="F18" s="123">
        <v>45261</v>
      </c>
      <c r="G18" s="17">
        <v>8.3819999999999997</v>
      </c>
      <c r="H18" s="17">
        <f t="shared" si="1"/>
        <v>-4.1166470588235295</v>
      </c>
      <c r="I18" s="125">
        <f t="shared" si="2"/>
        <v>-0.13336947561846912</v>
      </c>
      <c r="K18" s="123">
        <v>45261</v>
      </c>
      <c r="L18" s="17">
        <v>1194.56</v>
      </c>
      <c r="M18" s="99">
        <f t="shared" si="3"/>
        <v>-0.60863636363637852</v>
      </c>
      <c r="N18" s="17">
        <f t="shared" si="4"/>
        <v>-0.70895871299648372</v>
      </c>
    </row>
    <row r="19" spans="1:14" x14ac:dyDescent="0.3">
      <c r="A19" s="123">
        <v>45292</v>
      </c>
      <c r="B19" s="124">
        <v>2.3199999999999998</v>
      </c>
      <c r="C19" s="99">
        <f t="shared" si="5"/>
        <v>-2.1053195961707041</v>
      </c>
      <c r="D19" s="99">
        <f t="shared" si="0"/>
        <v>-0.28158179887352508</v>
      </c>
      <c r="F19" s="123">
        <v>45292</v>
      </c>
      <c r="G19" s="17">
        <v>10.922000000000001</v>
      </c>
      <c r="H19" s="17">
        <f t="shared" si="1"/>
        <v>-1.5766470588235286</v>
      </c>
      <c r="I19" s="125">
        <f t="shared" si="2"/>
        <v>-5.1079577254502184E-2</v>
      </c>
      <c r="K19" s="123">
        <v>45292</v>
      </c>
      <c r="L19" s="17">
        <v>1194.58</v>
      </c>
      <c r="M19" s="99">
        <f t="shared" si="3"/>
        <v>-0.58863636363639671</v>
      </c>
      <c r="N19" s="17">
        <f t="shared" si="4"/>
        <v>-0.68566208613179647</v>
      </c>
    </row>
    <row r="20" spans="1:14" x14ac:dyDescent="0.3">
      <c r="A20" s="123">
        <v>45323</v>
      </c>
      <c r="B20" s="124">
        <v>1.9863049119371383</v>
      </c>
      <c r="C20" s="99">
        <f t="shared" si="5"/>
        <v>-2.4390146842335656</v>
      </c>
      <c r="D20" s="99">
        <f t="shared" si="0"/>
        <v>-0.32621277240500463</v>
      </c>
      <c r="F20" s="123">
        <v>45323</v>
      </c>
      <c r="G20" s="17">
        <v>7.62</v>
      </c>
      <c r="H20" s="17">
        <f t="shared" si="1"/>
        <v>-4.8786470588235291</v>
      </c>
      <c r="I20" s="125">
        <f t="shared" si="2"/>
        <v>-0.15805644512765921</v>
      </c>
      <c r="K20" s="123">
        <v>45323</v>
      </c>
      <c r="L20" s="99">
        <v>1194.605</v>
      </c>
      <c r="M20" s="99">
        <f t="shared" si="3"/>
        <v>-0.56363636363630576</v>
      </c>
      <c r="N20" s="17">
        <f t="shared" si="4"/>
        <v>-0.65654130255080512</v>
      </c>
    </row>
    <row r="21" spans="1:14" x14ac:dyDescent="0.3">
      <c r="A21" s="123">
        <v>45352</v>
      </c>
      <c r="B21" s="124">
        <v>1.3343642691871787</v>
      </c>
      <c r="C21" s="99">
        <f t="shared" si="5"/>
        <v>-3.0909553269835253</v>
      </c>
      <c r="D21" s="99">
        <f t="shared" si="0"/>
        <v>-0.41340837884793785</v>
      </c>
      <c r="F21" s="123">
        <v>45352</v>
      </c>
      <c r="G21" s="17">
        <v>2.286</v>
      </c>
      <c r="H21" s="17">
        <f t="shared" si="1"/>
        <v>-10.21264705882353</v>
      </c>
      <c r="I21" s="125">
        <f t="shared" si="2"/>
        <v>-0.33086523169198973</v>
      </c>
      <c r="K21" s="123">
        <v>45352</v>
      </c>
      <c r="L21" s="126">
        <v>1194.99</v>
      </c>
      <c r="M21" s="99">
        <f t="shared" si="3"/>
        <v>-0.17863636363631485</v>
      </c>
      <c r="N21" s="17">
        <f t="shared" si="4"/>
        <v>-0.20808123540517939</v>
      </c>
    </row>
    <row r="22" spans="1:14" x14ac:dyDescent="0.3">
      <c r="A22" s="123">
        <v>45383</v>
      </c>
      <c r="B22" s="124">
        <v>1.6842105263157894</v>
      </c>
      <c r="C22" s="99">
        <f t="shared" si="5"/>
        <v>-2.7411090698549145</v>
      </c>
      <c r="D22" s="99">
        <f t="shared" si="0"/>
        <v>-0.36661722248829476</v>
      </c>
      <c r="F22" s="123">
        <v>45383</v>
      </c>
      <c r="G22" s="17">
        <v>2.286</v>
      </c>
      <c r="H22" s="17">
        <f t="shared" si="1"/>
        <v>-10.21264705882353</v>
      </c>
      <c r="I22" s="125">
        <f t="shared" si="2"/>
        <v>-0.33086523169198973</v>
      </c>
      <c r="K22" s="123">
        <v>45383</v>
      </c>
      <c r="L22" s="126">
        <v>1194.58</v>
      </c>
      <c r="M22" s="99">
        <f t="shared" si="3"/>
        <v>-0.58863636363639671</v>
      </c>
      <c r="N22" s="17">
        <f t="shared" si="4"/>
        <v>-0.68566208613179647</v>
      </c>
    </row>
    <row r="23" spans="1:14" x14ac:dyDescent="0.3">
      <c r="A23" s="123">
        <v>45413</v>
      </c>
      <c r="B23" s="124">
        <v>1.0415265414280299</v>
      </c>
      <c r="C23" s="99">
        <f t="shared" si="5"/>
        <v>-3.3837930547426742</v>
      </c>
      <c r="D23" s="99">
        <f t="shared" si="0"/>
        <v>-0.45257477159440562</v>
      </c>
      <c r="F23" s="123">
        <v>45413</v>
      </c>
      <c r="G23" s="17">
        <v>0.254</v>
      </c>
      <c r="H23" s="17">
        <f t="shared" si="1"/>
        <v>-12.24464705882353</v>
      </c>
      <c r="I23" s="17">
        <f t="shared" si="2"/>
        <v>-0.39669715038316328</v>
      </c>
      <c r="K23" s="123">
        <v>45413</v>
      </c>
      <c r="L23" s="17">
        <v>1194.615</v>
      </c>
      <c r="M23" s="99">
        <f t="shared" si="3"/>
        <v>-0.55363636363631485</v>
      </c>
      <c r="N23" s="17">
        <f t="shared" si="4"/>
        <v>-0.64489298911846149</v>
      </c>
    </row>
    <row r="24" spans="1:14" x14ac:dyDescent="0.3">
      <c r="A24" s="123">
        <v>45444</v>
      </c>
      <c r="B24" s="124">
        <v>0.65580000000000005</v>
      </c>
      <c r="C24" s="99">
        <f t="shared" si="5"/>
        <v>-3.7695195961707038</v>
      </c>
      <c r="D24" s="99">
        <f t="shared" si="0"/>
        <v>-0.50416483592768857</v>
      </c>
      <c r="F24" s="123">
        <v>45444</v>
      </c>
      <c r="G24" s="17">
        <v>1.016</v>
      </c>
      <c r="H24" s="17">
        <f t="shared" si="1"/>
        <v>-11.482647058823529</v>
      </c>
      <c r="I24" s="17">
        <f t="shared" si="2"/>
        <v>-0.3720101808739732</v>
      </c>
      <c r="K24" s="123">
        <v>45444</v>
      </c>
      <c r="L24" s="17">
        <v>1194.5899999999999</v>
      </c>
      <c r="M24" s="99">
        <f t="shared" si="3"/>
        <v>-0.5786363636364058</v>
      </c>
      <c r="N24" s="17">
        <f t="shared" si="4"/>
        <v>-0.67401377269945295</v>
      </c>
    </row>
    <row r="25" spans="1:14" x14ac:dyDescent="0.3">
      <c r="A25" s="123">
        <v>45474</v>
      </c>
      <c r="B25" s="124">
        <v>0.37</v>
      </c>
      <c r="C25" s="99">
        <f t="shared" si="5"/>
        <v>-4.0553195961707038</v>
      </c>
      <c r="D25" s="99">
        <f t="shared" si="0"/>
        <v>-0.54238994828802989</v>
      </c>
      <c r="F25" s="123">
        <v>45474</v>
      </c>
      <c r="G25" s="17">
        <v>0.50800000000000001</v>
      </c>
      <c r="H25" s="17">
        <f t="shared" si="1"/>
        <v>-11.99064705882353</v>
      </c>
      <c r="I25" s="17">
        <f t="shared" si="2"/>
        <v>-0.38846816054676658</v>
      </c>
      <c r="K25" s="123">
        <v>45474</v>
      </c>
      <c r="L25" s="17">
        <v>1194.6099999999999</v>
      </c>
      <c r="M25" s="99">
        <f t="shared" si="3"/>
        <v>-0.55863636363642399</v>
      </c>
      <c r="N25" s="17">
        <f t="shared" si="4"/>
        <v>-0.6507171458347657</v>
      </c>
    </row>
    <row r="26" spans="1:14" x14ac:dyDescent="0.3">
      <c r="A26" s="123">
        <v>45505</v>
      </c>
      <c r="B26" s="124">
        <v>0.17899999999999999</v>
      </c>
      <c r="C26" s="99">
        <f t="shared" si="5"/>
        <v>-4.2463195961707036</v>
      </c>
      <c r="D26" s="99">
        <f t="shared" si="0"/>
        <v>-0.56793577215375823</v>
      </c>
      <c r="F26" s="123">
        <v>45505</v>
      </c>
      <c r="G26" s="17">
        <v>0.254</v>
      </c>
      <c r="H26" s="17">
        <f t="shared" si="1"/>
        <v>-12.24464705882353</v>
      </c>
      <c r="I26" s="17">
        <f t="shared" si="2"/>
        <v>-0.39669715038316328</v>
      </c>
      <c r="K26" s="123">
        <v>45505</v>
      </c>
      <c r="L26" s="127">
        <v>1194.3600000000001</v>
      </c>
      <c r="M26" s="99">
        <f t="shared" si="3"/>
        <v>-0.80863636363619662</v>
      </c>
      <c r="N26" s="17">
        <f t="shared" si="4"/>
        <v>-0.94192498164335559</v>
      </c>
    </row>
    <row r="27" spans="1:14" x14ac:dyDescent="0.3">
      <c r="A27" s="123">
        <v>45536</v>
      </c>
      <c r="B27" s="124">
        <v>0.184</v>
      </c>
      <c r="C27" s="99">
        <f t="shared" si="5"/>
        <v>-4.2413195961707038</v>
      </c>
      <c r="D27" s="99">
        <f t="shared" si="0"/>
        <v>-0.56726703330910566</v>
      </c>
      <c r="F27" s="123">
        <v>45536</v>
      </c>
      <c r="G27" s="17">
        <v>1.6E-2</v>
      </c>
      <c r="H27" s="17">
        <f t="shared" si="1"/>
        <v>-12.482647058823529</v>
      </c>
      <c r="I27" s="17">
        <f t="shared" si="2"/>
        <v>-0.4044077786550625</v>
      </c>
      <c r="K27" s="123">
        <v>45536</v>
      </c>
      <c r="L27" s="99">
        <v>1194.2649999999999</v>
      </c>
      <c r="M27" s="99">
        <f t="shared" si="3"/>
        <v>-0.90363636363645128</v>
      </c>
      <c r="N27" s="17">
        <f t="shared" si="4"/>
        <v>-1.0525839592510171</v>
      </c>
    </row>
    <row r="28" spans="1:14" x14ac:dyDescent="0.3">
      <c r="A28" s="123">
        <v>45566</v>
      </c>
      <c r="B28" s="124">
        <v>0.18479999999999999</v>
      </c>
      <c r="C28" s="99">
        <f t="shared" si="5"/>
        <v>-4.2405195961707038</v>
      </c>
      <c r="D28" s="99">
        <f t="shared" si="0"/>
        <v>-0.56716003509396129</v>
      </c>
      <c r="E28" s="128" t="s">
        <v>29</v>
      </c>
      <c r="F28" s="123">
        <v>45566</v>
      </c>
      <c r="G28" s="17">
        <v>1.016</v>
      </c>
      <c r="H28" s="17">
        <f t="shared" si="1"/>
        <v>-11.482647058823529</v>
      </c>
      <c r="I28" s="17">
        <f t="shared" si="2"/>
        <v>-0.3720101808739732</v>
      </c>
      <c r="J28" s="128" t="s">
        <v>29</v>
      </c>
      <c r="K28" s="123">
        <v>45566</v>
      </c>
      <c r="L28" s="126">
        <v>1194.0899999999999</v>
      </c>
      <c r="M28" s="99">
        <f t="shared" si="3"/>
        <v>-1.0786363636364058</v>
      </c>
      <c r="N28" s="17">
        <f t="shared" si="4"/>
        <v>-1.2564294443171624</v>
      </c>
    </row>
    <row r="29" spans="1:14" x14ac:dyDescent="0.3">
      <c r="A29" s="123">
        <v>45597</v>
      </c>
      <c r="B29" s="125">
        <v>0.56559999999999999</v>
      </c>
      <c r="C29" s="99">
        <f>B29-$B$2</f>
        <v>-3.859719596170704</v>
      </c>
      <c r="D29" s="99">
        <f t="shared" si="0"/>
        <v>-0.5162288846852211</v>
      </c>
      <c r="F29" s="123">
        <v>45597</v>
      </c>
      <c r="G29" s="17">
        <v>0.50800000000000001</v>
      </c>
      <c r="H29" s="17">
        <f t="shared" si="1"/>
        <v>-11.99064705882353</v>
      </c>
      <c r="I29" s="17">
        <f t="shared" si="2"/>
        <v>-0.38846816054676658</v>
      </c>
      <c r="K29" s="123">
        <v>45597</v>
      </c>
      <c r="L29" s="126">
        <v>1193.9000000000001</v>
      </c>
      <c r="M29" s="99">
        <f t="shared" si="3"/>
        <v>-1.268636363636233</v>
      </c>
      <c r="N29" s="17">
        <f t="shared" si="4"/>
        <v>-1.4777473995316908</v>
      </c>
    </row>
    <row r="30" spans="1:14" x14ac:dyDescent="0.3">
      <c r="A30" s="123">
        <v>45627</v>
      </c>
      <c r="B30" s="125">
        <v>1.1902999999999999</v>
      </c>
      <c r="C30" s="99">
        <f>B30-$B$2</f>
        <v>-3.2350195961707042</v>
      </c>
      <c r="D30" s="99">
        <f t="shared" si="0"/>
        <v>-0.43267665343432821</v>
      </c>
      <c r="F30" s="123">
        <v>45627</v>
      </c>
      <c r="G30" s="17">
        <v>20.065999999999999</v>
      </c>
      <c r="H30" s="17">
        <f t="shared" si="1"/>
        <v>7.5673529411764697</v>
      </c>
      <c r="I30" s="17">
        <f t="shared" si="2"/>
        <v>0.24516405685577866</v>
      </c>
      <c r="K30" s="123">
        <v>45627</v>
      </c>
      <c r="L30" s="126">
        <v>1193.82</v>
      </c>
      <c r="M30" s="99">
        <f t="shared" si="3"/>
        <v>-1.3486363636363876</v>
      </c>
      <c r="N30" s="17">
        <f t="shared" si="4"/>
        <v>-1.5709339069907042</v>
      </c>
    </row>
    <row r="31" spans="1:14" x14ac:dyDescent="0.3">
      <c r="A31" s="123">
        <v>45658</v>
      </c>
      <c r="B31" s="125">
        <v>32.54</v>
      </c>
      <c r="C31" s="99">
        <f>B31-$B$2</f>
        <v>28.114680403829297</v>
      </c>
      <c r="D31" s="99">
        <f t="shared" si="0"/>
        <v>3.7602757782066467</v>
      </c>
      <c r="F31" s="123">
        <v>45658</v>
      </c>
      <c r="G31" s="17">
        <v>172.97</v>
      </c>
      <c r="H31" s="17">
        <f t="shared" si="1"/>
        <v>160.47135294117646</v>
      </c>
      <c r="I31" s="17">
        <f t="shared" si="2"/>
        <v>5.1988863479754626</v>
      </c>
      <c r="K31" s="123">
        <v>45658</v>
      </c>
      <c r="L31" s="126">
        <v>1196.04</v>
      </c>
      <c r="M31" s="99">
        <f t="shared" si="3"/>
        <v>0.87136363636363967</v>
      </c>
      <c r="N31" s="17">
        <f>M31/$N$2</f>
        <v>1.0149916749919576</v>
      </c>
    </row>
    <row r="32" spans="1:14" x14ac:dyDescent="0.3">
      <c r="A32" s="123">
        <v>45689</v>
      </c>
      <c r="B32" s="125">
        <v>3.51</v>
      </c>
      <c r="C32" s="99">
        <f>B32-$B$2</f>
        <v>-0.91531959617070413</v>
      </c>
      <c r="D32" s="99">
        <f t="shared" si="0"/>
        <v>-0.12242195384621189</v>
      </c>
      <c r="F32" s="123">
        <v>45689</v>
      </c>
      <c r="G32" s="17">
        <v>57.404000000000003</v>
      </c>
      <c r="H32" s="17">
        <f t="shared" si="1"/>
        <v>44.905352941176474</v>
      </c>
      <c r="I32" s="17">
        <f t="shared" si="2"/>
        <v>1.4548255628060924</v>
      </c>
      <c r="K32" s="123">
        <v>45689</v>
      </c>
      <c r="L32" s="126">
        <v>1196.21</v>
      </c>
      <c r="M32" s="99">
        <f t="shared" si="3"/>
        <v>1.0413636363637124</v>
      </c>
      <c r="N32" s="17">
        <f>M32/$N$2</f>
        <v>1.2130130033420636</v>
      </c>
    </row>
    <row r="33" spans="1:14" x14ac:dyDescent="0.3">
      <c r="A33" s="123">
        <v>45717</v>
      </c>
      <c r="B33" s="125">
        <v>5.7629999999999999</v>
      </c>
      <c r="C33" s="99">
        <f t="shared" ref="C33:C46" si="6">B33-$B$2</f>
        <v>1.337680403829296</v>
      </c>
      <c r="D33" s="99">
        <f t="shared" si="0"/>
        <v>0.17891176955423904</v>
      </c>
      <c r="F33" s="123">
        <v>45717</v>
      </c>
      <c r="G33" s="17">
        <v>20.827999999999999</v>
      </c>
      <c r="H33" s="17">
        <f t="shared" si="1"/>
        <v>8.3293529411764702</v>
      </c>
      <c r="I33" s="17">
        <f t="shared" si="2"/>
        <v>0.26985102636496877</v>
      </c>
      <c r="K33" s="123">
        <v>45717</v>
      </c>
      <c r="L33" s="126">
        <v>1195.93</v>
      </c>
      <c r="M33" s="99">
        <f t="shared" si="3"/>
        <v>0.76136363636373972</v>
      </c>
      <c r="N33" s="17">
        <f t="shared" ref="N33:N47" si="7">M33/$N$2</f>
        <v>0.88686022723617797</v>
      </c>
    </row>
    <row r="34" spans="1:14" x14ac:dyDescent="0.3">
      <c r="A34" s="123">
        <v>45748</v>
      </c>
      <c r="B34" s="125">
        <v>7.9438000000000004</v>
      </c>
      <c r="C34" s="99">
        <f t="shared" si="6"/>
        <v>3.5184804038292965</v>
      </c>
      <c r="D34" s="99">
        <f t="shared" si="0"/>
        <v>0.47058890403790687</v>
      </c>
      <c r="F34" s="123">
        <v>45748</v>
      </c>
      <c r="G34" s="17">
        <v>17.78</v>
      </c>
      <c r="H34" s="17">
        <f t="shared" si="1"/>
        <v>5.2813529411764719</v>
      </c>
      <c r="I34" s="17">
        <f t="shared" si="2"/>
        <v>0.17110314832820853</v>
      </c>
      <c r="K34" s="123">
        <v>45748</v>
      </c>
      <c r="L34" s="126">
        <f>AVERAGE(L32:L33)</f>
        <v>1196.0700000000002</v>
      </c>
      <c r="M34" s="99">
        <f t="shared" si="3"/>
        <v>0.90136363636383976</v>
      </c>
      <c r="N34" s="17">
        <f t="shared" si="7"/>
        <v>1.0499366152892533</v>
      </c>
    </row>
    <row r="35" spans="1:14" x14ac:dyDescent="0.3">
      <c r="A35" s="123">
        <v>45778</v>
      </c>
      <c r="B35" s="129">
        <v>3.6535000000000002</v>
      </c>
      <c r="C35" s="130">
        <f t="shared" si="6"/>
        <v>-0.77181959617070373</v>
      </c>
      <c r="D35" s="130">
        <f t="shared" si="0"/>
        <v>-0.1032291490046829</v>
      </c>
      <c r="F35" s="123">
        <v>45778</v>
      </c>
      <c r="G35" s="124">
        <v>-2.54</v>
      </c>
      <c r="H35" s="17">
        <f t="shared" si="1"/>
        <v>-15.038647058823528</v>
      </c>
      <c r="I35" s="17">
        <f t="shared" si="2"/>
        <v>-0.48721603858352686</v>
      </c>
      <c r="K35" s="123">
        <v>45778</v>
      </c>
      <c r="L35" s="17">
        <v>1196.3800000000001</v>
      </c>
      <c r="M35" s="99">
        <f t="shared" si="3"/>
        <v>1.2113636363637852</v>
      </c>
      <c r="N35" s="17">
        <f t="shared" si="7"/>
        <v>1.4110343316921696</v>
      </c>
    </row>
    <row r="36" spans="1:14" x14ac:dyDescent="0.3">
      <c r="A36" s="123">
        <v>45809</v>
      </c>
      <c r="B36" s="129">
        <v>0.20519999999999999</v>
      </c>
      <c r="C36" s="130">
        <f t="shared" si="6"/>
        <v>-4.2201195961707043</v>
      </c>
      <c r="D36" s="130">
        <f t="shared" si="0"/>
        <v>-0.56443158060777887</v>
      </c>
      <c r="F36" s="123">
        <v>45809</v>
      </c>
      <c r="G36" s="124">
        <v>2.54</v>
      </c>
      <c r="H36" s="17">
        <f t="shared" si="1"/>
        <v>-9.9586470588235301</v>
      </c>
      <c r="I36" s="17">
        <f t="shared" si="2"/>
        <v>-0.32263624185559309</v>
      </c>
      <c r="K36" s="123">
        <v>45809</v>
      </c>
      <c r="L36" s="17">
        <v>1196.19</v>
      </c>
      <c r="M36" s="99">
        <f t="shared" si="3"/>
        <v>1.0213636363637306</v>
      </c>
      <c r="N36" s="17">
        <f t="shared" si="7"/>
        <v>1.1897163764773764</v>
      </c>
    </row>
    <row r="37" spans="1:14" x14ac:dyDescent="0.3">
      <c r="A37" s="123">
        <v>45839</v>
      </c>
      <c r="B37" s="129">
        <v>0.32650000000000001</v>
      </c>
      <c r="C37" s="130">
        <f t="shared" si="6"/>
        <v>-4.0988195961707037</v>
      </c>
      <c r="D37" s="130">
        <f t="shared" si="0"/>
        <v>-0.54820797623650719</v>
      </c>
      <c r="F37" s="123">
        <v>45839</v>
      </c>
      <c r="G37" s="124">
        <v>0</v>
      </c>
      <c r="H37" s="17">
        <f t="shared" si="1"/>
        <v>-12.498647058823529</v>
      </c>
      <c r="I37" s="17">
        <f t="shared" si="2"/>
        <v>-0.40492614021955997</v>
      </c>
      <c r="K37" s="123">
        <v>45839</v>
      </c>
      <c r="L37" s="17">
        <v>1195.92</v>
      </c>
      <c r="M37" s="99">
        <f t="shared" si="3"/>
        <v>0.75136363636374881</v>
      </c>
      <c r="N37" s="17">
        <f t="shared" si="7"/>
        <v>0.87521191380383445</v>
      </c>
    </row>
    <row r="38" spans="1:14" x14ac:dyDescent="0.3">
      <c r="A38" s="131">
        <v>45870</v>
      </c>
      <c r="B38" s="132">
        <v>0.42499999999999999</v>
      </c>
      <c r="C38" s="133">
        <f t="shared" si="6"/>
        <v>-4.0003195961707041</v>
      </c>
      <c r="D38" s="133">
        <f t="shared" si="0"/>
        <v>-0.53503382099685148</v>
      </c>
      <c r="F38" s="123">
        <v>45870</v>
      </c>
      <c r="G38" s="124">
        <v>1.524</v>
      </c>
      <c r="H38" s="17">
        <f t="shared" si="1"/>
        <v>-10.974647058823528</v>
      </c>
      <c r="I38" s="17">
        <f t="shared" si="2"/>
        <v>-0.35555220120117975</v>
      </c>
      <c r="K38" s="123">
        <v>45870</v>
      </c>
      <c r="L38" s="17">
        <v>1195.8800000000001</v>
      </c>
      <c r="M38" s="99">
        <f t="shared" si="3"/>
        <v>0.71136363636378519</v>
      </c>
      <c r="N38" s="17">
        <f t="shared" si="7"/>
        <v>0.82861866007446006</v>
      </c>
    </row>
    <row r="39" spans="1:14" x14ac:dyDescent="0.3">
      <c r="A39" s="131">
        <v>45901</v>
      </c>
      <c r="B39" s="132">
        <v>0.41199999999999998</v>
      </c>
      <c r="C39" s="133">
        <f t="shared" si="6"/>
        <v>-4.013319596170704</v>
      </c>
      <c r="D39" s="133">
        <f t="shared" si="0"/>
        <v>-0.53677254199294822</v>
      </c>
      <c r="F39" s="123">
        <v>45901</v>
      </c>
      <c r="G39" s="124">
        <v>4.0640000000000001</v>
      </c>
      <c r="H39" s="17">
        <f t="shared" si="1"/>
        <v>-8.4346470588235292</v>
      </c>
      <c r="I39" s="17">
        <f t="shared" si="2"/>
        <v>-0.27326230283721287</v>
      </c>
      <c r="K39" s="123">
        <v>45901</v>
      </c>
      <c r="L39" s="17">
        <v>1195.69</v>
      </c>
      <c r="M39" s="99">
        <f t="shared" si="3"/>
        <v>0.52136363636373062</v>
      </c>
      <c r="N39" s="17">
        <f t="shared" si="7"/>
        <v>0.60730070485966692</v>
      </c>
    </row>
    <row r="40" spans="1:14" x14ac:dyDescent="0.3">
      <c r="A40" s="131">
        <v>45931</v>
      </c>
      <c r="B40" s="132">
        <v>0.53100000000000003</v>
      </c>
      <c r="C40" s="133">
        <f t="shared" si="6"/>
        <v>-3.8943195961707038</v>
      </c>
      <c r="D40" s="133">
        <f t="shared" si="0"/>
        <v>-0.52085655749021686</v>
      </c>
      <c r="F40" s="123">
        <v>45931</v>
      </c>
      <c r="G40" s="124">
        <v>-0.254</v>
      </c>
      <c r="H40" s="17">
        <f t="shared" si="1"/>
        <v>-12.752647058823529</v>
      </c>
      <c r="I40" s="17">
        <f t="shared" si="2"/>
        <v>-0.41315513005595661</v>
      </c>
      <c r="K40" s="123">
        <v>45931</v>
      </c>
      <c r="L40" s="17">
        <v>1195.73</v>
      </c>
      <c r="M40" s="99">
        <f t="shared" si="3"/>
        <v>0.56136363636369424</v>
      </c>
      <c r="N40" s="17">
        <f t="shared" si="7"/>
        <v>0.6538939585890412</v>
      </c>
    </row>
    <row r="41" spans="1:14" x14ac:dyDescent="0.3">
      <c r="A41" s="131">
        <v>45962</v>
      </c>
      <c r="B41" s="132">
        <v>2.496</v>
      </c>
      <c r="C41" s="133">
        <f t="shared" si="6"/>
        <v>-1.9293195961707039</v>
      </c>
      <c r="D41" s="133">
        <f t="shared" si="0"/>
        <v>-0.25804219154175434</v>
      </c>
      <c r="F41" s="123">
        <v>45962</v>
      </c>
      <c r="G41" s="124">
        <v>2.286</v>
      </c>
      <c r="H41" s="17">
        <f t="shared" si="1"/>
        <v>-10.21264705882353</v>
      </c>
      <c r="I41" s="17">
        <f t="shared" si="2"/>
        <v>-0.33086523169198973</v>
      </c>
      <c r="K41" s="123">
        <v>45962</v>
      </c>
      <c r="L41" s="17">
        <v>1195.93</v>
      </c>
      <c r="M41" s="99">
        <f t="shared" si="3"/>
        <v>0.76136363636373972</v>
      </c>
      <c r="N41" s="17">
        <f t="shared" si="7"/>
        <v>0.88686022723617797</v>
      </c>
    </row>
    <row r="42" spans="1:14" x14ac:dyDescent="0.3">
      <c r="A42" s="131">
        <v>45992</v>
      </c>
      <c r="B42" s="132">
        <v>8.1377000000000006</v>
      </c>
      <c r="C42" s="133">
        <f t="shared" si="6"/>
        <v>3.7123804038292967</v>
      </c>
      <c r="D42" s="133">
        <f t="shared" si="0"/>
        <v>0.4965225964335338</v>
      </c>
      <c r="F42" s="123">
        <v>45992</v>
      </c>
      <c r="G42" s="124">
        <v>70.611999999999995</v>
      </c>
      <c r="H42" s="17">
        <f t="shared" si="1"/>
        <v>58.113352941176466</v>
      </c>
      <c r="I42" s="17">
        <f t="shared" si="2"/>
        <v>1.8827330342987203</v>
      </c>
      <c r="K42" s="123">
        <v>45992</v>
      </c>
      <c r="L42" s="17">
        <v>1195.8499999999999</v>
      </c>
      <c r="M42" s="99">
        <f t="shared" si="3"/>
        <v>0.6813636363635851</v>
      </c>
      <c r="N42" s="17">
        <f t="shared" si="7"/>
        <v>0.79367371977716439</v>
      </c>
    </row>
    <row r="43" spans="1:14" x14ac:dyDescent="0.3">
      <c r="A43" s="131">
        <v>46023</v>
      </c>
      <c r="B43" s="132">
        <v>14.824</v>
      </c>
      <c r="C43" s="133">
        <f t="shared" si="6"/>
        <v>10.398680403829296</v>
      </c>
      <c r="D43" s="133">
        <f t="shared" si="0"/>
        <v>1.3908003038336381</v>
      </c>
      <c r="F43" s="123">
        <v>46023</v>
      </c>
      <c r="G43" s="124">
        <v>3.81</v>
      </c>
      <c r="H43" s="17">
        <f t="shared" si="1"/>
        <v>-8.6886470588235287</v>
      </c>
      <c r="I43" s="17">
        <f t="shared" si="2"/>
        <v>-0.28149129267360956</v>
      </c>
      <c r="K43" s="123">
        <v>46023</v>
      </c>
      <c r="L43" s="17">
        <v>1196.45</v>
      </c>
      <c r="M43" s="99">
        <f t="shared" si="3"/>
        <v>1.2813636363637215</v>
      </c>
      <c r="N43" s="17">
        <f t="shared" si="7"/>
        <v>1.4925725257185747</v>
      </c>
    </row>
    <row r="44" spans="1:14" x14ac:dyDescent="0.3">
      <c r="A44" s="131">
        <v>46054</v>
      </c>
      <c r="B44" s="132">
        <v>4.67828</v>
      </c>
      <c r="C44" s="133">
        <f t="shared" si="6"/>
        <v>0.25296040382929608</v>
      </c>
      <c r="D44" s="133">
        <f t="shared" si="0"/>
        <v>3.3832889639930523E-2</v>
      </c>
      <c r="F44" s="123">
        <v>46054</v>
      </c>
      <c r="G44" s="124">
        <v>-2.54</v>
      </c>
      <c r="H44" s="17">
        <f t="shared" si="1"/>
        <v>-15.038647058823528</v>
      </c>
      <c r="I44" s="17">
        <f t="shared" si="2"/>
        <v>-0.48721603858352686</v>
      </c>
      <c r="K44" s="123">
        <v>46054</v>
      </c>
      <c r="L44" s="17">
        <v>1196.29</v>
      </c>
      <c r="M44" s="99">
        <f t="shared" si="3"/>
        <v>1.1213636363636397</v>
      </c>
      <c r="N44" s="17">
        <f t="shared" si="7"/>
        <v>1.3061995108008124</v>
      </c>
    </row>
    <row r="45" spans="1:14" x14ac:dyDescent="0.3">
      <c r="A45" s="131">
        <v>46082</v>
      </c>
      <c r="B45" s="132">
        <v>2.6524399999999999</v>
      </c>
      <c r="C45" s="133">
        <f t="shared" si="6"/>
        <v>-1.772879596170704</v>
      </c>
      <c r="D45" s="133">
        <f t="shared" si="0"/>
        <v>-0.23711869057026458</v>
      </c>
      <c r="F45" s="123">
        <v>46082</v>
      </c>
      <c r="G45" s="124">
        <v>-1.016</v>
      </c>
      <c r="H45" s="17">
        <f t="shared" si="1"/>
        <v>-13.514647058823529</v>
      </c>
      <c r="I45" s="17">
        <f t="shared" si="2"/>
        <v>-0.43784209956514675</v>
      </c>
      <c r="K45" s="123">
        <v>46082</v>
      </c>
      <c r="L45" s="17">
        <v>1196.21</v>
      </c>
      <c r="M45" s="99">
        <f t="shared" si="3"/>
        <v>1.0413636363637124</v>
      </c>
      <c r="N45" s="17">
        <f t="shared" si="7"/>
        <v>1.2130130033420636</v>
      </c>
    </row>
    <row r="46" spans="1:14" x14ac:dyDescent="0.3">
      <c r="A46" s="131">
        <v>46113</v>
      </c>
      <c r="B46" s="132">
        <v>2.1696517200000001</v>
      </c>
      <c r="C46" s="133">
        <f t="shared" si="6"/>
        <v>-2.2556678761707039</v>
      </c>
      <c r="D46" s="133">
        <f t="shared" si="0"/>
        <v>-0.30169054588606548</v>
      </c>
      <c r="F46" s="123">
        <v>46113</v>
      </c>
      <c r="G46" s="134"/>
      <c r="H46" s="134"/>
      <c r="I46" s="134"/>
      <c r="K46" s="123">
        <v>46113</v>
      </c>
      <c r="L46" s="17">
        <v>1196.03</v>
      </c>
      <c r="M46" s="99">
        <f t="shared" si="3"/>
        <v>0.86136363636364877</v>
      </c>
      <c r="N46" s="17">
        <f t="shared" si="7"/>
        <v>1.0033433615596139</v>
      </c>
    </row>
    <row r="47" spans="1:14" x14ac:dyDescent="0.3">
      <c r="A47" s="131">
        <v>46143</v>
      </c>
      <c r="B47" s="134"/>
      <c r="C47" s="134"/>
      <c r="D47" s="134"/>
      <c r="F47" s="123">
        <v>46143</v>
      </c>
      <c r="G47" s="134"/>
      <c r="H47" s="134"/>
      <c r="I47" s="134"/>
      <c r="K47" s="123">
        <v>46143</v>
      </c>
      <c r="L47" s="17">
        <v>1195.93</v>
      </c>
      <c r="M47" s="99">
        <f t="shared" si="3"/>
        <v>0.76136363636373972</v>
      </c>
      <c r="N47" s="17">
        <f t="shared" si="7"/>
        <v>0.88686022723617797</v>
      </c>
    </row>
    <row r="48" spans="1:14" x14ac:dyDescent="0.3">
      <c r="A48" s="135"/>
      <c r="B48" s="124"/>
    </row>
    <row r="49" spans="1:2" x14ac:dyDescent="0.3">
      <c r="A49" s="135"/>
      <c r="B49" s="124"/>
    </row>
    <row r="50" spans="1:2" x14ac:dyDescent="0.3">
      <c r="A50" s="135"/>
      <c r="B50" s="124"/>
    </row>
    <row r="51" spans="1:2" x14ac:dyDescent="0.3">
      <c r="A51" s="135"/>
      <c r="B51" s="124"/>
    </row>
    <row r="52" spans="1:2" x14ac:dyDescent="0.3">
      <c r="A52" s="135"/>
      <c r="B52" s="124"/>
    </row>
    <row r="53" spans="1:2" x14ac:dyDescent="0.3">
      <c r="A53" s="135"/>
      <c r="B53" s="124"/>
    </row>
    <row r="54" spans="1:2" x14ac:dyDescent="0.3">
      <c r="A54" s="135"/>
      <c r="B54" s="124"/>
    </row>
    <row r="55" spans="1:2" x14ac:dyDescent="0.3">
      <c r="A55" s="135"/>
      <c r="B55" s="124"/>
    </row>
    <row r="56" spans="1:2" x14ac:dyDescent="0.3">
      <c r="A56" s="135"/>
      <c r="B56" s="124"/>
    </row>
    <row r="57" spans="1:2" x14ac:dyDescent="0.3">
      <c r="A57" s="135"/>
      <c r="B57" s="124"/>
    </row>
    <row r="58" spans="1:2" x14ac:dyDescent="0.3">
      <c r="A58" s="135"/>
      <c r="B58" s="124"/>
    </row>
    <row r="59" spans="1:2" x14ac:dyDescent="0.3">
      <c r="A59" s="135"/>
      <c r="B59" s="124"/>
    </row>
    <row r="60" spans="1:2" x14ac:dyDescent="0.3">
      <c r="A60" s="135"/>
      <c r="B60" s="124"/>
    </row>
    <row r="61" spans="1:2" x14ac:dyDescent="0.3">
      <c r="A61" s="135"/>
      <c r="B61" s="124"/>
    </row>
    <row r="62" spans="1:2" x14ac:dyDescent="0.3">
      <c r="A62" s="135"/>
      <c r="B62" s="124"/>
    </row>
    <row r="63" spans="1:2" x14ac:dyDescent="0.3">
      <c r="A63" s="135"/>
      <c r="B63" s="124"/>
    </row>
    <row r="64" spans="1:2" x14ac:dyDescent="0.3">
      <c r="A64" s="135"/>
      <c r="B64" s="124"/>
    </row>
    <row r="65" spans="1:2" x14ac:dyDescent="0.3">
      <c r="A65" s="135"/>
      <c r="B65" s="124"/>
    </row>
    <row r="66" spans="1:2" x14ac:dyDescent="0.3">
      <c r="A66" s="135"/>
      <c r="B66" s="124"/>
    </row>
    <row r="67" spans="1:2" x14ac:dyDescent="0.3">
      <c r="A67" s="135"/>
      <c r="B67" s="124"/>
    </row>
    <row r="68" spans="1:2" x14ac:dyDescent="0.3">
      <c r="A68" s="135"/>
      <c r="B68" s="124"/>
    </row>
    <row r="69" spans="1:2" x14ac:dyDescent="0.3">
      <c r="A69" s="135"/>
      <c r="B69" s="124"/>
    </row>
    <row r="70" spans="1:2" x14ac:dyDescent="0.3">
      <c r="A70" s="135"/>
      <c r="B70" s="124"/>
    </row>
    <row r="71" spans="1:2" x14ac:dyDescent="0.3">
      <c r="A71" s="135"/>
      <c r="B71" s="124"/>
    </row>
    <row r="72" spans="1:2" x14ac:dyDescent="0.3">
      <c r="A72" s="135"/>
      <c r="B72" s="124"/>
    </row>
    <row r="73" spans="1:2" x14ac:dyDescent="0.3">
      <c r="A73" s="135"/>
      <c r="B73" s="124"/>
    </row>
    <row r="74" spans="1:2" x14ac:dyDescent="0.3">
      <c r="A74" s="135"/>
      <c r="B74" s="124"/>
    </row>
    <row r="75" spans="1:2" x14ac:dyDescent="0.3">
      <c r="A75" s="135"/>
      <c r="B75" s="124"/>
    </row>
    <row r="76" spans="1:2" x14ac:dyDescent="0.3">
      <c r="A76" s="135"/>
      <c r="B76" s="124"/>
    </row>
    <row r="77" spans="1:2" x14ac:dyDescent="0.3">
      <c r="A77" s="135"/>
      <c r="B77" s="124"/>
    </row>
    <row r="78" spans="1:2" x14ac:dyDescent="0.3">
      <c r="A78" s="135"/>
      <c r="B78" s="124"/>
    </row>
    <row r="79" spans="1:2" x14ac:dyDescent="0.3">
      <c r="A79" s="135"/>
      <c r="B79" s="124"/>
    </row>
    <row r="80" spans="1:2" x14ac:dyDescent="0.3">
      <c r="A80" s="135"/>
      <c r="B80" s="124"/>
    </row>
    <row r="81" spans="1:2" x14ac:dyDescent="0.3">
      <c r="A81" s="135"/>
      <c r="B81" s="124"/>
    </row>
    <row r="82" spans="1:2" x14ac:dyDescent="0.3">
      <c r="A82" s="135"/>
      <c r="B82" s="124"/>
    </row>
    <row r="83" spans="1:2" x14ac:dyDescent="0.3">
      <c r="A83" s="135"/>
      <c r="B83" s="124"/>
    </row>
    <row r="84" spans="1:2" x14ac:dyDescent="0.3">
      <c r="A84" s="135"/>
      <c r="B84" s="124"/>
    </row>
    <row r="85" spans="1:2" x14ac:dyDescent="0.3">
      <c r="A85" s="135"/>
      <c r="B85" s="124"/>
    </row>
    <row r="86" spans="1:2" x14ac:dyDescent="0.3">
      <c r="A86" s="135"/>
      <c r="B86" s="124"/>
    </row>
    <row r="87" spans="1:2" x14ac:dyDescent="0.3">
      <c r="A87" s="135"/>
      <c r="B87" s="124"/>
    </row>
    <row r="88" spans="1:2" x14ac:dyDescent="0.3">
      <c r="A88" s="135"/>
      <c r="B88" s="124"/>
    </row>
    <row r="89" spans="1:2" x14ac:dyDescent="0.3">
      <c r="A89" s="135"/>
      <c r="B89" s="124"/>
    </row>
    <row r="90" spans="1:2" x14ac:dyDescent="0.3">
      <c r="A90" s="135"/>
      <c r="B90" s="124"/>
    </row>
    <row r="91" spans="1:2" x14ac:dyDescent="0.3">
      <c r="A91" s="135"/>
      <c r="B91" s="124"/>
    </row>
    <row r="92" spans="1:2" x14ac:dyDescent="0.3">
      <c r="A92" s="135"/>
      <c r="B92" s="124"/>
    </row>
    <row r="93" spans="1:2" x14ac:dyDescent="0.3">
      <c r="A93" s="135"/>
      <c r="B93" s="124"/>
    </row>
    <row r="94" spans="1:2" x14ac:dyDescent="0.3">
      <c r="A94" s="135"/>
      <c r="B94" s="124"/>
    </row>
    <row r="95" spans="1:2" x14ac:dyDescent="0.3">
      <c r="A95" s="135"/>
      <c r="B95" s="124"/>
    </row>
    <row r="96" spans="1:2" x14ac:dyDescent="0.3">
      <c r="A96" s="135"/>
      <c r="B96" s="124"/>
    </row>
    <row r="97" spans="1:2" x14ac:dyDescent="0.3">
      <c r="A97" s="135"/>
      <c r="B97" s="124"/>
    </row>
    <row r="98" spans="1:2" x14ac:dyDescent="0.3">
      <c r="A98" s="135"/>
      <c r="B98" s="124"/>
    </row>
    <row r="99" spans="1:2" x14ac:dyDescent="0.3">
      <c r="A99" s="135"/>
      <c r="B99" s="124"/>
    </row>
    <row r="100" spans="1:2" x14ac:dyDescent="0.3">
      <c r="A100" s="135"/>
      <c r="B100" s="124"/>
    </row>
    <row r="101" spans="1:2" x14ac:dyDescent="0.3">
      <c r="A101" s="135"/>
      <c r="B101" s="124"/>
    </row>
    <row r="102" spans="1:2" x14ac:dyDescent="0.3">
      <c r="A102" s="135"/>
      <c r="B102" s="124"/>
    </row>
    <row r="103" spans="1:2" x14ac:dyDescent="0.3">
      <c r="A103" s="135"/>
      <c r="B103" s="124"/>
    </row>
    <row r="104" spans="1:2" x14ac:dyDescent="0.3">
      <c r="A104" s="135"/>
      <c r="B104" s="124"/>
    </row>
    <row r="105" spans="1:2" x14ac:dyDescent="0.3">
      <c r="A105" s="135"/>
      <c r="B105" s="124"/>
    </row>
    <row r="106" spans="1:2" x14ac:dyDescent="0.3">
      <c r="A106" s="135"/>
      <c r="B106" s="124"/>
    </row>
    <row r="107" spans="1:2" x14ac:dyDescent="0.3">
      <c r="A107" s="135"/>
      <c r="B107" s="124"/>
    </row>
    <row r="108" spans="1:2" x14ac:dyDescent="0.3">
      <c r="A108" s="135"/>
      <c r="B108" s="124"/>
    </row>
    <row r="109" spans="1:2" x14ac:dyDescent="0.3">
      <c r="A109" s="135"/>
      <c r="B109" s="124"/>
    </row>
    <row r="110" spans="1:2" x14ac:dyDescent="0.3">
      <c r="A110" s="135"/>
      <c r="B110" s="124"/>
    </row>
    <row r="111" spans="1:2" x14ac:dyDescent="0.3">
      <c r="A111" s="135"/>
      <c r="B111" s="124"/>
    </row>
    <row r="112" spans="1:2" x14ac:dyDescent="0.3">
      <c r="A112" s="135"/>
      <c r="B112" s="124"/>
    </row>
    <row r="113" spans="1:2" x14ac:dyDescent="0.3">
      <c r="A113" s="135"/>
      <c r="B113" s="124"/>
    </row>
    <row r="114" spans="1:2" x14ac:dyDescent="0.3">
      <c r="A114" s="135"/>
      <c r="B114" s="124"/>
    </row>
    <row r="115" spans="1:2" x14ac:dyDescent="0.3">
      <c r="A115" s="135"/>
      <c r="B115" s="124"/>
    </row>
    <row r="116" spans="1:2" x14ac:dyDescent="0.3">
      <c r="A116" s="135"/>
      <c r="B116" s="124"/>
    </row>
    <row r="117" spans="1:2" x14ac:dyDescent="0.3">
      <c r="A117" s="135"/>
      <c r="B117" s="124"/>
    </row>
    <row r="118" spans="1:2" x14ac:dyDescent="0.3">
      <c r="A118" s="135"/>
      <c r="B118" s="124"/>
    </row>
    <row r="119" spans="1:2" x14ac:dyDescent="0.3">
      <c r="A119" s="135"/>
      <c r="B119" s="124"/>
    </row>
    <row r="120" spans="1:2" x14ac:dyDescent="0.3">
      <c r="A120" s="135"/>
      <c r="B120" s="124"/>
    </row>
    <row r="121" spans="1:2" x14ac:dyDescent="0.3">
      <c r="A121" s="135"/>
      <c r="B121" s="124"/>
    </row>
    <row r="122" spans="1:2" x14ac:dyDescent="0.3">
      <c r="A122" s="135"/>
      <c r="B122" s="124"/>
    </row>
    <row r="123" spans="1:2" x14ac:dyDescent="0.3">
      <c r="A123" s="135"/>
      <c r="B123" s="124"/>
    </row>
    <row r="124" spans="1:2" x14ac:dyDescent="0.3">
      <c r="A124" s="135"/>
      <c r="B124" s="124"/>
    </row>
    <row r="125" spans="1:2" x14ac:dyDescent="0.3">
      <c r="A125" s="135"/>
      <c r="B125" s="124"/>
    </row>
    <row r="126" spans="1:2" x14ac:dyDescent="0.3">
      <c r="A126" s="135"/>
      <c r="B126" s="124"/>
    </row>
    <row r="127" spans="1:2" x14ac:dyDescent="0.3">
      <c r="A127" s="135"/>
      <c r="B127" s="124"/>
    </row>
    <row r="128" spans="1:2" x14ac:dyDescent="0.3">
      <c r="A128" s="135"/>
      <c r="B128" s="124"/>
    </row>
    <row r="129" spans="1:2" x14ac:dyDescent="0.3">
      <c r="A129" s="135"/>
      <c r="B129" s="124"/>
    </row>
    <row r="130" spans="1:2" x14ac:dyDescent="0.3">
      <c r="A130" s="135"/>
      <c r="B130" s="124"/>
    </row>
    <row r="131" spans="1:2" x14ac:dyDescent="0.3">
      <c r="A131" s="135"/>
      <c r="B131" s="124"/>
    </row>
    <row r="132" spans="1:2" x14ac:dyDescent="0.3">
      <c r="A132" s="135"/>
      <c r="B132" s="124"/>
    </row>
    <row r="133" spans="1:2" x14ac:dyDescent="0.3">
      <c r="A133" s="135"/>
      <c r="B133" s="124"/>
    </row>
    <row r="134" spans="1:2" x14ac:dyDescent="0.3">
      <c r="A134" s="135"/>
      <c r="B134" s="124"/>
    </row>
    <row r="135" spans="1:2" x14ac:dyDescent="0.3">
      <c r="A135" s="135"/>
      <c r="B135" s="124"/>
    </row>
    <row r="136" spans="1:2" x14ac:dyDescent="0.3">
      <c r="A136" s="135"/>
      <c r="B136" s="124"/>
    </row>
    <row r="137" spans="1:2" x14ac:dyDescent="0.3">
      <c r="A137" s="135"/>
      <c r="B137" s="124"/>
    </row>
    <row r="138" spans="1:2" x14ac:dyDescent="0.3">
      <c r="A138" s="135"/>
      <c r="B138" s="124"/>
    </row>
    <row r="139" spans="1:2" x14ac:dyDescent="0.3">
      <c r="A139" s="135"/>
      <c r="B139" s="124"/>
    </row>
    <row r="140" spans="1:2" x14ac:dyDescent="0.3">
      <c r="A140" s="135"/>
      <c r="B140" s="124"/>
    </row>
    <row r="141" spans="1:2" x14ac:dyDescent="0.3">
      <c r="A141" s="135"/>
      <c r="B141" s="124"/>
    </row>
    <row r="142" spans="1:2" x14ac:dyDescent="0.3">
      <c r="A142" s="135"/>
      <c r="B142" s="124"/>
    </row>
    <row r="143" spans="1:2" x14ac:dyDescent="0.3">
      <c r="A143" s="135"/>
      <c r="B143" s="124"/>
    </row>
    <row r="144" spans="1:2" x14ac:dyDescent="0.3">
      <c r="A144" s="135"/>
      <c r="B144" s="124"/>
    </row>
    <row r="145" spans="1:2" x14ac:dyDescent="0.3">
      <c r="A145" s="135"/>
      <c r="B145" s="124"/>
    </row>
    <row r="146" spans="1:2" x14ac:dyDescent="0.3">
      <c r="A146" s="135"/>
      <c r="B146" s="124"/>
    </row>
    <row r="147" spans="1:2" x14ac:dyDescent="0.3">
      <c r="A147" s="135"/>
      <c r="B147" s="124"/>
    </row>
    <row r="148" spans="1:2" x14ac:dyDescent="0.3">
      <c r="A148" s="135"/>
      <c r="B148" s="124"/>
    </row>
    <row r="149" spans="1:2" x14ac:dyDescent="0.3">
      <c r="A149" s="135"/>
      <c r="B149" s="124"/>
    </row>
    <row r="150" spans="1:2" x14ac:dyDescent="0.3">
      <c r="A150" s="135"/>
      <c r="B150" s="124"/>
    </row>
    <row r="151" spans="1:2" x14ac:dyDescent="0.3">
      <c r="A151" s="135"/>
      <c r="B151" s="124"/>
    </row>
    <row r="152" spans="1:2" x14ac:dyDescent="0.3">
      <c r="A152" s="135"/>
      <c r="B152" s="124"/>
    </row>
    <row r="153" spans="1:2" x14ac:dyDescent="0.3">
      <c r="A153" s="135"/>
      <c r="B153" s="124"/>
    </row>
    <row r="154" spans="1:2" x14ac:dyDescent="0.3">
      <c r="A154" s="135"/>
      <c r="B154" s="124"/>
    </row>
    <row r="155" spans="1:2" x14ac:dyDescent="0.3">
      <c r="A155" s="135"/>
      <c r="B155" s="124"/>
    </row>
    <row r="156" spans="1:2" x14ac:dyDescent="0.3">
      <c r="A156" s="135"/>
      <c r="B156" s="124"/>
    </row>
    <row r="157" spans="1:2" x14ac:dyDescent="0.3">
      <c r="A157" s="135"/>
      <c r="B157" s="124"/>
    </row>
    <row r="158" spans="1:2" x14ac:dyDescent="0.3">
      <c r="A158" s="135"/>
      <c r="B158" s="124"/>
    </row>
    <row r="159" spans="1:2" x14ac:dyDescent="0.3">
      <c r="A159" s="135"/>
      <c r="B159" s="124"/>
    </row>
    <row r="160" spans="1:2" x14ac:dyDescent="0.3">
      <c r="A160" s="135"/>
      <c r="B160" s="124"/>
    </row>
    <row r="161" spans="1:2" x14ac:dyDescent="0.3">
      <c r="A161" s="135"/>
      <c r="B161" s="124"/>
    </row>
    <row r="162" spans="1:2" x14ac:dyDescent="0.3">
      <c r="A162" s="135"/>
      <c r="B162" s="124"/>
    </row>
    <row r="163" spans="1:2" x14ac:dyDescent="0.3">
      <c r="A163" s="135"/>
      <c r="B163" s="124"/>
    </row>
    <row r="164" spans="1:2" x14ac:dyDescent="0.3">
      <c r="A164" s="135"/>
      <c r="B164" s="124"/>
    </row>
    <row r="165" spans="1:2" x14ac:dyDescent="0.3">
      <c r="A165" s="135"/>
      <c r="B165" s="124"/>
    </row>
    <row r="166" spans="1:2" x14ac:dyDescent="0.3">
      <c r="A166" s="135"/>
      <c r="B166" s="124"/>
    </row>
    <row r="167" spans="1:2" x14ac:dyDescent="0.3">
      <c r="A167" s="135"/>
      <c r="B167" s="124"/>
    </row>
    <row r="168" spans="1:2" x14ac:dyDescent="0.3">
      <c r="A168" s="135"/>
      <c r="B168" s="124"/>
    </row>
    <row r="169" spans="1:2" x14ac:dyDescent="0.3">
      <c r="A169" s="135"/>
      <c r="B169" s="124"/>
    </row>
    <row r="170" spans="1:2" x14ac:dyDescent="0.3">
      <c r="A170" s="135"/>
      <c r="B170" s="124"/>
    </row>
    <row r="171" spans="1:2" x14ac:dyDescent="0.3">
      <c r="A171" s="135"/>
      <c r="B171" s="124"/>
    </row>
    <row r="172" spans="1:2" x14ac:dyDescent="0.3">
      <c r="A172" s="135"/>
      <c r="B172" s="124"/>
    </row>
    <row r="173" spans="1:2" x14ac:dyDescent="0.3">
      <c r="A173" s="135"/>
      <c r="B173" s="124"/>
    </row>
    <row r="174" spans="1:2" x14ac:dyDescent="0.3">
      <c r="A174" s="135"/>
      <c r="B174" s="124"/>
    </row>
    <row r="175" spans="1:2" x14ac:dyDescent="0.3">
      <c r="A175" s="135"/>
      <c r="B175" s="124"/>
    </row>
    <row r="176" spans="1:2" x14ac:dyDescent="0.3">
      <c r="A176" s="135"/>
      <c r="B176" s="124"/>
    </row>
    <row r="177" spans="1:2" x14ac:dyDescent="0.3">
      <c r="A177" s="135"/>
      <c r="B177" s="124"/>
    </row>
    <row r="178" spans="1:2" x14ac:dyDescent="0.3">
      <c r="A178" s="135"/>
      <c r="B178" s="124"/>
    </row>
    <row r="179" spans="1:2" x14ac:dyDescent="0.3">
      <c r="A179" s="135"/>
      <c r="B179" s="124"/>
    </row>
    <row r="180" spans="1:2" x14ac:dyDescent="0.3">
      <c r="A180" s="135"/>
      <c r="B180" s="124"/>
    </row>
    <row r="181" spans="1:2" x14ac:dyDescent="0.3">
      <c r="A181" s="135"/>
      <c r="B181" s="124"/>
    </row>
    <row r="182" spans="1:2" x14ac:dyDescent="0.3">
      <c r="A182" s="135"/>
      <c r="B182" s="124"/>
    </row>
    <row r="183" spans="1:2" x14ac:dyDescent="0.3">
      <c r="A183" s="135"/>
      <c r="B183" s="124"/>
    </row>
    <row r="184" spans="1:2" x14ac:dyDescent="0.3">
      <c r="A184" s="135"/>
      <c r="B184" s="124"/>
    </row>
    <row r="185" spans="1:2" x14ac:dyDescent="0.3">
      <c r="A185" s="135"/>
      <c r="B185" s="124"/>
    </row>
    <row r="186" spans="1:2" x14ac:dyDescent="0.3">
      <c r="A186" s="135"/>
      <c r="B186" s="124"/>
    </row>
    <row r="187" spans="1:2" x14ac:dyDescent="0.3">
      <c r="A187" s="135"/>
      <c r="B187" s="124"/>
    </row>
    <row r="188" spans="1:2" x14ac:dyDescent="0.3">
      <c r="A188" s="135"/>
      <c r="B188" s="124"/>
    </row>
    <row r="189" spans="1:2" x14ac:dyDescent="0.3">
      <c r="A189" s="135"/>
      <c r="B189" s="124"/>
    </row>
    <row r="190" spans="1:2" x14ac:dyDescent="0.3">
      <c r="A190" s="135"/>
      <c r="B190" s="124"/>
    </row>
    <row r="191" spans="1:2" x14ac:dyDescent="0.3">
      <c r="A191" s="135"/>
      <c r="B191" s="124"/>
    </row>
    <row r="192" spans="1:2" x14ac:dyDescent="0.3">
      <c r="A192" s="135"/>
      <c r="B192" s="124"/>
    </row>
    <row r="193" spans="1:2" x14ac:dyDescent="0.3">
      <c r="A193" s="135"/>
      <c r="B193" s="124"/>
    </row>
    <row r="194" spans="1:2" x14ac:dyDescent="0.3">
      <c r="A194" s="135"/>
      <c r="B194" s="124"/>
    </row>
    <row r="195" spans="1:2" x14ac:dyDescent="0.3">
      <c r="A195" s="135"/>
      <c r="B195" s="124"/>
    </row>
    <row r="196" spans="1:2" x14ac:dyDescent="0.3">
      <c r="A196" s="135"/>
      <c r="B196" s="124"/>
    </row>
    <row r="197" spans="1:2" x14ac:dyDescent="0.3">
      <c r="A197" s="135"/>
      <c r="B197" s="124"/>
    </row>
    <row r="198" spans="1:2" x14ac:dyDescent="0.3">
      <c r="A198" s="135"/>
      <c r="B198" s="124"/>
    </row>
    <row r="199" spans="1:2" x14ac:dyDescent="0.3">
      <c r="A199" s="135"/>
      <c r="B199" s="124"/>
    </row>
    <row r="200" spans="1:2" x14ac:dyDescent="0.3">
      <c r="A200" s="135"/>
      <c r="B200" s="124"/>
    </row>
    <row r="201" spans="1:2" x14ac:dyDescent="0.3">
      <c r="A201" s="135"/>
      <c r="B201" s="124"/>
    </row>
    <row r="202" spans="1:2" x14ac:dyDescent="0.3">
      <c r="A202" s="135"/>
      <c r="B202" s="124"/>
    </row>
    <row r="203" spans="1:2" x14ac:dyDescent="0.3">
      <c r="A203" s="135"/>
      <c r="B203" s="124"/>
    </row>
    <row r="204" spans="1:2" x14ac:dyDescent="0.3">
      <c r="A204" s="135"/>
      <c r="B204" s="124"/>
    </row>
    <row r="205" spans="1:2" x14ac:dyDescent="0.3">
      <c r="A205" s="135"/>
      <c r="B205" s="124"/>
    </row>
    <row r="206" spans="1:2" x14ac:dyDescent="0.3">
      <c r="A206" s="135"/>
      <c r="B206" s="124"/>
    </row>
    <row r="207" spans="1:2" x14ac:dyDescent="0.3">
      <c r="A207" s="135"/>
      <c r="B207" s="124"/>
    </row>
    <row r="208" spans="1:2" x14ac:dyDescent="0.3">
      <c r="A208" s="135"/>
      <c r="B208" s="124"/>
    </row>
    <row r="209" spans="1:2" x14ac:dyDescent="0.3">
      <c r="A209" s="135"/>
      <c r="B209" s="124"/>
    </row>
    <row r="210" spans="1:2" x14ac:dyDescent="0.3">
      <c r="A210" s="135"/>
      <c r="B210" s="124"/>
    </row>
    <row r="211" spans="1:2" x14ac:dyDescent="0.3">
      <c r="A211" s="135"/>
      <c r="B211" s="124"/>
    </row>
    <row r="212" spans="1:2" x14ac:dyDescent="0.3">
      <c r="A212" s="135"/>
      <c r="B212" s="124"/>
    </row>
    <row r="213" spans="1:2" x14ac:dyDescent="0.3">
      <c r="A213" s="135"/>
      <c r="B213" s="124"/>
    </row>
    <row r="214" spans="1:2" x14ac:dyDescent="0.3">
      <c r="A214" s="135"/>
      <c r="B214" s="124"/>
    </row>
    <row r="215" spans="1:2" x14ac:dyDescent="0.3">
      <c r="A215" s="135"/>
      <c r="B215" s="124"/>
    </row>
    <row r="216" spans="1:2" x14ac:dyDescent="0.3">
      <c r="A216" s="135"/>
      <c r="B216" s="124"/>
    </row>
    <row r="217" spans="1:2" x14ac:dyDescent="0.3">
      <c r="A217" s="135"/>
      <c r="B217" s="124"/>
    </row>
    <row r="218" spans="1:2" x14ac:dyDescent="0.3">
      <c r="A218" s="135"/>
      <c r="B218" s="124"/>
    </row>
    <row r="219" spans="1:2" x14ac:dyDescent="0.3">
      <c r="A219" s="135"/>
      <c r="B219" s="124"/>
    </row>
    <row r="220" spans="1:2" x14ac:dyDescent="0.3">
      <c r="A220" s="135"/>
      <c r="B220" s="124"/>
    </row>
    <row r="221" spans="1:2" x14ac:dyDescent="0.3">
      <c r="A221" s="135"/>
      <c r="B221" s="124"/>
    </row>
    <row r="222" spans="1:2" x14ac:dyDescent="0.3">
      <c r="A222" s="135"/>
      <c r="B222" s="124"/>
    </row>
    <row r="223" spans="1:2" x14ac:dyDescent="0.3">
      <c r="A223" s="135"/>
      <c r="B223" s="124"/>
    </row>
    <row r="224" spans="1:2" x14ac:dyDescent="0.3">
      <c r="A224" s="135"/>
      <c r="B224" s="124"/>
    </row>
    <row r="225" spans="1:2" x14ac:dyDescent="0.3">
      <c r="A225" s="135"/>
      <c r="B225" s="124"/>
    </row>
    <row r="226" spans="1:2" x14ac:dyDescent="0.3">
      <c r="A226" s="135"/>
      <c r="B226" s="124"/>
    </row>
    <row r="227" spans="1:2" x14ac:dyDescent="0.3">
      <c r="A227" s="135"/>
      <c r="B227" s="124"/>
    </row>
    <row r="228" spans="1:2" x14ac:dyDescent="0.3">
      <c r="A228" s="135"/>
      <c r="B228" s="124"/>
    </row>
    <row r="229" spans="1:2" x14ac:dyDescent="0.3">
      <c r="A229" s="135"/>
      <c r="B229" s="124"/>
    </row>
    <row r="230" spans="1:2" x14ac:dyDescent="0.3">
      <c r="A230" s="135"/>
      <c r="B230" s="124"/>
    </row>
    <row r="231" spans="1:2" x14ac:dyDescent="0.3">
      <c r="A231" s="135"/>
      <c r="B231" s="124"/>
    </row>
    <row r="232" spans="1:2" x14ac:dyDescent="0.3">
      <c r="A232" s="135"/>
      <c r="B232" s="124"/>
    </row>
    <row r="233" spans="1:2" x14ac:dyDescent="0.3">
      <c r="A233" s="135"/>
      <c r="B233" s="124"/>
    </row>
    <row r="234" spans="1:2" x14ac:dyDescent="0.3">
      <c r="A234" s="135"/>
      <c r="B234" s="124"/>
    </row>
    <row r="235" spans="1:2" x14ac:dyDescent="0.3">
      <c r="A235" s="135"/>
      <c r="B235" s="124"/>
    </row>
    <row r="236" spans="1:2" x14ac:dyDescent="0.3">
      <c r="A236" s="135"/>
      <c r="B236" s="124"/>
    </row>
    <row r="237" spans="1:2" x14ac:dyDescent="0.3">
      <c r="A237" s="135"/>
      <c r="B237" s="124"/>
    </row>
    <row r="238" spans="1:2" x14ac:dyDescent="0.3">
      <c r="A238" s="135"/>
      <c r="B238" s="124"/>
    </row>
    <row r="239" spans="1:2" x14ac:dyDescent="0.3">
      <c r="A239" s="135"/>
      <c r="B239" s="124"/>
    </row>
    <row r="240" spans="1:2" x14ac:dyDescent="0.3">
      <c r="A240" s="135"/>
      <c r="B240" s="124"/>
    </row>
    <row r="241" spans="1:2" x14ac:dyDescent="0.3">
      <c r="A241" s="135"/>
      <c r="B241" s="124"/>
    </row>
    <row r="242" spans="1:2" x14ac:dyDescent="0.3">
      <c r="A242" s="135"/>
      <c r="B242" s="124"/>
    </row>
    <row r="243" spans="1:2" x14ac:dyDescent="0.3">
      <c r="A243" s="135"/>
      <c r="B243" s="124"/>
    </row>
    <row r="244" spans="1:2" x14ac:dyDescent="0.3">
      <c r="A244" s="135"/>
      <c r="B244" s="124"/>
    </row>
    <row r="245" spans="1:2" x14ac:dyDescent="0.3">
      <c r="A245" s="135"/>
      <c r="B245" s="124"/>
    </row>
    <row r="246" spans="1:2" x14ac:dyDescent="0.3">
      <c r="A246" s="135"/>
      <c r="B246" s="124"/>
    </row>
    <row r="247" spans="1:2" x14ac:dyDescent="0.3">
      <c r="A247" s="135"/>
      <c r="B247" s="124"/>
    </row>
    <row r="248" spans="1:2" x14ac:dyDescent="0.3">
      <c r="A248" s="135"/>
      <c r="B248" s="124"/>
    </row>
    <row r="249" spans="1:2" x14ac:dyDescent="0.3">
      <c r="A249" s="135"/>
      <c r="B249" s="124"/>
    </row>
    <row r="250" spans="1:2" x14ac:dyDescent="0.3">
      <c r="A250" s="135"/>
      <c r="B250" s="124"/>
    </row>
    <row r="251" spans="1:2" x14ac:dyDescent="0.3">
      <c r="A251" s="135"/>
      <c r="B251" s="124"/>
    </row>
    <row r="252" spans="1:2" x14ac:dyDescent="0.3">
      <c r="A252" s="135"/>
      <c r="B252" s="124"/>
    </row>
    <row r="253" spans="1:2" x14ac:dyDescent="0.3">
      <c r="A253" s="135"/>
      <c r="B253" s="124"/>
    </row>
    <row r="254" spans="1:2" x14ac:dyDescent="0.3">
      <c r="A254" s="135"/>
      <c r="B254" s="124"/>
    </row>
    <row r="255" spans="1:2" x14ac:dyDescent="0.3">
      <c r="A255" s="135"/>
      <c r="B255" s="124"/>
    </row>
    <row r="256" spans="1:2" x14ac:dyDescent="0.3">
      <c r="A256" s="135"/>
      <c r="B256" s="124"/>
    </row>
    <row r="257" spans="1:2" x14ac:dyDescent="0.3">
      <c r="A257" s="135"/>
      <c r="B257" s="124"/>
    </row>
    <row r="258" spans="1:2" x14ac:dyDescent="0.3">
      <c r="A258" s="135"/>
      <c r="B258" s="124"/>
    </row>
    <row r="259" spans="1:2" x14ac:dyDescent="0.3">
      <c r="A259" s="135"/>
      <c r="B259" s="124"/>
    </row>
    <row r="260" spans="1:2" x14ac:dyDescent="0.3">
      <c r="A260" s="135"/>
      <c r="B260" s="124"/>
    </row>
    <row r="261" spans="1:2" x14ac:dyDescent="0.3">
      <c r="A261" s="135"/>
      <c r="B261" s="124"/>
    </row>
    <row r="262" spans="1:2" x14ac:dyDescent="0.3">
      <c r="A262" s="135"/>
      <c r="B262" s="124"/>
    </row>
    <row r="263" spans="1:2" x14ac:dyDescent="0.3">
      <c r="A263" s="135"/>
      <c r="B263" s="124"/>
    </row>
    <row r="264" spans="1:2" x14ac:dyDescent="0.3">
      <c r="A264" s="135"/>
      <c r="B264" s="124"/>
    </row>
    <row r="265" spans="1:2" x14ac:dyDescent="0.3">
      <c r="A265" s="135"/>
      <c r="B265" s="124"/>
    </row>
    <row r="266" spans="1:2" x14ac:dyDescent="0.3">
      <c r="A266" s="135"/>
      <c r="B266" s="124"/>
    </row>
    <row r="267" spans="1:2" x14ac:dyDescent="0.3">
      <c r="A267" s="135"/>
      <c r="B267" s="124"/>
    </row>
    <row r="268" spans="1:2" x14ac:dyDescent="0.3">
      <c r="A268" s="135"/>
      <c r="B268" s="124"/>
    </row>
    <row r="269" spans="1:2" x14ac:dyDescent="0.3">
      <c r="A269" s="135"/>
      <c r="B269" s="124"/>
    </row>
    <row r="270" spans="1:2" x14ac:dyDescent="0.3">
      <c r="A270" s="135"/>
      <c r="B270" s="124"/>
    </row>
    <row r="271" spans="1:2" x14ac:dyDescent="0.3">
      <c r="A271" s="135"/>
      <c r="B271" s="124"/>
    </row>
    <row r="272" spans="1:2" x14ac:dyDescent="0.3">
      <c r="A272" s="135"/>
      <c r="B272" s="124"/>
    </row>
    <row r="273" spans="1:2" x14ac:dyDescent="0.3">
      <c r="A273" s="135"/>
      <c r="B273" s="124"/>
    </row>
    <row r="274" spans="1:2" x14ac:dyDescent="0.3">
      <c r="A274" s="135"/>
      <c r="B274" s="124"/>
    </row>
    <row r="275" spans="1:2" x14ac:dyDescent="0.3">
      <c r="A275" s="135"/>
      <c r="B275" s="124"/>
    </row>
    <row r="276" spans="1:2" x14ac:dyDescent="0.3">
      <c r="A276" s="135"/>
      <c r="B276" s="124"/>
    </row>
    <row r="277" spans="1:2" x14ac:dyDescent="0.3">
      <c r="A277" s="135"/>
      <c r="B277" s="124"/>
    </row>
    <row r="278" spans="1:2" x14ac:dyDescent="0.3">
      <c r="A278" s="135"/>
      <c r="B278" s="124"/>
    </row>
    <row r="279" spans="1:2" x14ac:dyDescent="0.3">
      <c r="A279" s="135"/>
      <c r="B279" s="124"/>
    </row>
    <row r="280" spans="1:2" x14ac:dyDescent="0.3">
      <c r="A280" s="135"/>
      <c r="B280" s="124"/>
    </row>
    <row r="281" spans="1:2" x14ac:dyDescent="0.3">
      <c r="A281" s="135"/>
      <c r="B281" s="124"/>
    </row>
    <row r="282" spans="1:2" x14ac:dyDescent="0.3">
      <c r="A282" s="135"/>
      <c r="B282" s="124"/>
    </row>
    <row r="283" spans="1:2" x14ac:dyDescent="0.3">
      <c r="A283" s="135"/>
      <c r="B283" s="124"/>
    </row>
    <row r="284" spans="1:2" x14ac:dyDescent="0.3">
      <c r="A284" s="135"/>
      <c r="B284" s="124"/>
    </row>
    <row r="285" spans="1:2" x14ac:dyDescent="0.3">
      <c r="A285" s="135"/>
      <c r="B285" s="124"/>
    </row>
    <row r="286" spans="1:2" x14ac:dyDescent="0.3">
      <c r="A286" s="135"/>
      <c r="B286" s="124"/>
    </row>
    <row r="287" spans="1:2" x14ac:dyDescent="0.3">
      <c r="A287" s="135"/>
      <c r="B287" s="124"/>
    </row>
    <row r="288" spans="1:2" x14ac:dyDescent="0.3">
      <c r="A288" s="135"/>
      <c r="B288" s="124"/>
    </row>
    <row r="289" spans="1:2" x14ac:dyDescent="0.3">
      <c r="A289" s="135"/>
      <c r="B289" s="124"/>
    </row>
    <row r="290" spans="1:2" x14ac:dyDescent="0.3">
      <c r="A290" s="135"/>
      <c r="B290" s="124"/>
    </row>
    <row r="291" spans="1:2" x14ac:dyDescent="0.3">
      <c r="A291" s="135"/>
      <c r="B291" s="124"/>
    </row>
    <row r="292" spans="1:2" x14ac:dyDescent="0.3">
      <c r="A292" s="135"/>
      <c r="B292" s="124"/>
    </row>
    <row r="293" spans="1:2" x14ac:dyDescent="0.3">
      <c r="A293" s="135"/>
      <c r="B293" s="124"/>
    </row>
    <row r="294" spans="1:2" x14ac:dyDescent="0.3">
      <c r="A294" s="135"/>
      <c r="B294" s="124"/>
    </row>
    <row r="295" spans="1:2" x14ac:dyDescent="0.3">
      <c r="A295" s="135"/>
      <c r="B295" s="124"/>
    </row>
    <row r="296" spans="1:2" x14ac:dyDescent="0.3">
      <c r="A296" s="135"/>
      <c r="B296" s="124"/>
    </row>
    <row r="297" spans="1:2" x14ac:dyDescent="0.3">
      <c r="A297" s="135"/>
      <c r="B297" s="124"/>
    </row>
    <row r="298" spans="1:2" x14ac:dyDescent="0.3">
      <c r="A298" s="135"/>
      <c r="B298" s="124"/>
    </row>
    <row r="299" spans="1:2" x14ac:dyDescent="0.3">
      <c r="A299" s="135"/>
      <c r="B299" s="124"/>
    </row>
    <row r="300" spans="1:2" x14ac:dyDescent="0.3">
      <c r="A300" s="135"/>
      <c r="B300" s="124"/>
    </row>
    <row r="301" spans="1:2" x14ac:dyDescent="0.3">
      <c r="A301" s="135"/>
      <c r="B301" s="124"/>
    </row>
    <row r="302" spans="1:2" x14ac:dyDescent="0.3">
      <c r="A302" s="135"/>
      <c r="B302" s="124"/>
    </row>
    <row r="303" spans="1:2" x14ac:dyDescent="0.3">
      <c r="A303" s="135"/>
      <c r="B303" s="124"/>
    </row>
    <row r="304" spans="1:2" x14ac:dyDescent="0.3">
      <c r="A304" s="135"/>
      <c r="B304" s="124"/>
    </row>
    <row r="305" spans="1:2" x14ac:dyDescent="0.3">
      <c r="A305" s="135"/>
      <c r="B305" s="124"/>
    </row>
    <row r="306" spans="1:2" x14ac:dyDescent="0.3">
      <c r="A306" s="135"/>
      <c r="B306" s="124"/>
    </row>
    <row r="307" spans="1:2" x14ac:dyDescent="0.3">
      <c r="A307" s="135"/>
      <c r="B307" s="124"/>
    </row>
    <row r="308" spans="1:2" x14ac:dyDescent="0.3">
      <c r="A308" s="135"/>
      <c r="B308" s="137"/>
    </row>
    <row r="309" spans="1:2" x14ac:dyDescent="0.3">
      <c r="A309" s="135"/>
      <c r="B309" s="137"/>
    </row>
    <row r="310" spans="1:2" x14ac:dyDescent="0.3">
      <c r="A310" s="135"/>
      <c r="B310" s="137"/>
    </row>
    <row r="311" spans="1:2" x14ac:dyDescent="0.3">
      <c r="A311" s="135"/>
      <c r="B311" s="137"/>
    </row>
    <row r="312" spans="1:2" x14ac:dyDescent="0.3">
      <c r="A312" s="135"/>
      <c r="B312" s="137"/>
    </row>
    <row r="313" spans="1:2" x14ac:dyDescent="0.3">
      <c r="A313" s="135"/>
      <c r="B313" s="137"/>
    </row>
    <row r="314" spans="1:2" x14ac:dyDescent="0.3">
      <c r="A314" s="135"/>
      <c r="B314" s="137"/>
    </row>
    <row r="315" spans="1:2" x14ac:dyDescent="0.3">
      <c r="A315" s="135"/>
      <c r="B315" s="137"/>
    </row>
    <row r="316" spans="1:2" x14ac:dyDescent="0.3">
      <c r="A316" s="135"/>
      <c r="B316" s="137"/>
    </row>
    <row r="317" spans="1:2" x14ac:dyDescent="0.3">
      <c r="A317" s="135"/>
      <c r="B317" s="137"/>
    </row>
    <row r="318" spans="1:2" x14ac:dyDescent="0.3">
      <c r="A318" s="135"/>
      <c r="B318" s="137"/>
    </row>
    <row r="319" spans="1:2" x14ac:dyDescent="0.3">
      <c r="A319" s="135"/>
      <c r="B319" s="137"/>
    </row>
    <row r="320" spans="1:2" x14ac:dyDescent="0.3">
      <c r="A320" s="135"/>
      <c r="B320" s="137"/>
    </row>
    <row r="321" spans="1:2" x14ac:dyDescent="0.3">
      <c r="A321" s="135"/>
      <c r="B321" s="137"/>
    </row>
    <row r="322" spans="1:2" x14ac:dyDescent="0.3">
      <c r="A322" s="135"/>
      <c r="B322" s="137"/>
    </row>
    <row r="323" spans="1:2" x14ac:dyDescent="0.3">
      <c r="A323" s="135"/>
      <c r="B323" s="137"/>
    </row>
    <row r="324" spans="1:2" x14ac:dyDescent="0.3">
      <c r="A324" s="135"/>
      <c r="B324" s="137"/>
    </row>
    <row r="325" spans="1:2" x14ac:dyDescent="0.3">
      <c r="A325" s="135"/>
      <c r="B325" s="137"/>
    </row>
    <row r="326" spans="1:2" x14ac:dyDescent="0.3">
      <c r="A326" s="135"/>
      <c r="B326" s="137"/>
    </row>
    <row r="327" spans="1:2" x14ac:dyDescent="0.3">
      <c r="A327" s="135"/>
      <c r="B327" s="137"/>
    </row>
    <row r="328" spans="1:2" x14ac:dyDescent="0.3">
      <c r="A328" s="135"/>
      <c r="B328" s="137"/>
    </row>
    <row r="329" spans="1:2" x14ac:dyDescent="0.3">
      <c r="A329" s="135"/>
      <c r="B329" s="137"/>
    </row>
    <row r="330" spans="1:2" x14ac:dyDescent="0.3">
      <c r="A330" s="135"/>
      <c r="B330" s="137"/>
    </row>
    <row r="331" spans="1:2" x14ac:dyDescent="0.3">
      <c r="A331" s="135"/>
      <c r="B331" s="137"/>
    </row>
    <row r="332" spans="1:2" x14ac:dyDescent="0.3">
      <c r="A332" s="135"/>
      <c r="B332" s="137"/>
    </row>
    <row r="333" spans="1:2" x14ac:dyDescent="0.3">
      <c r="A333" s="135"/>
      <c r="B333" s="137"/>
    </row>
    <row r="334" spans="1:2" x14ac:dyDescent="0.3">
      <c r="A334" s="135"/>
      <c r="B334" s="137"/>
    </row>
    <row r="335" spans="1:2" x14ac:dyDescent="0.3">
      <c r="A335" s="135"/>
      <c r="B335" s="137"/>
    </row>
    <row r="336" spans="1:2" x14ac:dyDescent="0.3">
      <c r="A336" s="135"/>
      <c r="B336" s="137"/>
    </row>
    <row r="337" spans="1:2" x14ac:dyDescent="0.3">
      <c r="A337" s="135"/>
      <c r="B337" s="137"/>
    </row>
    <row r="338" spans="1:2" x14ac:dyDescent="0.3">
      <c r="A338" s="135"/>
      <c r="B338" s="137"/>
    </row>
    <row r="339" spans="1:2" x14ac:dyDescent="0.3">
      <c r="A339" s="135"/>
      <c r="B339" s="137"/>
    </row>
    <row r="340" spans="1:2" x14ac:dyDescent="0.3">
      <c r="A340" s="135"/>
      <c r="B340" s="137"/>
    </row>
    <row r="341" spans="1:2" x14ac:dyDescent="0.3">
      <c r="A341" s="135"/>
      <c r="B341" s="137"/>
    </row>
    <row r="342" spans="1:2" x14ac:dyDescent="0.3">
      <c r="A342" s="135"/>
      <c r="B342" s="137"/>
    </row>
    <row r="343" spans="1:2" x14ac:dyDescent="0.3">
      <c r="A343" s="135"/>
      <c r="B343" s="137"/>
    </row>
    <row r="344" spans="1:2" x14ac:dyDescent="0.3">
      <c r="A344" s="135"/>
      <c r="B344" s="137"/>
    </row>
    <row r="345" spans="1:2" x14ac:dyDescent="0.3">
      <c r="A345" s="135"/>
      <c r="B345" s="137"/>
    </row>
    <row r="346" spans="1:2" x14ac:dyDescent="0.3">
      <c r="A346" s="135"/>
      <c r="B346" s="137"/>
    </row>
    <row r="347" spans="1:2" x14ac:dyDescent="0.3">
      <c r="A347" s="135"/>
      <c r="B347" s="137"/>
    </row>
    <row r="348" spans="1:2" x14ac:dyDescent="0.3">
      <c r="A348" s="135"/>
      <c r="B348" s="137"/>
    </row>
    <row r="349" spans="1:2" x14ac:dyDescent="0.3">
      <c r="A349" s="135"/>
      <c r="B349" s="137"/>
    </row>
    <row r="350" spans="1:2" x14ac:dyDescent="0.3">
      <c r="A350" s="135"/>
      <c r="B350" s="137"/>
    </row>
    <row r="351" spans="1:2" x14ac:dyDescent="0.3">
      <c r="A351" s="135"/>
      <c r="B351" s="137"/>
    </row>
    <row r="352" spans="1:2" x14ac:dyDescent="0.3">
      <c r="A352" s="135"/>
      <c r="B352" s="137"/>
    </row>
    <row r="353" spans="1:2" x14ac:dyDescent="0.3">
      <c r="A353" s="135"/>
      <c r="B353" s="137"/>
    </row>
    <row r="354" spans="1:2" x14ac:dyDescent="0.3">
      <c r="A354" s="135"/>
      <c r="B354" s="137"/>
    </row>
    <row r="355" spans="1:2" x14ac:dyDescent="0.3">
      <c r="A355" s="135"/>
      <c r="B355" s="137"/>
    </row>
    <row r="356" spans="1:2" x14ac:dyDescent="0.3">
      <c r="A356" s="135"/>
      <c r="B356" s="137"/>
    </row>
    <row r="357" spans="1:2" x14ac:dyDescent="0.3">
      <c r="A357" s="135"/>
      <c r="B357" s="137"/>
    </row>
    <row r="358" spans="1:2" x14ac:dyDescent="0.3">
      <c r="A358" s="135"/>
      <c r="B358" s="137"/>
    </row>
    <row r="359" spans="1:2" x14ac:dyDescent="0.3">
      <c r="A359" s="135"/>
      <c r="B359" s="137"/>
    </row>
    <row r="360" spans="1:2" x14ac:dyDescent="0.3">
      <c r="A360" s="135"/>
      <c r="B360" s="137"/>
    </row>
    <row r="361" spans="1:2" x14ac:dyDescent="0.3">
      <c r="A361" s="135"/>
      <c r="B361" s="137"/>
    </row>
    <row r="362" spans="1:2" x14ac:dyDescent="0.3">
      <c r="A362" s="135"/>
      <c r="B362" s="137"/>
    </row>
    <row r="363" spans="1:2" x14ac:dyDescent="0.3">
      <c r="A363" s="135"/>
      <c r="B363" s="137"/>
    </row>
    <row r="364" spans="1:2" x14ac:dyDescent="0.3">
      <c r="A364" s="135"/>
      <c r="B364" s="137"/>
    </row>
    <row r="365" spans="1:2" x14ac:dyDescent="0.3">
      <c r="A365" s="135"/>
      <c r="B365" s="137"/>
    </row>
    <row r="366" spans="1:2" x14ac:dyDescent="0.3">
      <c r="A366" s="135"/>
      <c r="B366" s="137"/>
    </row>
    <row r="367" spans="1:2" x14ac:dyDescent="0.3">
      <c r="A367" s="135"/>
      <c r="B367" s="137"/>
    </row>
    <row r="368" spans="1:2" x14ac:dyDescent="0.3">
      <c r="A368" s="135"/>
      <c r="B368" s="137"/>
    </row>
    <row r="369" spans="1:2" x14ac:dyDescent="0.3">
      <c r="A369" s="135"/>
      <c r="B369" s="137"/>
    </row>
    <row r="370" spans="1:2" x14ac:dyDescent="0.3">
      <c r="A370" s="135"/>
      <c r="B370" s="137"/>
    </row>
    <row r="371" spans="1:2" x14ac:dyDescent="0.3">
      <c r="A371" s="135"/>
      <c r="B371" s="137"/>
    </row>
    <row r="372" spans="1:2" x14ac:dyDescent="0.3">
      <c r="A372" s="135"/>
      <c r="B372" s="137"/>
    </row>
    <row r="373" spans="1:2" x14ac:dyDescent="0.3">
      <c r="A373" s="135"/>
      <c r="B373" s="137"/>
    </row>
    <row r="374" spans="1:2" x14ac:dyDescent="0.3">
      <c r="A374" s="135"/>
      <c r="B374" s="137"/>
    </row>
    <row r="375" spans="1:2" x14ac:dyDescent="0.3">
      <c r="A375" s="135"/>
      <c r="B375" s="137"/>
    </row>
    <row r="376" spans="1:2" x14ac:dyDescent="0.3">
      <c r="A376" s="135"/>
      <c r="B376" s="137"/>
    </row>
    <row r="377" spans="1:2" x14ac:dyDescent="0.3">
      <c r="A377" s="135"/>
      <c r="B377" s="137"/>
    </row>
    <row r="378" spans="1:2" x14ac:dyDescent="0.3">
      <c r="A378" s="135"/>
      <c r="B378" s="137"/>
    </row>
    <row r="379" spans="1:2" x14ac:dyDescent="0.3">
      <c r="A379" s="135"/>
      <c r="B379" s="137"/>
    </row>
    <row r="380" spans="1:2" x14ac:dyDescent="0.3">
      <c r="A380" s="135"/>
      <c r="B380" s="137"/>
    </row>
    <row r="381" spans="1:2" x14ac:dyDescent="0.3">
      <c r="A381" s="135"/>
      <c r="B381" s="137"/>
    </row>
    <row r="382" spans="1:2" x14ac:dyDescent="0.3">
      <c r="A382" s="135"/>
      <c r="B382" s="137"/>
    </row>
    <row r="383" spans="1:2" x14ac:dyDescent="0.3">
      <c r="A383" s="135"/>
      <c r="B383" s="137"/>
    </row>
    <row r="384" spans="1:2" x14ac:dyDescent="0.3">
      <c r="A384" s="135"/>
      <c r="B384" s="137"/>
    </row>
    <row r="385" spans="1:2" x14ac:dyDescent="0.3">
      <c r="A385" s="135"/>
      <c r="B385" s="137"/>
    </row>
    <row r="386" spans="1:2" x14ac:dyDescent="0.3">
      <c r="A386" s="135"/>
      <c r="B386" s="137"/>
    </row>
    <row r="387" spans="1:2" x14ac:dyDescent="0.3">
      <c r="A387" s="135"/>
      <c r="B387" s="137"/>
    </row>
    <row r="388" spans="1:2" x14ac:dyDescent="0.3">
      <c r="A388" s="135"/>
      <c r="B388" s="137"/>
    </row>
    <row r="389" spans="1:2" x14ac:dyDescent="0.3">
      <c r="A389" s="135"/>
      <c r="B389" s="137"/>
    </row>
    <row r="390" spans="1:2" x14ac:dyDescent="0.3">
      <c r="A390" s="135"/>
      <c r="B390" s="137"/>
    </row>
    <row r="391" spans="1:2" x14ac:dyDescent="0.3">
      <c r="A391" s="135"/>
      <c r="B391" s="137"/>
    </row>
    <row r="392" spans="1:2" x14ac:dyDescent="0.3">
      <c r="A392" s="135"/>
      <c r="B392" s="137"/>
    </row>
    <row r="393" spans="1:2" x14ac:dyDescent="0.3">
      <c r="A393" s="135"/>
      <c r="B393" s="137"/>
    </row>
    <row r="394" spans="1:2" x14ac:dyDescent="0.3">
      <c r="A394" s="135"/>
      <c r="B394" s="137"/>
    </row>
    <row r="395" spans="1:2" x14ac:dyDescent="0.3">
      <c r="A395" s="135"/>
      <c r="B395" s="137"/>
    </row>
    <row r="396" spans="1:2" x14ac:dyDescent="0.3">
      <c r="A396" s="135"/>
      <c r="B396" s="137"/>
    </row>
    <row r="397" spans="1:2" x14ac:dyDescent="0.3">
      <c r="A397" s="135"/>
      <c r="B397" s="137"/>
    </row>
    <row r="398" spans="1:2" x14ac:dyDescent="0.3">
      <c r="A398" s="135"/>
      <c r="B398" s="137"/>
    </row>
    <row r="399" spans="1:2" x14ac:dyDescent="0.3">
      <c r="A399" s="135"/>
      <c r="B399" s="137"/>
    </row>
    <row r="400" spans="1:2" x14ac:dyDescent="0.3">
      <c r="A400" s="135"/>
      <c r="B400" s="137"/>
    </row>
    <row r="401" spans="1:2" x14ac:dyDescent="0.3">
      <c r="A401" s="135"/>
      <c r="B401" s="137"/>
    </row>
    <row r="402" spans="1:2" x14ac:dyDescent="0.3">
      <c r="A402" s="135"/>
      <c r="B402" s="137"/>
    </row>
    <row r="403" spans="1:2" x14ac:dyDescent="0.3">
      <c r="A403" s="135"/>
      <c r="B403" s="137"/>
    </row>
    <row r="404" spans="1:2" x14ac:dyDescent="0.3">
      <c r="A404" s="135"/>
      <c r="B404" s="137"/>
    </row>
    <row r="405" spans="1:2" x14ac:dyDescent="0.3">
      <c r="A405" s="135"/>
      <c r="B405" s="137"/>
    </row>
    <row r="406" spans="1:2" x14ac:dyDescent="0.3">
      <c r="A406" s="135"/>
      <c r="B406" s="137"/>
    </row>
    <row r="407" spans="1:2" x14ac:dyDescent="0.3">
      <c r="A407" s="135"/>
      <c r="B407" s="137"/>
    </row>
    <row r="408" spans="1:2" x14ac:dyDescent="0.3">
      <c r="A408" s="135"/>
      <c r="B408" s="137"/>
    </row>
    <row r="409" spans="1:2" x14ac:dyDescent="0.3">
      <c r="A409" s="135"/>
      <c r="B409" s="137"/>
    </row>
    <row r="410" spans="1:2" x14ac:dyDescent="0.3">
      <c r="A410" s="135"/>
      <c r="B410" s="137"/>
    </row>
    <row r="411" spans="1:2" x14ac:dyDescent="0.3">
      <c r="A411" s="135"/>
      <c r="B411" s="137"/>
    </row>
    <row r="412" spans="1:2" x14ac:dyDescent="0.3">
      <c r="A412" s="135"/>
      <c r="B412" s="137"/>
    </row>
    <row r="413" spans="1:2" x14ac:dyDescent="0.3">
      <c r="A413" s="135"/>
      <c r="B413" s="137"/>
    </row>
    <row r="414" spans="1:2" x14ac:dyDescent="0.3">
      <c r="A414" s="135"/>
      <c r="B414" s="137"/>
    </row>
    <row r="415" spans="1:2" x14ac:dyDescent="0.3">
      <c r="A415" s="135"/>
      <c r="B415" s="137"/>
    </row>
    <row r="416" spans="1:2" x14ac:dyDescent="0.3">
      <c r="A416" s="135"/>
      <c r="B416" s="137"/>
    </row>
    <row r="417" spans="1:2" x14ac:dyDescent="0.3">
      <c r="A417" s="135"/>
      <c r="B417" s="137"/>
    </row>
    <row r="418" spans="1:2" x14ac:dyDescent="0.3">
      <c r="A418" s="135"/>
      <c r="B418" s="137"/>
    </row>
    <row r="419" spans="1:2" x14ac:dyDescent="0.3">
      <c r="A419" s="135"/>
      <c r="B419" s="137"/>
    </row>
    <row r="420" spans="1:2" x14ac:dyDescent="0.3">
      <c r="A420" s="135"/>
      <c r="B420" s="137"/>
    </row>
    <row r="421" spans="1:2" x14ac:dyDescent="0.3">
      <c r="A421" s="135"/>
      <c r="B421" s="137"/>
    </row>
    <row r="422" spans="1:2" x14ac:dyDescent="0.3">
      <c r="A422" s="135"/>
      <c r="B422" s="137"/>
    </row>
    <row r="423" spans="1:2" x14ac:dyDescent="0.3">
      <c r="A423" s="135"/>
      <c r="B423" s="137"/>
    </row>
    <row r="424" spans="1:2" x14ac:dyDescent="0.3">
      <c r="A424" s="135"/>
      <c r="B424" s="137"/>
    </row>
    <row r="425" spans="1:2" x14ac:dyDescent="0.3">
      <c r="A425" s="135"/>
      <c r="B425" s="137"/>
    </row>
    <row r="426" spans="1:2" x14ac:dyDescent="0.3">
      <c r="A426" s="135"/>
      <c r="B426" s="137"/>
    </row>
    <row r="427" spans="1:2" x14ac:dyDescent="0.3">
      <c r="A427" s="135"/>
      <c r="B427" s="137"/>
    </row>
    <row r="428" spans="1:2" x14ac:dyDescent="0.3">
      <c r="A428" s="135"/>
      <c r="B428" s="137"/>
    </row>
    <row r="429" spans="1:2" x14ac:dyDescent="0.3">
      <c r="A429" s="135"/>
      <c r="B429" s="137"/>
    </row>
    <row r="430" spans="1:2" x14ac:dyDescent="0.3">
      <c r="A430" s="135"/>
      <c r="B430" s="137"/>
    </row>
    <row r="431" spans="1:2" x14ac:dyDescent="0.3">
      <c r="A431" s="135"/>
      <c r="B431" s="137"/>
    </row>
    <row r="432" spans="1:2" x14ac:dyDescent="0.3">
      <c r="A432" s="135"/>
      <c r="B432" s="137"/>
    </row>
    <row r="433" spans="1:2" x14ac:dyDescent="0.3">
      <c r="A433" s="135"/>
      <c r="B433" s="137"/>
    </row>
    <row r="434" spans="1:2" x14ac:dyDescent="0.3">
      <c r="A434" s="135"/>
      <c r="B434" s="137"/>
    </row>
    <row r="435" spans="1:2" x14ac:dyDescent="0.3">
      <c r="A435" s="135"/>
      <c r="B435" s="137"/>
    </row>
    <row r="436" spans="1:2" x14ac:dyDescent="0.3">
      <c r="A436" s="135"/>
      <c r="B436" s="137"/>
    </row>
    <row r="437" spans="1:2" x14ac:dyDescent="0.3">
      <c r="A437" s="135"/>
      <c r="B437" s="137"/>
    </row>
    <row r="438" spans="1:2" x14ac:dyDescent="0.3">
      <c r="A438" s="135"/>
      <c r="B438" s="137"/>
    </row>
    <row r="439" spans="1:2" x14ac:dyDescent="0.3">
      <c r="A439" s="135"/>
      <c r="B439" s="137"/>
    </row>
    <row r="440" spans="1:2" x14ac:dyDescent="0.3">
      <c r="A440" s="135"/>
      <c r="B440" s="137"/>
    </row>
    <row r="441" spans="1:2" x14ac:dyDescent="0.3">
      <c r="A441" s="135"/>
      <c r="B441" s="137"/>
    </row>
    <row r="442" spans="1:2" x14ac:dyDescent="0.3">
      <c r="A442" s="135"/>
      <c r="B442" s="137"/>
    </row>
    <row r="443" spans="1:2" x14ac:dyDescent="0.3">
      <c r="A443" s="135"/>
      <c r="B443" s="137"/>
    </row>
    <row r="444" spans="1:2" x14ac:dyDescent="0.3">
      <c r="A444" s="135"/>
      <c r="B444" s="137"/>
    </row>
    <row r="445" spans="1:2" x14ac:dyDescent="0.3">
      <c r="A445" s="135"/>
      <c r="B445" s="137"/>
    </row>
    <row r="446" spans="1:2" x14ac:dyDescent="0.3">
      <c r="A446" s="135"/>
      <c r="B446" s="137"/>
    </row>
    <row r="447" spans="1:2" x14ac:dyDescent="0.3">
      <c r="A447" s="135"/>
      <c r="B447" s="137"/>
    </row>
    <row r="448" spans="1:2" x14ac:dyDescent="0.3">
      <c r="A448" s="135"/>
      <c r="B448" s="137"/>
    </row>
    <row r="449" spans="1:2" x14ac:dyDescent="0.3">
      <c r="A449" s="135"/>
      <c r="B449" s="137"/>
    </row>
    <row r="450" spans="1:2" x14ac:dyDescent="0.3">
      <c r="A450" s="135"/>
      <c r="B450" s="137"/>
    </row>
    <row r="451" spans="1:2" x14ac:dyDescent="0.3">
      <c r="A451" s="135"/>
      <c r="B451" s="137"/>
    </row>
    <row r="452" spans="1:2" x14ac:dyDescent="0.3">
      <c r="A452" s="135"/>
      <c r="B452" s="137"/>
    </row>
    <row r="453" spans="1:2" x14ac:dyDescent="0.3">
      <c r="A453" s="135"/>
      <c r="B453" s="137"/>
    </row>
    <row r="454" spans="1:2" x14ac:dyDescent="0.3">
      <c r="A454" s="135"/>
      <c r="B454" s="137"/>
    </row>
    <row r="455" spans="1:2" x14ac:dyDescent="0.3">
      <c r="A455" s="135"/>
      <c r="B455" s="137"/>
    </row>
    <row r="456" spans="1:2" x14ac:dyDescent="0.3">
      <c r="A456" s="135"/>
      <c r="B456" s="124"/>
    </row>
    <row r="457" spans="1:2" x14ac:dyDescent="0.3">
      <c r="A457" s="135"/>
      <c r="B457" s="124"/>
    </row>
    <row r="458" spans="1:2" x14ac:dyDescent="0.3">
      <c r="A458" s="135"/>
      <c r="B458" s="124"/>
    </row>
    <row r="459" spans="1:2" x14ac:dyDescent="0.3">
      <c r="A459" s="135"/>
      <c r="B459" s="124"/>
    </row>
    <row r="460" spans="1:2" x14ac:dyDescent="0.3">
      <c r="A460" s="135"/>
      <c r="B460" s="124"/>
    </row>
    <row r="461" spans="1:2" x14ac:dyDescent="0.3">
      <c r="A461" s="135"/>
      <c r="B461" s="124"/>
    </row>
    <row r="462" spans="1:2" x14ac:dyDescent="0.3">
      <c r="A462" s="135"/>
      <c r="B462" s="124"/>
    </row>
    <row r="463" spans="1:2" x14ac:dyDescent="0.3">
      <c r="A463" s="135"/>
      <c r="B463" s="124"/>
    </row>
    <row r="464" spans="1:2" x14ac:dyDescent="0.3">
      <c r="A464" s="135"/>
      <c r="B464" s="124"/>
    </row>
    <row r="465" spans="1:2" x14ac:dyDescent="0.3">
      <c r="A465" s="135"/>
      <c r="B465" s="124"/>
    </row>
    <row r="466" spans="1:2" x14ac:dyDescent="0.3">
      <c r="A466" s="135"/>
      <c r="B466" s="124"/>
    </row>
    <row r="467" spans="1:2" x14ac:dyDescent="0.3">
      <c r="A467" s="135"/>
      <c r="B467" s="124"/>
    </row>
    <row r="468" spans="1:2" x14ac:dyDescent="0.3">
      <c r="A468" s="135"/>
      <c r="B468" s="124"/>
    </row>
    <row r="469" spans="1:2" x14ac:dyDescent="0.3">
      <c r="A469" s="135"/>
      <c r="B469" s="124"/>
    </row>
    <row r="470" spans="1:2" x14ac:dyDescent="0.3">
      <c r="A470" s="135"/>
      <c r="B470" s="124"/>
    </row>
    <row r="471" spans="1:2" x14ac:dyDescent="0.3">
      <c r="A471" s="135"/>
      <c r="B471" s="124"/>
    </row>
    <row r="472" spans="1:2" x14ac:dyDescent="0.3">
      <c r="A472" s="135"/>
      <c r="B472" s="124"/>
    </row>
    <row r="473" spans="1:2" x14ac:dyDescent="0.3">
      <c r="A473" s="135"/>
      <c r="B473" s="124"/>
    </row>
    <row r="474" spans="1:2" x14ac:dyDescent="0.3">
      <c r="A474" s="135"/>
      <c r="B474" s="124"/>
    </row>
    <row r="475" spans="1:2" x14ac:dyDescent="0.3">
      <c r="A475" s="135"/>
      <c r="B475" s="124"/>
    </row>
    <row r="476" spans="1:2" x14ac:dyDescent="0.3">
      <c r="A476" s="135"/>
      <c r="B476" s="124"/>
    </row>
    <row r="477" spans="1:2" x14ac:dyDescent="0.3">
      <c r="A477" s="135"/>
      <c r="B477" s="124"/>
    </row>
    <row r="478" spans="1:2" x14ac:dyDescent="0.3">
      <c r="A478" s="135"/>
      <c r="B478" s="124"/>
    </row>
    <row r="479" spans="1:2" x14ac:dyDescent="0.3">
      <c r="A479" s="135"/>
      <c r="B479" s="124"/>
    </row>
    <row r="480" spans="1:2" x14ac:dyDescent="0.3">
      <c r="A480" s="135"/>
      <c r="B480" s="124"/>
    </row>
    <row r="481" spans="1:2" x14ac:dyDescent="0.3">
      <c r="A481" s="135"/>
      <c r="B481" s="124"/>
    </row>
    <row r="482" spans="1:2" x14ac:dyDescent="0.3">
      <c r="A482" s="135"/>
      <c r="B482" s="124"/>
    </row>
    <row r="483" spans="1:2" x14ac:dyDescent="0.3">
      <c r="A483" s="135"/>
      <c r="B483" s="124"/>
    </row>
    <row r="484" spans="1:2" x14ac:dyDescent="0.3">
      <c r="A484" s="135"/>
      <c r="B484" s="124"/>
    </row>
    <row r="485" spans="1:2" x14ac:dyDescent="0.3">
      <c r="A485" s="135"/>
      <c r="B485" s="124"/>
    </row>
    <row r="486" spans="1:2" x14ac:dyDescent="0.3">
      <c r="A486" s="135"/>
      <c r="B486" s="124"/>
    </row>
    <row r="487" spans="1:2" x14ac:dyDescent="0.3">
      <c r="A487" s="135"/>
      <c r="B487" s="124"/>
    </row>
    <row r="488" spans="1:2" x14ac:dyDescent="0.3">
      <c r="A488" s="135"/>
      <c r="B488" s="124"/>
    </row>
    <row r="489" spans="1:2" x14ac:dyDescent="0.3">
      <c r="A489" s="135"/>
      <c r="B489" s="124"/>
    </row>
    <row r="490" spans="1:2" x14ac:dyDescent="0.3">
      <c r="A490" s="135"/>
      <c r="B490" s="124"/>
    </row>
    <row r="491" spans="1:2" x14ac:dyDescent="0.3">
      <c r="A491" s="135"/>
      <c r="B491" s="137"/>
    </row>
    <row r="492" spans="1:2" x14ac:dyDescent="0.3">
      <c r="A492" s="135"/>
      <c r="B492" s="137"/>
    </row>
    <row r="493" spans="1:2" x14ac:dyDescent="0.3">
      <c r="A493" s="135"/>
      <c r="B493" s="137"/>
    </row>
    <row r="494" spans="1:2" x14ac:dyDescent="0.3">
      <c r="A494" s="135"/>
      <c r="B494" s="137"/>
    </row>
    <row r="495" spans="1:2" x14ac:dyDescent="0.3">
      <c r="A495" s="135"/>
      <c r="B495" s="137"/>
    </row>
    <row r="496" spans="1:2" x14ac:dyDescent="0.3">
      <c r="A496" s="135"/>
      <c r="B496" s="137"/>
    </row>
    <row r="497" spans="1:2" x14ac:dyDescent="0.3">
      <c r="A497" s="135"/>
      <c r="B497" s="137"/>
    </row>
    <row r="498" spans="1:2" x14ac:dyDescent="0.3">
      <c r="A498" s="135"/>
      <c r="B498" s="137"/>
    </row>
    <row r="499" spans="1:2" x14ac:dyDescent="0.3">
      <c r="A499" s="135"/>
      <c r="B499" s="137"/>
    </row>
    <row r="500" spans="1:2" x14ac:dyDescent="0.3">
      <c r="A500" s="135"/>
      <c r="B500" s="137"/>
    </row>
    <row r="501" spans="1:2" x14ac:dyDescent="0.3">
      <c r="A501" s="135"/>
      <c r="B501" s="137"/>
    </row>
    <row r="502" spans="1:2" x14ac:dyDescent="0.3">
      <c r="A502" s="135"/>
      <c r="B502" s="137"/>
    </row>
    <row r="503" spans="1:2" x14ac:dyDescent="0.3">
      <c r="A503" s="135"/>
      <c r="B503" s="137"/>
    </row>
    <row r="504" spans="1:2" x14ac:dyDescent="0.3">
      <c r="A504" s="135"/>
      <c r="B504" s="137"/>
    </row>
    <row r="505" spans="1:2" x14ac:dyDescent="0.3">
      <c r="A505" s="135"/>
      <c r="B505" s="137"/>
    </row>
    <row r="506" spans="1:2" x14ac:dyDescent="0.3">
      <c r="A506" s="135"/>
      <c r="B506" s="137"/>
    </row>
    <row r="507" spans="1:2" x14ac:dyDescent="0.3">
      <c r="A507" s="135"/>
      <c r="B507" s="137"/>
    </row>
    <row r="508" spans="1:2" x14ac:dyDescent="0.3">
      <c r="A508" s="135"/>
      <c r="B508" s="137"/>
    </row>
    <row r="509" spans="1:2" x14ac:dyDescent="0.3">
      <c r="A509" s="135"/>
      <c r="B509" s="137"/>
    </row>
    <row r="510" spans="1:2" x14ac:dyDescent="0.3">
      <c r="A510" s="135"/>
      <c r="B510" s="137"/>
    </row>
    <row r="511" spans="1:2" x14ac:dyDescent="0.3">
      <c r="A511" s="135"/>
      <c r="B511" s="137"/>
    </row>
    <row r="512" spans="1:2" x14ac:dyDescent="0.3">
      <c r="A512" s="135"/>
      <c r="B512" s="137"/>
    </row>
    <row r="513" spans="1:2" x14ac:dyDescent="0.3">
      <c r="A513" s="135"/>
      <c r="B513" s="137"/>
    </row>
    <row r="514" spans="1:2" x14ac:dyDescent="0.3">
      <c r="A514" s="135"/>
      <c r="B514" s="137"/>
    </row>
    <row r="515" spans="1:2" x14ac:dyDescent="0.3">
      <c r="A515" s="135"/>
      <c r="B515" s="137"/>
    </row>
    <row r="516" spans="1:2" x14ac:dyDescent="0.3">
      <c r="A516" s="135"/>
      <c r="B516" s="137"/>
    </row>
    <row r="517" spans="1:2" x14ac:dyDescent="0.3">
      <c r="A517" s="135"/>
      <c r="B517" s="137"/>
    </row>
    <row r="518" spans="1:2" x14ac:dyDescent="0.3">
      <c r="A518" s="135"/>
      <c r="B518" s="137"/>
    </row>
    <row r="519" spans="1:2" x14ac:dyDescent="0.3">
      <c r="A519" s="135"/>
      <c r="B519" s="137"/>
    </row>
    <row r="520" spans="1:2" x14ac:dyDescent="0.3">
      <c r="A520" s="135"/>
      <c r="B520" s="124"/>
    </row>
    <row r="521" spans="1:2" x14ac:dyDescent="0.3">
      <c r="A521" s="135"/>
      <c r="B521" s="124"/>
    </row>
    <row r="522" spans="1:2" x14ac:dyDescent="0.3">
      <c r="A522" s="135"/>
      <c r="B522" s="124"/>
    </row>
    <row r="523" spans="1:2" x14ac:dyDescent="0.3">
      <c r="A523" s="135"/>
      <c r="B523" s="124"/>
    </row>
    <row r="524" spans="1:2" x14ac:dyDescent="0.3">
      <c r="A524" s="135"/>
      <c r="B524" s="124"/>
    </row>
    <row r="525" spans="1:2" x14ac:dyDescent="0.3">
      <c r="A525" s="135"/>
      <c r="B525" s="124"/>
    </row>
    <row r="526" spans="1:2" x14ac:dyDescent="0.3">
      <c r="A526" s="135"/>
      <c r="B526" s="124"/>
    </row>
    <row r="527" spans="1:2" x14ac:dyDescent="0.3">
      <c r="A527" s="135"/>
      <c r="B527" s="124"/>
    </row>
    <row r="528" spans="1:2" x14ac:dyDescent="0.3">
      <c r="A528" s="135"/>
      <c r="B528" s="124"/>
    </row>
    <row r="529" spans="1:2" x14ac:dyDescent="0.3">
      <c r="A529" s="135"/>
      <c r="B529" s="124"/>
    </row>
    <row r="530" spans="1:2" x14ac:dyDescent="0.3">
      <c r="A530" s="135"/>
      <c r="B530" s="124"/>
    </row>
    <row r="531" spans="1:2" x14ac:dyDescent="0.3">
      <c r="A531" s="135"/>
      <c r="B531" s="124"/>
    </row>
    <row r="532" spans="1:2" x14ac:dyDescent="0.3">
      <c r="A532" s="135"/>
      <c r="B532" s="124"/>
    </row>
    <row r="533" spans="1:2" x14ac:dyDescent="0.3">
      <c r="A533" s="135"/>
      <c r="B533" s="124"/>
    </row>
    <row r="534" spans="1:2" x14ac:dyDescent="0.3">
      <c r="A534" s="135"/>
      <c r="B534" s="124"/>
    </row>
    <row r="535" spans="1:2" x14ac:dyDescent="0.3">
      <c r="A535" s="135"/>
      <c r="B535" s="124"/>
    </row>
    <row r="536" spans="1:2" x14ac:dyDescent="0.3">
      <c r="A536" s="135"/>
      <c r="B536" s="124"/>
    </row>
    <row r="537" spans="1:2" x14ac:dyDescent="0.3">
      <c r="A537" s="135"/>
      <c r="B537" s="124"/>
    </row>
    <row r="538" spans="1:2" x14ac:dyDescent="0.3">
      <c r="A538" s="135"/>
      <c r="B538" s="124"/>
    </row>
    <row r="539" spans="1:2" x14ac:dyDescent="0.3">
      <c r="A539" s="135"/>
      <c r="B539" s="124"/>
    </row>
    <row r="540" spans="1:2" x14ac:dyDescent="0.3">
      <c r="A540" s="135"/>
      <c r="B540" s="124"/>
    </row>
    <row r="541" spans="1:2" x14ac:dyDescent="0.3">
      <c r="A541" s="135"/>
      <c r="B541" s="124"/>
    </row>
    <row r="542" spans="1:2" x14ac:dyDescent="0.3">
      <c r="A542" s="135"/>
      <c r="B542" s="124"/>
    </row>
    <row r="543" spans="1:2" x14ac:dyDescent="0.3">
      <c r="A543" s="135"/>
      <c r="B543" s="124"/>
    </row>
    <row r="544" spans="1:2" x14ac:dyDescent="0.3">
      <c r="A544" s="135"/>
      <c r="B544" s="124"/>
    </row>
    <row r="545" spans="1:2" x14ac:dyDescent="0.3">
      <c r="A545" s="135"/>
      <c r="B545" s="124"/>
    </row>
    <row r="546" spans="1:2" x14ac:dyDescent="0.3">
      <c r="A546" s="135"/>
      <c r="B546" s="124"/>
    </row>
    <row r="547" spans="1:2" x14ac:dyDescent="0.3">
      <c r="A547" s="135"/>
      <c r="B547" s="124"/>
    </row>
    <row r="548" spans="1:2" x14ac:dyDescent="0.3">
      <c r="A548" s="135"/>
      <c r="B548" s="124"/>
    </row>
    <row r="549" spans="1:2" x14ac:dyDescent="0.3">
      <c r="A549" s="135"/>
      <c r="B549" s="124"/>
    </row>
    <row r="550" spans="1:2" x14ac:dyDescent="0.3">
      <c r="A550" s="135"/>
      <c r="B550" s="124"/>
    </row>
    <row r="551" spans="1:2" x14ac:dyDescent="0.3">
      <c r="A551" s="135"/>
      <c r="B551" s="124"/>
    </row>
    <row r="552" spans="1:2" x14ac:dyDescent="0.3">
      <c r="A552" s="135"/>
      <c r="B552" s="124"/>
    </row>
    <row r="553" spans="1:2" x14ac:dyDescent="0.3">
      <c r="A553" s="135"/>
      <c r="B553" s="124"/>
    </row>
    <row r="554" spans="1:2" x14ac:dyDescent="0.3">
      <c r="A554" s="135"/>
      <c r="B554" s="124"/>
    </row>
    <row r="555" spans="1:2" x14ac:dyDescent="0.3">
      <c r="A555" s="135"/>
      <c r="B555" s="124"/>
    </row>
    <row r="556" spans="1:2" x14ac:dyDescent="0.3">
      <c r="A556" s="135"/>
      <c r="B556" s="124"/>
    </row>
    <row r="557" spans="1:2" x14ac:dyDescent="0.3">
      <c r="A557" s="135"/>
      <c r="B557" s="124"/>
    </row>
    <row r="558" spans="1:2" x14ac:dyDescent="0.3">
      <c r="A558" s="135"/>
      <c r="B558" s="124"/>
    </row>
    <row r="559" spans="1:2" x14ac:dyDescent="0.3">
      <c r="A559" s="135"/>
      <c r="B559" s="124"/>
    </row>
    <row r="560" spans="1:2" x14ac:dyDescent="0.3">
      <c r="A560" s="135"/>
      <c r="B560" s="124"/>
    </row>
    <row r="561" spans="1:2" x14ac:dyDescent="0.3">
      <c r="A561" s="135"/>
      <c r="B561" s="124"/>
    </row>
    <row r="562" spans="1:2" x14ac:dyDescent="0.3">
      <c r="A562" s="135"/>
      <c r="B562" s="124"/>
    </row>
    <row r="563" spans="1:2" x14ac:dyDescent="0.3">
      <c r="A563" s="135"/>
      <c r="B563" s="124"/>
    </row>
    <row r="564" spans="1:2" x14ac:dyDescent="0.3">
      <c r="A564" s="135"/>
      <c r="B564" s="124"/>
    </row>
    <row r="565" spans="1:2" x14ac:dyDescent="0.3">
      <c r="A565" s="135"/>
      <c r="B565" s="124"/>
    </row>
    <row r="566" spans="1:2" x14ac:dyDescent="0.3">
      <c r="A566" s="135"/>
      <c r="B566" s="124"/>
    </row>
    <row r="567" spans="1:2" x14ac:dyDescent="0.3">
      <c r="A567" s="135"/>
      <c r="B567" s="124"/>
    </row>
    <row r="568" spans="1:2" x14ac:dyDescent="0.3">
      <c r="A568" s="135"/>
      <c r="B568" s="124"/>
    </row>
    <row r="569" spans="1:2" x14ac:dyDescent="0.3">
      <c r="A569" s="135"/>
      <c r="B569" s="124"/>
    </row>
    <row r="570" spans="1:2" x14ac:dyDescent="0.3">
      <c r="A570" s="135"/>
      <c r="B570" s="124"/>
    </row>
    <row r="571" spans="1:2" x14ac:dyDescent="0.3">
      <c r="A571" s="135"/>
      <c r="B571" s="124"/>
    </row>
    <row r="572" spans="1:2" x14ac:dyDescent="0.3">
      <c r="A572" s="135"/>
      <c r="B572" s="124"/>
    </row>
    <row r="573" spans="1:2" x14ac:dyDescent="0.3">
      <c r="A573" s="135"/>
      <c r="B573" s="124"/>
    </row>
    <row r="574" spans="1:2" x14ac:dyDescent="0.3">
      <c r="A574" s="135"/>
      <c r="B574" s="124"/>
    </row>
    <row r="575" spans="1:2" x14ac:dyDescent="0.3">
      <c r="A575" s="135"/>
      <c r="B575" s="124"/>
    </row>
    <row r="576" spans="1:2" x14ac:dyDescent="0.3">
      <c r="A576" s="135"/>
      <c r="B576" s="124"/>
    </row>
    <row r="577" spans="1:2" x14ac:dyDescent="0.3">
      <c r="A577" s="135"/>
      <c r="B577" s="124"/>
    </row>
    <row r="578" spans="1:2" x14ac:dyDescent="0.3">
      <c r="A578" s="135"/>
      <c r="B578" s="124"/>
    </row>
    <row r="579" spans="1:2" x14ac:dyDescent="0.3">
      <c r="A579" s="135"/>
      <c r="B579" s="124"/>
    </row>
    <row r="580" spans="1:2" x14ac:dyDescent="0.3">
      <c r="A580" s="135"/>
      <c r="B580" s="124"/>
    </row>
    <row r="581" spans="1:2" x14ac:dyDescent="0.3">
      <c r="A581" s="135"/>
      <c r="B581" s="124"/>
    </row>
    <row r="582" spans="1:2" x14ac:dyDescent="0.3">
      <c r="A582" s="135"/>
      <c r="B582" s="124"/>
    </row>
    <row r="583" spans="1:2" x14ac:dyDescent="0.3">
      <c r="A583" s="135"/>
      <c r="B583" s="124"/>
    </row>
    <row r="584" spans="1:2" x14ac:dyDescent="0.3">
      <c r="A584" s="135"/>
      <c r="B584" s="124"/>
    </row>
    <row r="585" spans="1:2" x14ac:dyDescent="0.3">
      <c r="A585" s="135"/>
      <c r="B585" s="124"/>
    </row>
    <row r="586" spans="1:2" x14ac:dyDescent="0.3">
      <c r="A586" s="135"/>
      <c r="B586" s="124"/>
    </row>
    <row r="587" spans="1:2" x14ac:dyDescent="0.3">
      <c r="A587" s="135"/>
      <c r="B587" s="124"/>
    </row>
    <row r="588" spans="1:2" x14ac:dyDescent="0.3">
      <c r="A588" s="135"/>
      <c r="B588" s="124"/>
    </row>
    <row r="589" spans="1:2" x14ac:dyDescent="0.3">
      <c r="A589" s="135"/>
      <c r="B589" s="124"/>
    </row>
    <row r="590" spans="1:2" x14ac:dyDescent="0.3">
      <c r="A590" s="135"/>
      <c r="B590" s="124"/>
    </row>
    <row r="591" spans="1:2" x14ac:dyDescent="0.3">
      <c r="A591" s="135"/>
      <c r="B591" s="124"/>
    </row>
    <row r="592" spans="1:2" x14ac:dyDescent="0.3">
      <c r="A592" s="135"/>
      <c r="B592" s="124"/>
    </row>
    <row r="593" spans="1:2" x14ac:dyDescent="0.3">
      <c r="A593" s="135"/>
      <c r="B593" s="124"/>
    </row>
    <row r="594" spans="1:2" x14ac:dyDescent="0.3">
      <c r="A594" s="135"/>
      <c r="B594" s="124"/>
    </row>
    <row r="595" spans="1:2" x14ac:dyDescent="0.3">
      <c r="A595" s="135"/>
      <c r="B595" s="124"/>
    </row>
    <row r="596" spans="1:2" x14ac:dyDescent="0.3">
      <c r="A596" s="135"/>
      <c r="B596" s="124"/>
    </row>
    <row r="597" spans="1:2" x14ac:dyDescent="0.3">
      <c r="A597" s="135"/>
      <c r="B597" s="124"/>
    </row>
    <row r="598" spans="1:2" x14ac:dyDescent="0.3">
      <c r="A598" s="135"/>
      <c r="B598" s="124"/>
    </row>
    <row r="599" spans="1:2" x14ac:dyDescent="0.3">
      <c r="A599" s="135"/>
      <c r="B599" s="124"/>
    </row>
    <row r="600" spans="1:2" x14ac:dyDescent="0.3">
      <c r="A600" s="135"/>
      <c r="B600" s="124"/>
    </row>
    <row r="601" spans="1:2" x14ac:dyDescent="0.3">
      <c r="A601" s="135"/>
      <c r="B601" s="124"/>
    </row>
    <row r="602" spans="1:2" x14ac:dyDescent="0.3">
      <c r="A602" s="135"/>
      <c r="B602" s="124"/>
    </row>
    <row r="603" spans="1:2" x14ac:dyDescent="0.3">
      <c r="A603" s="135"/>
      <c r="B603" s="124"/>
    </row>
    <row r="604" spans="1:2" x14ac:dyDescent="0.3">
      <c r="A604" s="135"/>
      <c r="B604" s="124"/>
    </row>
    <row r="605" spans="1:2" x14ac:dyDescent="0.3">
      <c r="A605" s="135"/>
      <c r="B605" s="124"/>
    </row>
    <row r="606" spans="1:2" x14ac:dyDescent="0.3">
      <c r="A606" s="135"/>
      <c r="B606" s="124"/>
    </row>
    <row r="607" spans="1:2" x14ac:dyDescent="0.3">
      <c r="A607" s="135"/>
      <c r="B607" s="124"/>
    </row>
    <row r="608" spans="1:2" x14ac:dyDescent="0.3">
      <c r="A608" s="135"/>
      <c r="B608" s="124"/>
    </row>
    <row r="609" spans="1:2" x14ac:dyDescent="0.3">
      <c r="A609" s="135"/>
      <c r="B609" s="124"/>
    </row>
    <row r="610" spans="1:2" x14ac:dyDescent="0.3">
      <c r="A610" s="135"/>
      <c r="B610" s="124"/>
    </row>
    <row r="611" spans="1:2" x14ac:dyDescent="0.3">
      <c r="A611" s="135"/>
      <c r="B611" s="124"/>
    </row>
  </sheetData>
  <mergeCells count="3">
    <mergeCell ref="A1:D1"/>
    <mergeCell ref="F1:I1"/>
    <mergeCell ref="K1:N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57ED-12C7-456B-A6FA-9D4120741036}">
  <dimension ref="A1:N612"/>
  <sheetViews>
    <sheetView topLeftCell="F1" zoomScaleNormal="100" workbookViewId="0">
      <selection activeCell="P23" sqref="P23"/>
    </sheetView>
  </sheetViews>
  <sheetFormatPr defaultRowHeight="14.4" x14ac:dyDescent="0.3"/>
  <cols>
    <col min="1" max="1" width="18" style="136" customWidth="1"/>
    <col min="2" max="2" width="21.5546875" style="125" customWidth="1"/>
    <col min="3" max="3" width="15.109375" style="17" bestFit="1" customWidth="1"/>
    <col min="4" max="4" width="11.6640625" style="125" customWidth="1"/>
    <col min="5" max="5" width="20.109375" customWidth="1"/>
    <col min="6" max="6" width="19.6640625" style="136" customWidth="1"/>
    <col min="7" max="7" width="20.109375" style="17" customWidth="1"/>
    <col min="8" max="8" width="16.44140625" style="125" customWidth="1"/>
    <col min="9" max="9" width="17.5546875" style="125" customWidth="1"/>
    <col min="11" max="11" width="16.109375" customWidth="1"/>
    <col min="12" max="12" width="27.88671875" customWidth="1"/>
    <col min="13" max="13" width="13.109375" customWidth="1"/>
    <col min="14" max="14" width="13.88671875" customWidth="1"/>
  </cols>
  <sheetData>
    <row r="1" spans="1:14" x14ac:dyDescent="0.3">
      <c r="A1" s="198" t="s">
        <v>54</v>
      </c>
      <c r="B1" s="199"/>
      <c r="C1" s="199"/>
      <c r="D1" s="199"/>
      <c r="F1" s="196" t="s">
        <v>55</v>
      </c>
      <c r="G1" s="196"/>
      <c r="H1" s="196"/>
      <c r="I1" s="196"/>
      <c r="K1" s="197" t="s">
        <v>16</v>
      </c>
      <c r="L1" s="197"/>
      <c r="M1" s="197"/>
      <c r="N1" s="197"/>
    </row>
    <row r="2" spans="1:14" x14ac:dyDescent="0.3">
      <c r="A2" s="115" t="s">
        <v>43</v>
      </c>
      <c r="B2" s="138">
        <f>AVERAGE(B4:B612)</f>
        <v>0.9665912872618424</v>
      </c>
      <c r="C2" s="115" t="s">
        <v>47</v>
      </c>
      <c r="D2" s="138">
        <f>_xlfn.STDEV.S(B4:B612)</f>
        <v>0.98526855525213131</v>
      </c>
      <c r="F2" s="115" t="s">
        <v>48</v>
      </c>
      <c r="G2" s="115">
        <f>AVERAGE(G4:G100)</f>
        <v>4.2252727272727277</v>
      </c>
      <c r="H2" s="138" t="s">
        <v>47</v>
      </c>
      <c r="I2" s="138">
        <f>_xlfn.STDEV.S(G4:G100)</f>
        <v>5.3302570092215227</v>
      </c>
      <c r="K2" s="115" t="s">
        <v>13</v>
      </c>
      <c r="L2" s="118">
        <f>AVERAGE(L4:L100)</f>
        <v>1295.3805681818183</v>
      </c>
      <c r="M2" s="119" t="s">
        <v>47</v>
      </c>
      <c r="N2" s="117">
        <f>_xlfn.STDEV.S(L4:L100)</f>
        <v>0.81943841795739059</v>
      </c>
    </row>
    <row r="3" spans="1:14" x14ac:dyDescent="0.3">
      <c r="A3" s="120" t="s">
        <v>31</v>
      </c>
      <c r="B3" s="121" t="s">
        <v>49</v>
      </c>
      <c r="C3" s="122" t="s">
        <v>50</v>
      </c>
      <c r="D3" s="139" t="s">
        <v>51</v>
      </c>
      <c r="F3" s="122" t="s">
        <v>31</v>
      </c>
      <c r="G3" s="122" t="s">
        <v>52</v>
      </c>
      <c r="H3" s="139" t="s">
        <v>50</v>
      </c>
      <c r="I3" s="139" t="s">
        <v>51</v>
      </c>
      <c r="K3" s="122" t="s">
        <v>31</v>
      </c>
      <c r="L3" s="122" t="s">
        <v>53</v>
      </c>
      <c r="M3" s="122" t="s">
        <v>50</v>
      </c>
      <c r="N3" s="122" t="s">
        <v>51</v>
      </c>
    </row>
    <row r="4" spans="1:14" x14ac:dyDescent="0.3">
      <c r="A4" s="123">
        <v>44835</v>
      </c>
      <c r="B4" s="124">
        <v>0.47664516129032281</v>
      </c>
      <c r="C4" s="125">
        <f>B4-$B$2</f>
        <v>-0.4899461259715196</v>
      </c>
      <c r="D4" s="125">
        <f>C4/$D$2</f>
        <v>-0.49727165589501821</v>
      </c>
      <c r="F4" s="140">
        <v>44835</v>
      </c>
      <c r="G4" s="17">
        <v>0.76200000000000001</v>
      </c>
      <c r="H4" s="125">
        <f>G4-G$2</f>
        <v>-3.4632727272727277</v>
      </c>
      <c r="I4" s="125">
        <f t="shared" ref="I4:I47" si="0">H4/I$2</f>
        <v>-0.64973841247826325</v>
      </c>
      <c r="K4" s="140">
        <v>44835</v>
      </c>
      <c r="L4" s="125">
        <v>1295.0700000000002</v>
      </c>
      <c r="M4" s="125">
        <f>L4-$L$2</f>
        <v>-0.31056818181809831</v>
      </c>
      <c r="N4" s="125">
        <f>M4/$N$2</f>
        <v>-0.37900124647835015</v>
      </c>
    </row>
    <row r="5" spans="1:14" x14ac:dyDescent="0.3">
      <c r="A5" s="123">
        <v>44866</v>
      </c>
      <c r="B5" s="124">
        <v>0.46499999999999997</v>
      </c>
      <c r="C5" s="125">
        <f t="shared" ref="C5:C27" si="1">B5-$B$2</f>
        <v>-0.50159128726184243</v>
      </c>
      <c r="D5" s="125">
        <f t="shared" ref="D5:D47" si="2">C5/$D$2</f>
        <v>-0.50909093220120549</v>
      </c>
      <c r="F5" s="140">
        <v>44866</v>
      </c>
      <c r="G5" s="17">
        <v>3.048</v>
      </c>
      <c r="H5" s="125">
        <f t="shared" ref="H5:H23" si="3">G5-G$2</f>
        <v>-1.1772727272727277</v>
      </c>
      <c r="I5" s="125">
        <f t="shared" si="0"/>
        <v>-0.22086603427114426</v>
      </c>
      <c r="K5" s="140">
        <v>44866</v>
      </c>
      <c r="L5" s="125">
        <v>1294.83</v>
      </c>
      <c r="M5" s="125">
        <f t="shared" ref="M5:M47" si="4">L5-$L$2</f>
        <v>-0.55056818181833478</v>
      </c>
      <c r="N5" s="125">
        <f t="shared" ref="N5:N47" si="5">M5/$N$2</f>
        <v>-0.67188475638075762</v>
      </c>
    </row>
    <row r="6" spans="1:14" x14ac:dyDescent="0.3">
      <c r="A6" s="123">
        <v>44896</v>
      </c>
      <c r="B6" s="124">
        <v>1.2664516129032257</v>
      </c>
      <c r="C6" s="125">
        <f t="shared" si="1"/>
        <v>0.29986032564138332</v>
      </c>
      <c r="D6" s="125">
        <f t="shared" si="2"/>
        <v>0.30434374876060949</v>
      </c>
      <c r="F6" s="140">
        <v>44896</v>
      </c>
      <c r="G6" s="17">
        <f>AVERAGE(G5,G7)</f>
        <v>4.1909999999999998</v>
      </c>
      <c r="H6" s="125">
        <f t="shared" si="3"/>
        <v>-3.4272727272727899E-2</v>
      </c>
      <c r="I6" s="125">
        <f t="shared" si="0"/>
        <v>-6.4298451675847777E-3</v>
      </c>
      <c r="K6" s="140">
        <v>44896</v>
      </c>
      <c r="L6" s="125">
        <v>1294.5700000000002</v>
      </c>
      <c r="M6" s="125">
        <f t="shared" si="4"/>
        <v>-0.81056818181809831</v>
      </c>
      <c r="N6" s="125">
        <f t="shared" si="5"/>
        <v>-0.98917522544109771</v>
      </c>
    </row>
    <row r="7" spans="1:14" x14ac:dyDescent="0.3">
      <c r="A7" s="123">
        <v>44927</v>
      </c>
      <c r="B7" s="124">
        <v>2.637225806451613</v>
      </c>
      <c r="C7" s="125">
        <f t="shared" si="1"/>
        <v>1.6706345191897705</v>
      </c>
      <c r="D7" s="125">
        <f t="shared" si="2"/>
        <v>1.6956133536224074</v>
      </c>
      <c r="F7" s="140">
        <v>44927</v>
      </c>
      <c r="G7" s="17">
        <v>5.3339999999999996</v>
      </c>
      <c r="H7" s="125">
        <f t="shared" si="3"/>
        <v>1.1087272727272719</v>
      </c>
      <c r="I7" s="125">
        <f t="shared" si="0"/>
        <v>0.2080063439359747</v>
      </c>
      <c r="K7" s="140">
        <v>44927</v>
      </c>
      <c r="L7" s="125">
        <v>1296.335</v>
      </c>
      <c r="M7" s="125">
        <f t="shared" si="4"/>
        <v>0.95443181818177436</v>
      </c>
      <c r="N7" s="125">
        <f t="shared" si="5"/>
        <v>1.1647389202972458</v>
      </c>
    </row>
    <row r="8" spans="1:14" x14ac:dyDescent="0.3">
      <c r="A8" s="123">
        <v>44958</v>
      </c>
      <c r="B8" s="124">
        <v>3.513928571428572</v>
      </c>
      <c r="C8" s="125">
        <f t="shared" si="1"/>
        <v>2.5473372841667294</v>
      </c>
      <c r="D8" s="125">
        <f t="shared" si="2"/>
        <v>2.5854243196819198</v>
      </c>
      <c r="F8" s="140">
        <v>44958</v>
      </c>
      <c r="G8" s="17">
        <f>AVERAGE(G7,G9)</f>
        <v>5.2069999999999999</v>
      </c>
      <c r="H8" s="125">
        <f t="shared" si="3"/>
        <v>0.98172727272727212</v>
      </c>
      <c r="I8" s="125">
        <f t="shared" si="0"/>
        <v>0.18418010070224591</v>
      </c>
      <c r="K8" s="140">
        <v>44958</v>
      </c>
      <c r="L8" s="125">
        <v>1295.6849999999999</v>
      </c>
      <c r="M8" s="125">
        <f t="shared" si="4"/>
        <v>0.30443181818168341</v>
      </c>
      <c r="N8" s="125">
        <f t="shared" si="5"/>
        <v>0.37151274764556297</v>
      </c>
    </row>
    <row r="9" spans="1:14" x14ac:dyDescent="0.3">
      <c r="A9" s="123">
        <v>44986</v>
      </c>
      <c r="B9" s="124">
        <v>3.2879677419354829</v>
      </c>
      <c r="C9" s="125">
        <f t="shared" si="1"/>
        <v>2.3213764546736404</v>
      </c>
      <c r="D9" s="125">
        <f t="shared" si="2"/>
        <v>2.3560849905329593</v>
      </c>
      <c r="F9" s="140">
        <v>44986</v>
      </c>
      <c r="G9" s="17">
        <v>5.08</v>
      </c>
      <c r="H9" s="125">
        <f t="shared" si="3"/>
        <v>0.85472727272727234</v>
      </c>
      <c r="I9" s="125">
        <f t="shared" si="0"/>
        <v>0.1603538574685171</v>
      </c>
      <c r="K9" s="140">
        <v>44986</v>
      </c>
      <c r="L9" s="125">
        <v>1296.74</v>
      </c>
      <c r="M9" s="125">
        <f t="shared" si="4"/>
        <v>1.3594318181817471</v>
      </c>
      <c r="N9" s="125">
        <f t="shared" si="5"/>
        <v>1.658979843257038</v>
      </c>
    </row>
    <row r="10" spans="1:14" x14ac:dyDescent="0.3">
      <c r="A10" s="123">
        <v>45017</v>
      </c>
      <c r="B10" s="124">
        <v>1.7101666666666662</v>
      </c>
      <c r="C10" s="125">
        <f t="shared" si="1"/>
        <v>0.74357537940482377</v>
      </c>
      <c r="D10" s="125">
        <f t="shared" si="2"/>
        <v>0.75469309909575066</v>
      </c>
      <c r="F10" s="140">
        <v>45017</v>
      </c>
      <c r="G10" s="17">
        <v>2.286</v>
      </c>
      <c r="H10" s="125">
        <f t="shared" si="3"/>
        <v>-1.9392727272727277</v>
      </c>
      <c r="I10" s="125">
        <f t="shared" si="0"/>
        <v>-0.36382349367351724</v>
      </c>
      <c r="K10" s="140">
        <v>45017</v>
      </c>
      <c r="L10" s="125">
        <v>1296.4649999999999</v>
      </c>
      <c r="M10" s="125">
        <f t="shared" si="4"/>
        <v>1.0844318181816561</v>
      </c>
      <c r="N10" s="125">
        <f>M10/$N$2</f>
        <v>1.3233841548274159</v>
      </c>
    </row>
    <row r="11" spans="1:14" x14ac:dyDescent="0.3">
      <c r="A11" s="123">
        <v>45047</v>
      </c>
      <c r="B11" s="124">
        <v>1.3904305645483872</v>
      </c>
      <c r="C11" s="125">
        <f t="shared" si="1"/>
        <v>0.4238392772865448</v>
      </c>
      <c r="D11" s="125">
        <f t="shared" si="2"/>
        <v>0.43017639711244399</v>
      </c>
      <c r="F11" s="140">
        <v>45047</v>
      </c>
      <c r="G11" s="17">
        <v>3.048</v>
      </c>
      <c r="H11" s="125">
        <f t="shared" si="3"/>
        <v>-1.1772727272727277</v>
      </c>
      <c r="I11" s="125">
        <f t="shared" si="0"/>
        <v>-0.22086603427114426</v>
      </c>
      <c r="K11" s="140">
        <v>45047</v>
      </c>
      <c r="L11" s="125">
        <v>1296.175</v>
      </c>
      <c r="M11" s="125">
        <f t="shared" si="4"/>
        <v>0.79443181818169251</v>
      </c>
      <c r="N11" s="125">
        <f t="shared" si="5"/>
        <v>0.96948324702906674</v>
      </c>
    </row>
    <row r="12" spans="1:14" x14ac:dyDescent="0.3">
      <c r="A12" s="123">
        <v>45078</v>
      </c>
      <c r="B12" s="124">
        <v>0.79237163569999991</v>
      </c>
      <c r="C12" s="125">
        <f t="shared" si="1"/>
        <v>-0.17421965156184249</v>
      </c>
      <c r="D12" s="125">
        <f t="shared" si="2"/>
        <v>-0.17682453239082566</v>
      </c>
      <c r="F12" s="140">
        <v>45078</v>
      </c>
      <c r="G12" s="17">
        <v>0.50800000000000001</v>
      </c>
      <c r="H12" s="125">
        <f t="shared" si="3"/>
        <v>-3.7172727272727277</v>
      </c>
      <c r="I12" s="125">
        <f t="shared" si="0"/>
        <v>-0.69739089894572093</v>
      </c>
      <c r="K12" s="140">
        <v>45078</v>
      </c>
      <c r="L12" s="125">
        <v>1295.7150000000001</v>
      </c>
      <c r="M12" s="125">
        <f t="shared" si="4"/>
        <v>0.3344318181818835</v>
      </c>
      <c r="N12" s="125">
        <f t="shared" si="5"/>
        <v>0.40812318638357203</v>
      </c>
    </row>
    <row r="13" spans="1:14" x14ac:dyDescent="0.3">
      <c r="A13" s="123">
        <v>45108</v>
      </c>
      <c r="B13" s="124">
        <v>0.57384112900000017</v>
      </c>
      <c r="C13" s="125">
        <f t="shared" si="1"/>
        <v>-0.39275015826184223</v>
      </c>
      <c r="D13" s="125">
        <f t="shared" si="2"/>
        <v>-0.3986224427525113</v>
      </c>
      <c r="F13" s="140">
        <v>45108</v>
      </c>
      <c r="G13" s="17">
        <v>1.524</v>
      </c>
      <c r="H13" s="125">
        <f t="shared" si="3"/>
        <v>-2.7012727272727277</v>
      </c>
      <c r="I13" s="125">
        <f t="shared" si="0"/>
        <v>-0.50678095307589033</v>
      </c>
      <c r="K13" s="140">
        <v>45108</v>
      </c>
      <c r="L13" s="125">
        <v>1295.1999999999998</v>
      </c>
      <c r="M13" s="125">
        <f t="shared" si="4"/>
        <v>-0.18056818181844392</v>
      </c>
      <c r="N13" s="125">
        <f t="shared" si="5"/>
        <v>-0.22035601194845755</v>
      </c>
    </row>
    <row r="14" spans="1:14" x14ac:dyDescent="0.3">
      <c r="A14" s="123">
        <v>45139</v>
      </c>
      <c r="B14" s="124">
        <v>0.4396061111666667</v>
      </c>
      <c r="C14" s="125">
        <f t="shared" si="1"/>
        <v>-0.5269851760951757</v>
      </c>
      <c r="D14" s="125">
        <f t="shared" si="2"/>
        <v>-0.53486450296824872</v>
      </c>
      <c r="F14" s="140">
        <v>45139</v>
      </c>
      <c r="G14" s="17">
        <v>0.50800000000000001</v>
      </c>
      <c r="H14" s="125">
        <f t="shared" si="3"/>
        <v>-3.7172727272727277</v>
      </c>
      <c r="I14" s="125">
        <f t="shared" si="0"/>
        <v>-0.69739089894572093</v>
      </c>
      <c r="K14" s="140">
        <v>45139</v>
      </c>
      <c r="L14" s="125">
        <v>1294.9749999999999</v>
      </c>
      <c r="M14" s="125">
        <f t="shared" si="4"/>
        <v>-0.40556818181835297</v>
      </c>
      <c r="N14" s="125">
        <f t="shared" si="5"/>
        <v>-0.49493430248158299</v>
      </c>
    </row>
    <row r="15" spans="1:14" x14ac:dyDescent="0.3">
      <c r="A15" s="123">
        <v>45170</v>
      </c>
      <c r="B15" s="124">
        <v>7.0000000000000007E-2</v>
      </c>
      <c r="C15" s="125">
        <f t="shared" si="1"/>
        <v>-0.89659128726184245</v>
      </c>
      <c r="D15" s="125">
        <f t="shared" si="2"/>
        <v>-0.90999685566175792</v>
      </c>
      <c r="F15" s="140">
        <v>45170</v>
      </c>
      <c r="G15" s="17">
        <v>0.50800000000000001</v>
      </c>
      <c r="H15" s="125">
        <f t="shared" si="3"/>
        <v>-3.7172727272727277</v>
      </c>
      <c r="I15" s="125">
        <f t="shared" si="0"/>
        <v>-0.69739089894572093</v>
      </c>
      <c r="K15" s="140">
        <v>45170</v>
      </c>
      <c r="L15" s="125">
        <v>1294.73</v>
      </c>
      <c r="M15" s="125">
        <f t="shared" si="4"/>
        <v>-0.65056818181824383</v>
      </c>
      <c r="N15" s="125">
        <f t="shared" si="5"/>
        <v>-0.7939195521731961</v>
      </c>
    </row>
    <row r="16" spans="1:14" x14ac:dyDescent="0.3">
      <c r="A16" s="123">
        <v>45200</v>
      </c>
      <c r="B16" s="124">
        <v>7.0000000000000007E-2</v>
      </c>
      <c r="C16" s="125">
        <f t="shared" si="1"/>
        <v>-0.89659128726184245</v>
      </c>
      <c r="D16" s="125">
        <f t="shared" si="2"/>
        <v>-0.90999685566175792</v>
      </c>
      <c r="F16" s="140">
        <v>45200</v>
      </c>
      <c r="G16" s="17">
        <v>1.524</v>
      </c>
      <c r="H16" s="125">
        <f t="shared" si="3"/>
        <v>-2.7012727272727277</v>
      </c>
      <c r="I16" s="125">
        <f t="shared" si="0"/>
        <v>-0.50678095307589033</v>
      </c>
      <c r="K16" s="140">
        <v>45200</v>
      </c>
      <c r="L16" s="125">
        <v>1295.27</v>
      </c>
      <c r="M16" s="125">
        <f t="shared" si="4"/>
        <v>-0.11056818181828021</v>
      </c>
      <c r="N16" s="125">
        <f t="shared" si="5"/>
        <v>-0.13493165489347311</v>
      </c>
    </row>
    <row r="17" spans="1:14" x14ac:dyDescent="0.3">
      <c r="A17" s="123">
        <v>45231</v>
      </c>
      <c r="B17" s="124">
        <v>0.21</v>
      </c>
      <c r="C17" s="125">
        <f t="shared" si="1"/>
        <v>-0.75659128726184244</v>
      </c>
      <c r="D17" s="125">
        <f t="shared" si="2"/>
        <v>-0.76790361696687859</v>
      </c>
      <c r="F17" s="140">
        <v>45231</v>
      </c>
      <c r="G17" s="17">
        <v>0.76200000000000001</v>
      </c>
      <c r="H17" s="125">
        <f t="shared" si="3"/>
        <v>-3.4632727272727277</v>
      </c>
      <c r="I17" s="125">
        <f t="shared" si="0"/>
        <v>-0.64973841247826325</v>
      </c>
      <c r="K17" s="140">
        <v>45231</v>
      </c>
      <c r="L17" s="125">
        <v>1294.77</v>
      </c>
      <c r="M17" s="125">
        <f t="shared" si="4"/>
        <v>-0.61056818181828021</v>
      </c>
      <c r="N17" s="125">
        <f t="shared" si="5"/>
        <v>-0.74510563385622064</v>
      </c>
    </row>
    <row r="18" spans="1:14" x14ac:dyDescent="0.3">
      <c r="A18" s="123">
        <v>45261</v>
      </c>
      <c r="B18" s="124">
        <v>0.20499999999999999</v>
      </c>
      <c r="C18" s="125">
        <f t="shared" si="1"/>
        <v>-0.76159128726184244</v>
      </c>
      <c r="D18" s="125">
        <f t="shared" si="2"/>
        <v>-0.77297837549169568</v>
      </c>
      <c r="F18" s="140">
        <v>45261</v>
      </c>
      <c r="G18" s="17">
        <v>4.5720000000000001</v>
      </c>
      <c r="H18" s="125">
        <f t="shared" si="3"/>
        <v>0.34672727272727233</v>
      </c>
      <c r="I18" s="125">
        <f t="shared" si="0"/>
        <v>6.5048884533601775E-2</v>
      </c>
      <c r="K18" s="140">
        <v>45261</v>
      </c>
      <c r="L18" s="125">
        <v>1295.23</v>
      </c>
      <c r="M18" s="125">
        <f t="shared" si="4"/>
        <v>-0.15056818181824383</v>
      </c>
      <c r="N18" s="125">
        <f t="shared" si="5"/>
        <v>-0.18374557321044852</v>
      </c>
    </row>
    <row r="19" spans="1:14" x14ac:dyDescent="0.3">
      <c r="A19" s="123">
        <v>45292</v>
      </c>
      <c r="B19" s="124">
        <v>0.59</v>
      </c>
      <c r="C19" s="125">
        <f t="shared" si="1"/>
        <v>-0.37659128726184243</v>
      </c>
      <c r="D19" s="125">
        <f t="shared" si="2"/>
        <v>-0.38222196908077749</v>
      </c>
      <c r="F19" s="140">
        <v>45292</v>
      </c>
      <c r="G19" s="17">
        <v>3.302</v>
      </c>
      <c r="H19" s="125">
        <f>G19-G$2</f>
        <v>-0.92327272727272769</v>
      </c>
      <c r="I19" s="125">
        <f t="shared" si="0"/>
        <v>-0.17321354780368658</v>
      </c>
      <c r="K19" s="140">
        <v>45292</v>
      </c>
      <c r="L19" s="125">
        <v>1295.75</v>
      </c>
      <c r="M19" s="125">
        <f t="shared" si="4"/>
        <v>0.36943181818173798</v>
      </c>
      <c r="N19" s="125">
        <f t="shared" si="5"/>
        <v>0.45083536491078674</v>
      </c>
    </row>
    <row r="20" spans="1:14" x14ac:dyDescent="0.3">
      <c r="A20" s="123">
        <v>45323</v>
      </c>
      <c r="B20" s="124">
        <v>1.48</v>
      </c>
      <c r="C20" s="125">
        <f t="shared" si="1"/>
        <v>0.51340871273815758</v>
      </c>
      <c r="D20" s="125">
        <f t="shared" si="2"/>
        <v>0.52108504833666969</v>
      </c>
      <c r="F20" s="140">
        <v>45323</v>
      </c>
      <c r="G20" s="17">
        <v>2.286</v>
      </c>
      <c r="H20" s="125">
        <f t="shared" si="3"/>
        <v>-1.9392727272727277</v>
      </c>
      <c r="I20" s="125">
        <f t="shared" si="0"/>
        <v>-0.36382349367351724</v>
      </c>
      <c r="K20" s="140">
        <v>45323</v>
      </c>
      <c r="L20" s="125">
        <v>1295.71</v>
      </c>
      <c r="M20" s="125">
        <f t="shared" si="4"/>
        <v>0.32943181818177436</v>
      </c>
      <c r="N20" s="125">
        <f t="shared" si="5"/>
        <v>0.40202144659381134</v>
      </c>
    </row>
    <row r="21" spans="1:14" x14ac:dyDescent="0.3">
      <c r="A21" s="123">
        <v>45352</v>
      </c>
      <c r="B21" s="124">
        <v>5.1486987519734836E-2</v>
      </c>
      <c r="C21" s="125">
        <f t="shared" si="1"/>
        <v>-0.91510429974210761</v>
      </c>
      <c r="D21" s="125">
        <f t="shared" si="2"/>
        <v>-0.92878666924261211</v>
      </c>
      <c r="F21" s="140">
        <v>45352</v>
      </c>
      <c r="G21" s="17">
        <v>1.778</v>
      </c>
      <c r="H21" s="125">
        <f t="shared" si="3"/>
        <v>-2.4472727272727277</v>
      </c>
      <c r="I21" s="125">
        <f t="shared" si="0"/>
        <v>-0.45912846660843259</v>
      </c>
      <c r="K21" s="140">
        <v>45352</v>
      </c>
      <c r="L21" s="125">
        <v>1295.71</v>
      </c>
      <c r="M21" s="125">
        <f t="shared" si="4"/>
        <v>0.32943181818177436</v>
      </c>
      <c r="N21" s="125">
        <f t="shared" si="5"/>
        <v>0.40202144659381134</v>
      </c>
    </row>
    <row r="22" spans="1:14" x14ac:dyDescent="0.3">
      <c r="A22" s="123">
        <v>45383</v>
      </c>
      <c r="B22" s="124">
        <v>0.22965517241379313</v>
      </c>
      <c r="C22" s="125">
        <f t="shared" si="1"/>
        <v>-0.73693611484804933</v>
      </c>
      <c r="D22" s="125">
        <f t="shared" si="2"/>
        <v>-0.74795456621414913</v>
      </c>
      <c r="F22" s="140">
        <v>45383</v>
      </c>
      <c r="G22" s="17">
        <v>1.27</v>
      </c>
      <c r="H22" s="125">
        <f t="shared" si="3"/>
        <v>-2.9552727272727277</v>
      </c>
      <c r="I22" s="125">
        <f>H22/I$2</f>
        <v>-0.55443343954334789</v>
      </c>
      <c r="K22" s="140">
        <v>45383</v>
      </c>
      <c r="L22" s="125">
        <v>1295.27</v>
      </c>
      <c r="M22" s="125">
        <f t="shared" si="4"/>
        <v>-0.11056818181828021</v>
      </c>
      <c r="N22" s="125">
        <f t="shared" si="5"/>
        <v>-0.13493165489347311</v>
      </c>
    </row>
    <row r="23" spans="1:14" x14ac:dyDescent="0.3">
      <c r="A23" s="123">
        <v>45413</v>
      </c>
      <c r="B23" s="124">
        <v>0.14204261449659897</v>
      </c>
      <c r="C23" s="125">
        <f t="shared" si="1"/>
        <v>-0.82454867276524346</v>
      </c>
      <c r="D23" s="125">
        <f t="shared" si="2"/>
        <v>-0.83687708124841209</v>
      </c>
      <c r="F23" s="140">
        <v>45413</v>
      </c>
      <c r="G23" s="17">
        <v>0.50800000000000001</v>
      </c>
      <c r="H23" s="125">
        <f t="shared" si="3"/>
        <v>-3.7172727272727277</v>
      </c>
      <c r="I23" s="125">
        <f t="shared" si="0"/>
        <v>-0.69739089894572093</v>
      </c>
      <c r="K23" s="140">
        <v>45413</v>
      </c>
      <c r="L23" s="125">
        <v>1295.2750000000001</v>
      </c>
      <c r="M23" s="125">
        <f t="shared" si="4"/>
        <v>-0.10556818181817107</v>
      </c>
      <c r="N23" s="125">
        <f t="shared" si="5"/>
        <v>-0.12882991510371244</v>
      </c>
    </row>
    <row r="24" spans="1:14" x14ac:dyDescent="0.3">
      <c r="A24" s="123">
        <v>45444</v>
      </c>
      <c r="B24" s="124">
        <v>0.1041</v>
      </c>
      <c r="C24" s="125">
        <f t="shared" si="1"/>
        <v>-0.86249128726184243</v>
      </c>
      <c r="D24" s="125">
        <f t="shared" si="2"/>
        <v>-0.87538700252250512</v>
      </c>
      <c r="F24" s="140">
        <v>45444</v>
      </c>
      <c r="G24" s="17">
        <v>0.76200000000000001</v>
      </c>
      <c r="H24" s="125">
        <f>G24-G$2</f>
        <v>-3.4632727272727277</v>
      </c>
      <c r="I24" s="125">
        <f t="shared" si="0"/>
        <v>-0.64973841247826325</v>
      </c>
      <c r="K24" s="140">
        <v>45444</v>
      </c>
      <c r="L24" s="125">
        <v>1295.28</v>
      </c>
      <c r="M24" s="125">
        <f t="shared" si="4"/>
        <v>-0.1005681818182893</v>
      </c>
      <c r="N24" s="125">
        <f t="shared" si="5"/>
        <v>-0.12272817531422926</v>
      </c>
    </row>
    <row r="25" spans="1:14" x14ac:dyDescent="0.3">
      <c r="A25" s="123">
        <v>45474</v>
      </c>
      <c r="B25" s="124">
        <v>0.09</v>
      </c>
      <c r="C25" s="125">
        <f t="shared" si="1"/>
        <v>-0.87659128726184243</v>
      </c>
      <c r="D25" s="125">
        <f t="shared" si="2"/>
        <v>-0.88969782156248933</v>
      </c>
      <c r="F25" s="140">
        <v>45474</v>
      </c>
      <c r="G25" s="17">
        <v>0</v>
      </c>
      <c r="H25" s="125">
        <f>G25-G$2</f>
        <v>-4.2252727272727277</v>
      </c>
      <c r="I25" s="125">
        <f t="shared" si="0"/>
        <v>-0.79269587188063628</v>
      </c>
      <c r="K25" s="140">
        <v>45474</v>
      </c>
      <c r="L25" s="125">
        <v>1295.2850000000001</v>
      </c>
      <c r="M25" s="125">
        <f t="shared" si="4"/>
        <v>-9.5568181818180165E-2</v>
      </c>
      <c r="N25" s="125">
        <f t="shared" si="5"/>
        <v>-0.11662643552446859</v>
      </c>
    </row>
    <row r="26" spans="1:14" x14ac:dyDescent="0.3">
      <c r="A26" s="123">
        <v>45505</v>
      </c>
      <c r="B26" s="124">
        <v>6.3E-2</v>
      </c>
      <c r="C26" s="125">
        <f t="shared" si="1"/>
        <v>-0.90359128726184235</v>
      </c>
      <c r="D26" s="125">
        <f t="shared" si="2"/>
        <v>-0.91710151759650171</v>
      </c>
      <c r="F26" s="140">
        <v>45505</v>
      </c>
      <c r="G26" s="17">
        <v>0.254</v>
      </c>
      <c r="H26" s="125">
        <f>G26-G$2</f>
        <v>-3.9712727272727277</v>
      </c>
      <c r="I26" s="125">
        <f t="shared" si="0"/>
        <v>-0.7450433854131786</v>
      </c>
      <c r="K26" s="140">
        <v>45505</v>
      </c>
      <c r="L26" s="125">
        <v>1294.17</v>
      </c>
      <c r="M26" s="125">
        <f t="shared" si="4"/>
        <v>-1.2105681818181893</v>
      </c>
      <c r="N26" s="125">
        <f t="shared" si="5"/>
        <v>-1.4773144086114067</v>
      </c>
    </row>
    <row r="27" spans="1:14" x14ac:dyDescent="0.3">
      <c r="A27" s="123">
        <v>45536</v>
      </c>
      <c r="B27" s="141">
        <v>4.9329999999999999E-2</v>
      </c>
      <c r="C27" s="125">
        <f t="shared" si="1"/>
        <v>-0.91726128726184242</v>
      </c>
      <c r="D27" s="125">
        <f t="shared" si="2"/>
        <v>-0.93097590740335179</v>
      </c>
      <c r="F27" s="140">
        <v>45536</v>
      </c>
      <c r="G27" s="17">
        <v>0.254</v>
      </c>
      <c r="H27" s="125">
        <f t="shared" ref="H27:H47" si="6">G27-G$2</f>
        <v>-3.9712727272727277</v>
      </c>
      <c r="I27" s="125">
        <f t="shared" si="0"/>
        <v>-0.7450433854131786</v>
      </c>
      <c r="K27" s="142">
        <v>45536</v>
      </c>
      <c r="L27" s="143">
        <v>1294</v>
      </c>
      <c r="M27" s="143">
        <f t="shared" si="4"/>
        <v>-1.380568181818262</v>
      </c>
      <c r="N27" s="143">
        <f t="shared" si="5"/>
        <v>-1.6847735614588297</v>
      </c>
    </row>
    <row r="28" spans="1:14" x14ac:dyDescent="0.3">
      <c r="A28" s="123">
        <v>45566</v>
      </c>
      <c r="B28" s="141">
        <v>5.0323E-2</v>
      </c>
      <c r="C28" s="125">
        <f>B28-$B$2</f>
        <v>-0.9162682872618424</v>
      </c>
      <c r="D28" s="125">
        <f t="shared" si="2"/>
        <v>-0.92996806036032309</v>
      </c>
      <c r="E28" s="144" t="s">
        <v>29</v>
      </c>
      <c r="F28" s="140">
        <v>45566</v>
      </c>
      <c r="G28" s="17">
        <v>0.254</v>
      </c>
      <c r="H28" s="125">
        <f t="shared" si="6"/>
        <v>-3.9712727272727277</v>
      </c>
      <c r="I28" s="125">
        <f t="shared" si="0"/>
        <v>-0.7450433854131786</v>
      </c>
      <c r="K28" s="145">
        <v>45566</v>
      </c>
      <c r="L28" s="53">
        <v>1293.83</v>
      </c>
      <c r="M28" s="146">
        <f t="shared" si="4"/>
        <v>-1.5505681818183348</v>
      </c>
      <c r="N28" s="146">
        <f t="shared" si="5"/>
        <v>-1.8922327143062527</v>
      </c>
    </row>
    <row r="29" spans="1:14" x14ac:dyDescent="0.3">
      <c r="A29" s="123">
        <v>45597</v>
      </c>
      <c r="B29" s="141">
        <v>4.9232999999999999E-2</v>
      </c>
      <c r="C29" s="125">
        <f>B29-$B$2</f>
        <v>-0.91735828726184243</v>
      </c>
      <c r="D29" s="125">
        <f t="shared" si="2"/>
        <v>-0.93107435771873326</v>
      </c>
      <c r="F29" s="140">
        <v>45597</v>
      </c>
      <c r="G29" s="17">
        <v>0.254</v>
      </c>
      <c r="H29" s="125">
        <f t="shared" si="6"/>
        <v>-3.9712727272727277</v>
      </c>
      <c r="I29" s="125">
        <f t="shared" si="0"/>
        <v>-0.7450433854131786</v>
      </c>
      <c r="K29" s="145">
        <v>45597</v>
      </c>
      <c r="L29" s="147">
        <v>1293.8</v>
      </c>
      <c r="M29" s="146">
        <f t="shared" si="4"/>
        <v>-1.5805681818183075</v>
      </c>
      <c r="N29" s="146">
        <f t="shared" si="5"/>
        <v>-1.9288431530439842</v>
      </c>
    </row>
    <row r="30" spans="1:14" x14ac:dyDescent="0.3">
      <c r="A30" s="123">
        <v>45627</v>
      </c>
      <c r="B30" s="141">
        <v>5.5199999999999999E-2</v>
      </c>
      <c r="C30" s="125">
        <f>B30-$B$2</f>
        <v>-0.91139128726184238</v>
      </c>
      <c r="D30" s="125">
        <f t="shared" si="2"/>
        <v>-0.9250181408952165</v>
      </c>
      <c r="F30" s="140">
        <v>45627</v>
      </c>
      <c r="G30" s="17">
        <v>0.76200000000000001</v>
      </c>
      <c r="H30" s="125">
        <f t="shared" si="6"/>
        <v>-3.4632727272727277</v>
      </c>
      <c r="I30" s="125">
        <f t="shared" si="0"/>
        <v>-0.64973841247826325</v>
      </c>
      <c r="K30" s="148">
        <v>45627</v>
      </c>
      <c r="L30" s="99">
        <v>1293.56</v>
      </c>
      <c r="M30" s="149">
        <f t="shared" si="4"/>
        <v>-1.8205681818183166</v>
      </c>
      <c r="N30" s="146">
        <f t="shared" si="5"/>
        <v>-2.2217266629461143</v>
      </c>
    </row>
    <row r="31" spans="1:14" x14ac:dyDescent="0.3">
      <c r="A31" s="123">
        <v>45658</v>
      </c>
      <c r="B31" s="141">
        <v>1.36161</v>
      </c>
      <c r="C31" s="125">
        <f>B31-$B$2</f>
        <v>0.39501871273815758</v>
      </c>
      <c r="D31" s="125">
        <f t="shared" si="2"/>
        <v>0.40092491598604996</v>
      </c>
      <c r="E31">
        <f>0.05*25.4</f>
        <v>1.27</v>
      </c>
      <c r="F31" s="140">
        <v>45658</v>
      </c>
      <c r="G31" s="17">
        <v>12.446</v>
      </c>
      <c r="H31" s="125">
        <f t="shared" si="6"/>
        <v>8.220727272727272</v>
      </c>
      <c r="I31" s="125">
        <f t="shared" si="0"/>
        <v>1.5422759650247895</v>
      </c>
      <c r="K31" s="148">
        <v>45658</v>
      </c>
      <c r="L31" s="99">
        <v>1293.8900000000001</v>
      </c>
      <c r="M31" s="149">
        <f t="shared" si="4"/>
        <v>-1.490568181818162</v>
      </c>
      <c r="N31" s="146">
        <f t="shared" si="5"/>
        <v>-1.8190118368305122</v>
      </c>
    </row>
    <row r="32" spans="1:14" x14ac:dyDescent="0.3">
      <c r="A32" s="123">
        <v>45689</v>
      </c>
      <c r="B32" s="141">
        <v>1.2050000000000001</v>
      </c>
      <c r="C32" s="125">
        <f>B32-$B$2</f>
        <v>0.23840871273815767</v>
      </c>
      <c r="D32" s="125">
        <f t="shared" si="2"/>
        <v>0.24197332947172825</v>
      </c>
      <c r="F32" s="140">
        <v>45689</v>
      </c>
      <c r="G32" s="17">
        <v>13.462</v>
      </c>
      <c r="H32" s="125">
        <f t="shared" si="6"/>
        <v>9.236727272727272</v>
      </c>
      <c r="I32" s="125">
        <f t="shared" si="0"/>
        <v>1.7328859108946202</v>
      </c>
      <c r="K32" s="148">
        <v>45689</v>
      </c>
      <c r="L32" s="99">
        <v>1294.47</v>
      </c>
      <c r="M32" s="149">
        <f t="shared" si="4"/>
        <v>-0.91056818181823473</v>
      </c>
      <c r="N32" s="146">
        <f t="shared" si="5"/>
        <v>-1.1112100212338138</v>
      </c>
    </row>
    <row r="33" spans="1:14" x14ac:dyDescent="0.3">
      <c r="A33" s="123">
        <v>45717</v>
      </c>
      <c r="B33" s="141">
        <v>1.0061</v>
      </c>
      <c r="C33" s="125">
        <f t="shared" ref="C33:C47" si="7">B33-$B$2</f>
        <v>3.9508712738157592E-2</v>
      </c>
      <c r="D33" s="125">
        <f t="shared" si="2"/>
        <v>4.0099435354503186E-2</v>
      </c>
      <c r="F33" s="140">
        <v>45717</v>
      </c>
      <c r="G33" s="17">
        <v>10.414</v>
      </c>
      <c r="H33" s="125">
        <f t="shared" si="6"/>
        <v>6.188727272727272</v>
      </c>
      <c r="I33" s="125">
        <f t="shared" si="0"/>
        <v>1.1610560732851281</v>
      </c>
      <c r="K33" s="145">
        <v>45717</v>
      </c>
      <c r="L33" s="53">
        <v>1295.44</v>
      </c>
      <c r="M33" s="146">
        <f t="shared" si="4"/>
        <v>5.9431818181792551E-2</v>
      </c>
      <c r="N33" s="149">
        <f t="shared" si="5"/>
        <v>7.252749795394986E-2</v>
      </c>
    </row>
    <row r="34" spans="1:14" x14ac:dyDescent="0.3">
      <c r="A34" s="123">
        <v>45748</v>
      </c>
      <c r="B34" s="141">
        <v>3.0467</v>
      </c>
      <c r="C34" s="125">
        <f t="shared" si="7"/>
        <v>2.0801087127381575</v>
      </c>
      <c r="D34" s="125">
        <f t="shared" si="2"/>
        <v>2.1112098845028657</v>
      </c>
      <c r="F34" s="140">
        <v>45748</v>
      </c>
      <c r="G34" s="17">
        <v>11.43</v>
      </c>
      <c r="H34" s="125">
        <f t="shared" si="6"/>
        <v>7.204727272727272</v>
      </c>
      <c r="I34" s="125">
        <f t="shared" si="0"/>
        <v>1.3516660191549588</v>
      </c>
      <c r="K34" s="145">
        <v>45748</v>
      </c>
      <c r="L34" s="53">
        <f>AVERAGE(L32:L33)</f>
        <v>1294.9549999999999</v>
      </c>
      <c r="M34" s="146">
        <f t="shared" si="4"/>
        <v>-0.42556818181833478</v>
      </c>
      <c r="N34" s="149">
        <f t="shared" si="5"/>
        <v>-0.51934126164007066</v>
      </c>
    </row>
    <row r="35" spans="1:14" x14ac:dyDescent="0.3">
      <c r="A35" s="123">
        <v>45778</v>
      </c>
      <c r="B35" s="150">
        <v>2.9870999999999999</v>
      </c>
      <c r="C35" s="151">
        <f t="shared" si="7"/>
        <v>2.0205087127381574</v>
      </c>
      <c r="D35" s="151">
        <f t="shared" si="2"/>
        <v>2.0507187628870454</v>
      </c>
      <c r="F35" s="140">
        <v>45778</v>
      </c>
      <c r="G35" s="124">
        <v>14.986000000000001</v>
      </c>
      <c r="H35" s="125">
        <f t="shared" si="6"/>
        <v>10.760727272727273</v>
      </c>
      <c r="I35" s="125">
        <f t="shared" si="0"/>
        <v>2.0188008296993663</v>
      </c>
      <c r="K35" s="145">
        <v>45778</v>
      </c>
      <c r="L35" s="53">
        <v>1296.48</v>
      </c>
      <c r="M35" s="146">
        <f t="shared" si="4"/>
        <v>1.0994318181817562</v>
      </c>
      <c r="N35" s="149">
        <f t="shared" si="5"/>
        <v>1.3416893741964204</v>
      </c>
    </row>
    <row r="36" spans="1:14" x14ac:dyDescent="0.3">
      <c r="A36" s="123">
        <v>45809</v>
      </c>
      <c r="B36" s="150">
        <v>0.88800000000000001</v>
      </c>
      <c r="C36" s="151">
        <f t="shared" si="7"/>
        <v>-7.8591287261842391E-2</v>
      </c>
      <c r="D36" s="151">
        <f t="shared" si="2"/>
        <v>-7.9766361001677152E-2</v>
      </c>
      <c r="F36" s="140">
        <v>45809</v>
      </c>
      <c r="G36" s="124">
        <v>0</v>
      </c>
      <c r="H36" s="125">
        <f t="shared" si="6"/>
        <v>-4.2252727272727277</v>
      </c>
      <c r="I36" s="125">
        <f t="shared" si="0"/>
        <v>-0.79269587188063628</v>
      </c>
      <c r="K36" s="145">
        <v>45809</v>
      </c>
      <c r="L36" s="53">
        <v>1296.17</v>
      </c>
      <c r="M36" s="146">
        <f t="shared" si="4"/>
        <v>0.78943181818181074</v>
      </c>
      <c r="N36" s="149">
        <f t="shared" si="5"/>
        <v>0.96338150723958349</v>
      </c>
    </row>
    <row r="37" spans="1:14" x14ac:dyDescent="0.3">
      <c r="A37" s="123">
        <v>45839</v>
      </c>
      <c r="B37" s="150">
        <v>0.4178</v>
      </c>
      <c r="C37" s="151">
        <f t="shared" si="7"/>
        <v>-0.54879128726184234</v>
      </c>
      <c r="D37" s="151">
        <f t="shared" si="2"/>
        <v>-0.55699665267547893</v>
      </c>
      <c r="F37" s="140">
        <v>45839</v>
      </c>
      <c r="G37" s="124">
        <v>0.50800000000000001</v>
      </c>
      <c r="H37" s="125">
        <f t="shared" si="6"/>
        <v>-3.7172727272727277</v>
      </c>
      <c r="I37" s="125">
        <f t="shared" si="0"/>
        <v>-0.69739089894572093</v>
      </c>
      <c r="K37" s="145">
        <v>45839</v>
      </c>
      <c r="L37" s="53">
        <v>1295.97</v>
      </c>
      <c r="M37" s="146">
        <f t="shared" si="4"/>
        <v>0.58943181818176527</v>
      </c>
      <c r="N37" s="149">
        <f t="shared" si="5"/>
        <v>0.71931191565442898</v>
      </c>
    </row>
    <row r="38" spans="1:14" x14ac:dyDescent="0.3">
      <c r="A38" s="123">
        <v>45870</v>
      </c>
      <c r="B38" s="141">
        <v>0.28739999999999999</v>
      </c>
      <c r="C38" s="125">
        <f t="shared" si="7"/>
        <v>-0.67919128726184241</v>
      </c>
      <c r="D38" s="125">
        <f t="shared" si="2"/>
        <v>-0.68934635500270947</v>
      </c>
      <c r="F38" s="140">
        <v>45870</v>
      </c>
      <c r="G38" s="124">
        <v>1.778</v>
      </c>
      <c r="H38" s="125">
        <f t="shared" si="6"/>
        <v>-2.4472727272727277</v>
      </c>
      <c r="I38" s="125">
        <f t="shared" si="0"/>
        <v>-0.45912846660843259</v>
      </c>
      <c r="K38" s="152">
        <v>45870</v>
      </c>
      <c r="L38" s="147">
        <v>1295.93</v>
      </c>
      <c r="M38" s="153">
        <f t="shared" si="4"/>
        <v>0.54943181818180165</v>
      </c>
      <c r="N38" s="154">
        <f t="shared" si="5"/>
        <v>0.67049799733745363</v>
      </c>
    </row>
    <row r="39" spans="1:14" x14ac:dyDescent="0.3">
      <c r="A39" s="123">
        <v>45901</v>
      </c>
      <c r="B39" s="141">
        <v>0.29320000000000002</v>
      </c>
      <c r="C39" s="125">
        <f t="shared" si="7"/>
        <v>-0.67339128726184239</v>
      </c>
      <c r="D39" s="125">
        <f t="shared" si="2"/>
        <v>-0.6834596351139216</v>
      </c>
      <c r="F39" s="140">
        <v>45901</v>
      </c>
      <c r="G39" s="124">
        <v>2.778</v>
      </c>
      <c r="H39" s="125">
        <f t="shared" si="6"/>
        <v>-1.4472727272727277</v>
      </c>
      <c r="I39" s="125">
        <f t="shared" si="0"/>
        <v>-0.27152025216962289</v>
      </c>
      <c r="K39" s="145">
        <v>45901</v>
      </c>
      <c r="L39" s="53">
        <v>1295.5899999999999</v>
      </c>
      <c r="M39" s="146">
        <f t="shared" si="4"/>
        <v>0.20943181818165613</v>
      </c>
      <c r="N39" s="146">
        <f t="shared" si="5"/>
        <v>0.25557969164260763</v>
      </c>
    </row>
    <row r="40" spans="1:14" x14ac:dyDescent="0.3">
      <c r="A40" s="123">
        <v>45931</v>
      </c>
      <c r="B40" s="141">
        <v>0.59899999999999998</v>
      </c>
      <c r="C40" s="125">
        <f t="shared" si="7"/>
        <v>-0.36759128726184243</v>
      </c>
      <c r="D40" s="125">
        <f t="shared" si="2"/>
        <v>-0.37308740373610666</v>
      </c>
      <c r="F40" s="140">
        <v>45931</v>
      </c>
      <c r="G40" s="124">
        <v>2.032</v>
      </c>
      <c r="H40" s="125">
        <f t="shared" si="6"/>
        <v>-2.1932727272727277</v>
      </c>
      <c r="I40" s="125">
        <f t="shared" si="0"/>
        <v>-0.41147598014097492</v>
      </c>
      <c r="K40" s="145">
        <v>45931</v>
      </c>
      <c r="L40" s="53">
        <v>1295.6300000000001</v>
      </c>
      <c r="M40" s="146">
        <f t="shared" si="4"/>
        <v>0.24943181818184712</v>
      </c>
      <c r="N40" s="146">
        <f t="shared" si="5"/>
        <v>0.30439360995986053</v>
      </c>
    </row>
    <row r="41" spans="1:14" x14ac:dyDescent="0.3">
      <c r="A41" s="123">
        <v>45962</v>
      </c>
      <c r="B41" s="141">
        <v>0.76966000000000001</v>
      </c>
      <c r="C41" s="125">
        <f t="shared" si="7"/>
        <v>-0.19693128726184239</v>
      </c>
      <c r="D41" s="125">
        <f t="shared" si="2"/>
        <v>-0.19987574576704872</v>
      </c>
      <c r="F41" s="140">
        <v>45962</v>
      </c>
      <c r="G41" s="124">
        <v>25.146000000000001</v>
      </c>
      <c r="H41" s="125">
        <f t="shared" si="6"/>
        <v>20.920727272727273</v>
      </c>
      <c r="I41" s="125">
        <f t="shared" si="0"/>
        <v>3.9249002883976734</v>
      </c>
      <c r="K41" s="145">
        <v>45962</v>
      </c>
      <c r="L41" s="53">
        <v>1295.5899999999999</v>
      </c>
      <c r="M41" s="146">
        <f t="shared" si="4"/>
        <v>0.20943181818165613</v>
      </c>
      <c r="N41" s="146">
        <f t="shared" si="5"/>
        <v>0.25557969164260763</v>
      </c>
    </row>
    <row r="42" spans="1:14" x14ac:dyDescent="0.3">
      <c r="A42" s="123">
        <v>45992</v>
      </c>
      <c r="B42" s="141">
        <v>1.8268</v>
      </c>
      <c r="C42" s="125">
        <f t="shared" si="7"/>
        <v>0.86020871273815758</v>
      </c>
      <c r="D42" s="125">
        <f t="shared" si="2"/>
        <v>0.8730702996179851</v>
      </c>
      <c r="F42" s="140">
        <v>45992</v>
      </c>
      <c r="G42" s="124">
        <v>15.747999999999999</v>
      </c>
      <c r="H42" s="125">
        <f t="shared" si="6"/>
        <v>11.522727272727272</v>
      </c>
      <c r="I42" s="125">
        <f t="shared" si="0"/>
        <v>2.1617582891017393</v>
      </c>
      <c r="K42" s="145">
        <v>45992</v>
      </c>
      <c r="L42" s="53">
        <v>1296.0899999999999</v>
      </c>
      <c r="M42" s="146">
        <f t="shared" si="4"/>
        <v>0.70943181818165613</v>
      </c>
      <c r="N42" s="146">
        <f t="shared" si="5"/>
        <v>0.86575367060535524</v>
      </c>
    </row>
    <row r="43" spans="1:14" x14ac:dyDescent="0.3">
      <c r="A43" s="123">
        <v>46023</v>
      </c>
      <c r="B43" s="141">
        <v>2.6015999999999999</v>
      </c>
      <c r="C43" s="125">
        <f t="shared" si="7"/>
        <v>1.6350087127381574</v>
      </c>
      <c r="D43" s="125">
        <f t="shared" si="2"/>
        <v>1.6594548806236458</v>
      </c>
      <c r="F43" s="140">
        <v>46023</v>
      </c>
      <c r="G43" s="124">
        <v>7.62</v>
      </c>
      <c r="H43" s="125">
        <f t="shared" si="6"/>
        <v>3.3947272727272724</v>
      </c>
      <c r="I43" s="125">
        <f t="shared" si="0"/>
        <v>0.63687872214309382</v>
      </c>
      <c r="K43" s="145">
        <v>46023</v>
      </c>
      <c r="L43" s="53">
        <v>1296.08</v>
      </c>
      <c r="M43" s="146">
        <f t="shared" si="4"/>
        <v>0.69943181818166522</v>
      </c>
      <c r="N43" s="146">
        <f t="shared" si="5"/>
        <v>0.8535501910261114</v>
      </c>
    </row>
    <row r="44" spans="1:14" x14ac:dyDescent="0.3">
      <c r="A44" s="123">
        <v>46054</v>
      </c>
      <c r="B44" s="141">
        <v>1.8864000000000001</v>
      </c>
      <c r="C44" s="125">
        <f t="shared" si="7"/>
        <v>0.91980871273815767</v>
      </c>
      <c r="D44" s="125">
        <f t="shared" si="2"/>
        <v>0.93356142123380526</v>
      </c>
      <c r="F44" s="140">
        <v>46054</v>
      </c>
      <c r="G44" s="124">
        <v>3.81</v>
      </c>
      <c r="H44" s="125">
        <f t="shared" si="6"/>
        <v>-0.41527272727272768</v>
      </c>
      <c r="I44" s="125">
        <f t="shared" si="0"/>
        <v>-7.7908574868771244E-2</v>
      </c>
      <c r="K44" s="145">
        <v>46054</v>
      </c>
      <c r="L44" s="53">
        <v>1296.32</v>
      </c>
      <c r="M44" s="146">
        <f t="shared" si="4"/>
        <v>0.93943181818167432</v>
      </c>
      <c r="N44" s="146">
        <f t="shared" si="5"/>
        <v>1.1464337009282413</v>
      </c>
    </row>
    <row r="45" spans="1:14" x14ac:dyDescent="0.3">
      <c r="A45" s="123">
        <v>46082</v>
      </c>
      <c r="B45" s="141">
        <v>1.2432000000000001</v>
      </c>
      <c r="C45" s="125">
        <f t="shared" si="7"/>
        <v>0.27660871273815768</v>
      </c>
      <c r="D45" s="125">
        <f t="shared" si="2"/>
        <v>0.28074448460133106</v>
      </c>
      <c r="F45" s="140">
        <v>46082</v>
      </c>
      <c r="G45" s="124">
        <v>6.35</v>
      </c>
      <c r="H45" s="125">
        <f t="shared" si="6"/>
        <v>2.1247272727272719</v>
      </c>
      <c r="I45" s="125">
        <f t="shared" si="0"/>
        <v>0.39861628980580538</v>
      </c>
      <c r="K45" s="145">
        <v>46082</v>
      </c>
      <c r="L45" s="155">
        <v>1296.33</v>
      </c>
      <c r="M45" s="146">
        <f t="shared" si="4"/>
        <v>0.94943181818166522</v>
      </c>
      <c r="N45" s="146">
        <f t="shared" si="5"/>
        <v>1.1586371805074851</v>
      </c>
    </row>
    <row r="46" spans="1:14" x14ac:dyDescent="0.3">
      <c r="A46" s="123">
        <v>46113</v>
      </c>
      <c r="B46" s="141">
        <v>1.1406666700000001</v>
      </c>
      <c r="C46" s="125">
        <f t="shared" si="7"/>
        <v>0.1740753827381577</v>
      </c>
      <c r="D46" s="125">
        <f t="shared" si="2"/>
        <v>0.17667810650225371</v>
      </c>
      <c r="F46" s="140">
        <v>46113</v>
      </c>
      <c r="G46" s="17">
        <v>4.5719999999999992</v>
      </c>
      <c r="H46" s="125">
        <f t="shared" si="6"/>
        <v>0.34672727272727144</v>
      </c>
      <c r="I46" s="125">
        <f t="shared" si="0"/>
        <v>6.5048884533601609E-2</v>
      </c>
      <c r="K46" s="145">
        <v>46113</v>
      </c>
      <c r="L46" s="53">
        <v>1296.33</v>
      </c>
      <c r="M46" s="146">
        <f t="shared" si="4"/>
        <v>0.94943181818166522</v>
      </c>
      <c r="N46" s="146">
        <f t="shared" si="5"/>
        <v>1.1586371805074851</v>
      </c>
    </row>
    <row r="47" spans="1:14" x14ac:dyDescent="0.3">
      <c r="A47" s="123">
        <v>46143</v>
      </c>
      <c r="B47" s="141">
        <v>0.90677419400000003</v>
      </c>
      <c r="C47" s="125">
        <f t="shared" si="7"/>
        <v>-5.9817093261842369E-2</v>
      </c>
      <c r="D47" s="125">
        <f t="shared" si="2"/>
        <v>-6.0711460792063042E-2</v>
      </c>
      <c r="F47" s="140">
        <v>46143</v>
      </c>
      <c r="G47" s="17">
        <v>2.286</v>
      </c>
      <c r="H47" s="125">
        <f t="shared" si="6"/>
        <v>-1.9392727272727277</v>
      </c>
      <c r="I47" s="125">
        <f t="shared" si="0"/>
        <v>-0.36382349367351724</v>
      </c>
      <c r="K47" s="145">
        <v>46143</v>
      </c>
      <c r="L47" s="53">
        <v>1296.08</v>
      </c>
      <c r="M47" s="146">
        <f t="shared" si="4"/>
        <v>0.69943181818166522</v>
      </c>
      <c r="N47" s="146">
        <f t="shared" si="5"/>
        <v>0.8535501910261114</v>
      </c>
    </row>
    <row r="48" spans="1:14" x14ac:dyDescent="0.3">
      <c r="A48" s="156"/>
      <c r="B48" s="124"/>
      <c r="C48" s="125"/>
    </row>
    <row r="49" spans="1:3" x14ac:dyDescent="0.3">
      <c r="A49" s="156"/>
      <c r="B49" s="124"/>
      <c r="C49" s="125"/>
    </row>
    <row r="50" spans="1:3" x14ac:dyDescent="0.3">
      <c r="A50" s="156"/>
      <c r="B50" s="124"/>
      <c r="C50" s="125"/>
    </row>
    <row r="51" spans="1:3" x14ac:dyDescent="0.3">
      <c r="A51" s="156"/>
      <c r="B51" s="124"/>
      <c r="C51" s="125"/>
    </row>
    <row r="52" spans="1:3" x14ac:dyDescent="0.3">
      <c r="A52" s="156"/>
      <c r="B52" s="124"/>
      <c r="C52" s="125"/>
    </row>
    <row r="53" spans="1:3" x14ac:dyDescent="0.3">
      <c r="A53" s="156"/>
      <c r="B53" s="124"/>
      <c r="C53" s="125"/>
    </row>
    <row r="54" spans="1:3" x14ac:dyDescent="0.3">
      <c r="A54" s="156"/>
      <c r="B54" s="124"/>
      <c r="C54" s="125"/>
    </row>
    <row r="55" spans="1:3" x14ac:dyDescent="0.3">
      <c r="A55" s="156"/>
      <c r="B55" s="124"/>
      <c r="C55" s="125"/>
    </row>
    <row r="56" spans="1:3" x14ac:dyDescent="0.3">
      <c r="A56" s="156"/>
      <c r="B56" s="124"/>
      <c r="C56" s="125"/>
    </row>
    <row r="57" spans="1:3" x14ac:dyDescent="0.3">
      <c r="A57" s="156"/>
      <c r="B57" s="124"/>
      <c r="C57" s="125"/>
    </row>
    <row r="58" spans="1:3" x14ac:dyDescent="0.3">
      <c r="A58" s="156"/>
      <c r="B58" s="124"/>
      <c r="C58" s="125"/>
    </row>
    <row r="59" spans="1:3" x14ac:dyDescent="0.3">
      <c r="A59" s="156"/>
      <c r="B59" s="124"/>
      <c r="C59" s="125"/>
    </row>
    <row r="60" spans="1:3" x14ac:dyDescent="0.3">
      <c r="A60" s="156"/>
      <c r="B60" s="124"/>
      <c r="C60" s="125"/>
    </row>
    <row r="61" spans="1:3" x14ac:dyDescent="0.3">
      <c r="A61" s="156"/>
      <c r="B61" s="124"/>
      <c r="C61" s="125"/>
    </row>
    <row r="62" spans="1:3" x14ac:dyDescent="0.3">
      <c r="A62" s="156"/>
      <c r="B62" s="124"/>
      <c r="C62" s="125"/>
    </row>
    <row r="63" spans="1:3" x14ac:dyDescent="0.3">
      <c r="A63" s="156"/>
      <c r="B63" s="124"/>
      <c r="C63" s="125"/>
    </row>
    <row r="64" spans="1:3" x14ac:dyDescent="0.3">
      <c r="A64" s="156"/>
      <c r="B64" s="124"/>
      <c r="C64" s="125"/>
    </row>
    <row r="65" spans="1:3" x14ac:dyDescent="0.3">
      <c r="A65" s="156"/>
      <c r="B65" s="124"/>
      <c r="C65" s="125"/>
    </row>
    <row r="66" spans="1:3" x14ac:dyDescent="0.3">
      <c r="A66" s="156"/>
      <c r="B66" s="124"/>
      <c r="C66" s="125"/>
    </row>
    <row r="67" spans="1:3" x14ac:dyDescent="0.3">
      <c r="A67" s="156"/>
      <c r="B67" s="124"/>
      <c r="C67" s="125"/>
    </row>
    <row r="68" spans="1:3" x14ac:dyDescent="0.3">
      <c r="A68" s="156"/>
      <c r="B68" s="124"/>
      <c r="C68" s="125"/>
    </row>
    <row r="69" spans="1:3" x14ac:dyDescent="0.3">
      <c r="A69" s="156"/>
      <c r="B69" s="124"/>
      <c r="C69" s="125"/>
    </row>
    <row r="70" spans="1:3" x14ac:dyDescent="0.3">
      <c r="A70" s="156"/>
      <c r="B70" s="124"/>
      <c r="C70" s="125"/>
    </row>
    <row r="71" spans="1:3" x14ac:dyDescent="0.3">
      <c r="A71" s="156"/>
      <c r="B71" s="124"/>
      <c r="C71" s="125"/>
    </row>
    <row r="72" spans="1:3" x14ac:dyDescent="0.3">
      <c r="A72" s="156"/>
      <c r="B72" s="124"/>
      <c r="C72" s="125"/>
    </row>
    <row r="73" spans="1:3" x14ac:dyDescent="0.3">
      <c r="A73" s="156"/>
      <c r="B73" s="124"/>
      <c r="C73" s="125"/>
    </row>
    <row r="74" spans="1:3" x14ac:dyDescent="0.3">
      <c r="A74" s="156"/>
      <c r="B74" s="124"/>
      <c r="C74" s="125"/>
    </row>
    <row r="75" spans="1:3" x14ac:dyDescent="0.3">
      <c r="A75" s="156"/>
      <c r="B75" s="124"/>
      <c r="C75" s="125"/>
    </row>
    <row r="76" spans="1:3" x14ac:dyDescent="0.3">
      <c r="A76" s="156"/>
      <c r="B76" s="124"/>
      <c r="C76" s="125"/>
    </row>
    <row r="77" spans="1:3" x14ac:dyDescent="0.3">
      <c r="A77" s="156"/>
      <c r="B77" s="124"/>
      <c r="C77" s="125"/>
    </row>
    <row r="78" spans="1:3" x14ac:dyDescent="0.3">
      <c r="A78" s="156"/>
      <c r="B78" s="124"/>
      <c r="C78" s="125"/>
    </row>
    <row r="79" spans="1:3" x14ac:dyDescent="0.3">
      <c r="A79" s="156"/>
      <c r="B79" s="124"/>
      <c r="C79" s="125"/>
    </row>
    <row r="80" spans="1:3" x14ac:dyDescent="0.3">
      <c r="A80" s="156"/>
      <c r="B80" s="124"/>
      <c r="C80" s="125"/>
    </row>
    <row r="81" spans="1:3" x14ac:dyDescent="0.3">
      <c r="A81" s="156"/>
      <c r="B81" s="124"/>
      <c r="C81" s="125"/>
    </row>
    <row r="82" spans="1:3" x14ac:dyDescent="0.3">
      <c r="A82" s="156"/>
      <c r="B82" s="124"/>
      <c r="C82" s="125"/>
    </row>
    <row r="83" spans="1:3" x14ac:dyDescent="0.3">
      <c r="A83" s="156"/>
      <c r="B83" s="124"/>
      <c r="C83" s="125"/>
    </row>
    <row r="84" spans="1:3" x14ac:dyDescent="0.3">
      <c r="A84" s="156"/>
      <c r="B84" s="124"/>
      <c r="C84" s="125"/>
    </row>
    <row r="85" spans="1:3" x14ac:dyDescent="0.3">
      <c r="A85" s="156"/>
      <c r="B85" s="124"/>
      <c r="C85" s="125"/>
    </row>
    <row r="86" spans="1:3" x14ac:dyDescent="0.3">
      <c r="A86" s="156"/>
      <c r="B86" s="124"/>
      <c r="C86" s="125"/>
    </row>
    <row r="87" spans="1:3" x14ac:dyDescent="0.3">
      <c r="A87" s="156"/>
      <c r="B87" s="124"/>
      <c r="C87" s="125"/>
    </row>
    <row r="88" spans="1:3" x14ac:dyDescent="0.3">
      <c r="A88" s="156"/>
      <c r="B88" s="124"/>
      <c r="C88" s="125"/>
    </row>
    <row r="89" spans="1:3" x14ac:dyDescent="0.3">
      <c r="A89" s="156"/>
      <c r="B89" s="124"/>
      <c r="C89" s="125"/>
    </row>
    <row r="90" spans="1:3" x14ac:dyDescent="0.3">
      <c r="A90" s="156"/>
      <c r="B90" s="124"/>
      <c r="C90" s="125"/>
    </row>
    <row r="91" spans="1:3" x14ac:dyDescent="0.3">
      <c r="A91" s="156"/>
      <c r="B91" s="124"/>
      <c r="C91" s="125"/>
    </row>
    <row r="92" spans="1:3" x14ac:dyDescent="0.3">
      <c r="A92" s="156"/>
      <c r="B92" s="124"/>
      <c r="C92" s="125"/>
    </row>
    <row r="93" spans="1:3" x14ac:dyDescent="0.3">
      <c r="A93" s="156"/>
      <c r="B93" s="124"/>
      <c r="C93" s="125"/>
    </row>
    <row r="94" spans="1:3" x14ac:dyDescent="0.3">
      <c r="A94" s="156"/>
      <c r="B94" s="124"/>
      <c r="C94" s="125"/>
    </row>
    <row r="95" spans="1:3" x14ac:dyDescent="0.3">
      <c r="A95" s="156"/>
      <c r="B95" s="124"/>
      <c r="C95" s="125"/>
    </row>
    <row r="96" spans="1:3" x14ac:dyDescent="0.3">
      <c r="A96" s="156"/>
      <c r="B96" s="124"/>
      <c r="C96" s="125"/>
    </row>
    <row r="97" spans="1:3" x14ac:dyDescent="0.3">
      <c r="A97" s="156"/>
      <c r="B97" s="124"/>
      <c r="C97" s="125"/>
    </row>
    <row r="98" spans="1:3" x14ac:dyDescent="0.3">
      <c r="A98" s="156"/>
      <c r="B98" s="124"/>
      <c r="C98" s="125"/>
    </row>
    <row r="99" spans="1:3" x14ac:dyDescent="0.3">
      <c r="A99" s="156"/>
      <c r="B99" s="124"/>
      <c r="C99" s="125"/>
    </row>
    <row r="100" spans="1:3" x14ac:dyDescent="0.3">
      <c r="A100" s="156"/>
      <c r="B100" s="124"/>
      <c r="C100" s="125"/>
    </row>
    <row r="101" spans="1:3" x14ac:dyDescent="0.3">
      <c r="A101" s="156"/>
      <c r="B101" s="124"/>
      <c r="C101" s="125"/>
    </row>
    <row r="102" spans="1:3" x14ac:dyDescent="0.3">
      <c r="A102" s="156"/>
      <c r="B102" s="124"/>
      <c r="C102" s="125"/>
    </row>
    <row r="103" spans="1:3" x14ac:dyDescent="0.3">
      <c r="A103" s="156"/>
      <c r="B103" s="124"/>
      <c r="C103" s="125"/>
    </row>
    <row r="104" spans="1:3" x14ac:dyDescent="0.3">
      <c r="A104" s="156"/>
      <c r="B104" s="124"/>
      <c r="C104" s="125"/>
    </row>
    <row r="105" spans="1:3" x14ac:dyDescent="0.3">
      <c r="A105" s="156"/>
      <c r="B105" s="124"/>
      <c r="C105" s="125"/>
    </row>
    <row r="106" spans="1:3" x14ac:dyDescent="0.3">
      <c r="A106" s="156"/>
      <c r="B106" s="124"/>
      <c r="C106" s="125"/>
    </row>
    <row r="107" spans="1:3" x14ac:dyDescent="0.3">
      <c r="A107" s="156"/>
      <c r="B107" s="124"/>
      <c r="C107" s="125"/>
    </row>
    <row r="108" spans="1:3" x14ac:dyDescent="0.3">
      <c r="A108" s="156"/>
      <c r="B108" s="124"/>
      <c r="C108" s="125"/>
    </row>
    <row r="109" spans="1:3" x14ac:dyDescent="0.3">
      <c r="A109" s="156"/>
      <c r="B109" s="124"/>
      <c r="C109" s="125"/>
    </row>
    <row r="110" spans="1:3" x14ac:dyDescent="0.3">
      <c r="A110" s="156"/>
      <c r="B110" s="124"/>
      <c r="C110" s="125"/>
    </row>
    <row r="111" spans="1:3" x14ac:dyDescent="0.3">
      <c r="A111" s="156"/>
      <c r="B111" s="124"/>
      <c r="C111" s="125"/>
    </row>
    <row r="112" spans="1:3" x14ac:dyDescent="0.3">
      <c r="A112" s="156"/>
      <c r="B112" s="124"/>
      <c r="C112" s="125"/>
    </row>
    <row r="113" spans="1:3" x14ac:dyDescent="0.3">
      <c r="A113" s="156"/>
      <c r="B113" s="124"/>
      <c r="C113" s="125"/>
    </row>
    <row r="114" spans="1:3" x14ac:dyDescent="0.3">
      <c r="A114" s="156"/>
      <c r="B114" s="124"/>
      <c r="C114" s="125"/>
    </row>
    <row r="115" spans="1:3" x14ac:dyDescent="0.3">
      <c r="A115" s="156"/>
      <c r="B115" s="124"/>
      <c r="C115" s="125"/>
    </row>
    <row r="116" spans="1:3" x14ac:dyDescent="0.3">
      <c r="A116" s="156"/>
      <c r="B116" s="124"/>
      <c r="C116" s="125"/>
    </row>
    <row r="117" spans="1:3" x14ac:dyDescent="0.3">
      <c r="A117" s="156"/>
      <c r="B117" s="124"/>
      <c r="C117" s="125"/>
    </row>
    <row r="118" spans="1:3" x14ac:dyDescent="0.3">
      <c r="A118" s="156"/>
      <c r="B118" s="124"/>
      <c r="C118" s="125"/>
    </row>
    <row r="119" spans="1:3" x14ac:dyDescent="0.3">
      <c r="A119" s="156"/>
      <c r="B119" s="124"/>
      <c r="C119" s="125"/>
    </row>
    <row r="120" spans="1:3" x14ac:dyDescent="0.3">
      <c r="A120" s="156"/>
      <c r="B120" s="124"/>
      <c r="C120" s="125"/>
    </row>
    <row r="121" spans="1:3" x14ac:dyDescent="0.3">
      <c r="A121" s="156"/>
      <c r="B121" s="124"/>
      <c r="C121" s="125"/>
    </row>
    <row r="122" spans="1:3" x14ac:dyDescent="0.3">
      <c r="A122" s="156"/>
      <c r="B122" s="124"/>
      <c r="C122" s="125"/>
    </row>
    <row r="123" spans="1:3" x14ac:dyDescent="0.3">
      <c r="A123" s="156"/>
      <c r="B123" s="124"/>
      <c r="C123" s="125"/>
    </row>
    <row r="124" spans="1:3" x14ac:dyDescent="0.3">
      <c r="A124" s="156"/>
      <c r="B124" s="124"/>
      <c r="C124" s="125"/>
    </row>
    <row r="125" spans="1:3" x14ac:dyDescent="0.3">
      <c r="A125" s="156"/>
      <c r="B125" s="124"/>
      <c r="C125" s="125"/>
    </row>
    <row r="126" spans="1:3" x14ac:dyDescent="0.3">
      <c r="A126" s="156"/>
      <c r="B126" s="124"/>
      <c r="C126" s="125"/>
    </row>
    <row r="127" spans="1:3" x14ac:dyDescent="0.3">
      <c r="A127" s="156"/>
      <c r="B127" s="124"/>
      <c r="C127" s="125"/>
    </row>
    <row r="128" spans="1:3" x14ac:dyDescent="0.3">
      <c r="A128" s="156"/>
      <c r="B128" s="124"/>
      <c r="C128" s="125"/>
    </row>
    <row r="129" spans="1:3" x14ac:dyDescent="0.3">
      <c r="A129" s="156"/>
      <c r="B129" s="124"/>
      <c r="C129" s="125"/>
    </row>
    <row r="130" spans="1:3" x14ac:dyDescent="0.3">
      <c r="A130" s="156"/>
      <c r="B130" s="124"/>
      <c r="C130" s="125"/>
    </row>
    <row r="131" spans="1:3" x14ac:dyDescent="0.3">
      <c r="A131" s="156"/>
      <c r="B131" s="124"/>
      <c r="C131" s="125"/>
    </row>
    <row r="132" spans="1:3" x14ac:dyDescent="0.3">
      <c r="A132" s="156"/>
      <c r="B132" s="124"/>
      <c r="C132" s="125"/>
    </row>
    <row r="133" spans="1:3" x14ac:dyDescent="0.3">
      <c r="A133" s="156"/>
      <c r="B133" s="124"/>
      <c r="C133" s="125"/>
    </row>
    <row r="134" spans="1:3" x14ac:dyDescent="0.3">
      <c r="A134" s="156"/>
      <c r="B134" s="124"/>
      <c r="C134" s="125"/>
    </row>
    <row r="135" spans="1:3" x14ac:dyDescent="0.3">
      <c r="A135" s="156"/>
      <c r="B135" s="124"/>
      <c r="C135" s="125"/>
    </row>
    <row r="136" spans="1:3" x14ac:dyDescent="0.3">
      <c r="A136" s="156"/>
      <c r="B136" s="124"/>
      <c r="C136" s="125"/>
    </row>
    <row r="137" spans="1:3" x14ac:dyDescent="0.3">
      <c r="A137" s="156"/>
      <c r="B137" s="124"/>
      <c r="C137" s="125"/>
    </row>
    <row r="138" spans="1:3" x14ac:dyDescent="0.3">
      <c r="A138" s="156"/>
      <c r="B138" s="124"/>
      <c r="C138" s="125"/>
    </row>
    <row r="139" spans="1:3" x14ac:dyDescent="0.3">
      <c r="A139" s="156"/>
      <c r="B139" s="124"/>
      <c r="C139" s="125"/>
    </row>
    <row r="140" spans="1:3" x14ac:dyDescent="0.3">
      <c r="A140" s="156"/>
      <c r="B140" s="124"/>
      <c r="C140" s="125"/>
    </row>
    <row r="141" spans="1:3" x14ac:dyDescent="0.3">
      <c r="A141" s="156"/>
      <c r="B141" s="124"/>
      <c r="C141" s="125"/>
    </row>
    <row r="142" spans="1:3" x14ac:dyDescent="0.3">
      <c r="A142" s="156"/>
      <c r="B142" s="124"/>
      <c r="C142" s="125"/>
    </row>
    <row r="143" spans="1:3" x14ac:dyDescent="0.3">
      <c r="A143" s="156"/>
      <c r="B143" s="124"/>
      <c r="C143" s="125"/>
    </row>
    <row r="144" spans="1:3" x14ac:dyDescent="0.3">
      <c r="A144" s="156"/>
      <c r="B144" s="124"/>
      <c r="C144" s="125"/>
    </row>
    <row r="145" spans="1:3" x14ac:dyDescent="0.3">
      <c r="A145" s="156"/>
      <c r="B145" s="124"/>
      <c r="C145" s="125"/>
    </row>
    <row r="146" spans="1:3" x14ac:dyDescent="0.3">
      <c r="A146" s="156"/>
      <c r="B146" s="124"/>
      <c r="C146" s="125"/>
    </row>
    <row r="147" spans="1:3" x14ac:dyDescent="0.3">
      <c r="A147" s="156"/>
      <c r="B147" s="124"/>
      <c r="C147" s="125"/>
    </row>
    <row r="148" spans="1:3" x14ac:dyDescent="0.3">
      <c r="A148" s="156"/>
      <c r="B148" s="124"/>
      <c r="C148" s="125"/>
    </row>
    <row r="149" spans="1:3" x14ac:dyDescent="0.3">
      <c r="A149" s="156"/>
      <c r="B149" s="124"/>
      <c r="C149" s="125"/>
    </row>
    <row r="150" spans="1:3" x14ac:dyDescent="0.3">
      <c r="A150" s="156"/>
      <c r="B150" s="124"/>
      <c r="C150" s="125"/>
    </row>
    <row r="151" spans="1:3" x14ac:dyDescent="0.3">
      <c r="A151" s="156"/>
      <c r="B151" s="124"/>
      <c r="C151" s="125"/>
    </row>
    <row r="152" spans="1:3" x14ac:dyDescent="0.3">
      <c r="A152" s="156"/>
      <c r="B152" s="124"/>
      <c r="C152" s="125"/>
    </row>
    <row r="153" spans="1:3" x14ac:dyDescent="0.3">
      <c r="A153" s="156"/>
      <c r="B153" s="124"/>
      <c r="C153" s="125"/>
    </row>
    <row r="154" spans="1:3" x14ac:dyDescent="0.3">
      <c r="A154" s="156"/>
      <c r="B154" s="124"/>
      <c r="C154" s="125"/>
    </row>
    <row r="155" spans="1:3" x14ac:dyDescent="0.3">
      <c r="A155" s="156"/>
      <c r="B155" s="124"/>
      <c r="C155" s="125"/>
    </row>
    <row r="156" spans="1:3" x14ac:dyDescent="0.3">
      <c r="A156" s="156"/>
      <c r="B156" s="124"/>
      <c r="C156" s="125"/>
    </row>
    <row r="157" spans="1:3" x14ac:dyDescent="0.3">
      <c r="A157" s="156"/>
      <c r="B157" s="124"/>
      <c r="C157" s="125"/>
    </row>
    <row r="158" spans="1:3" x14ac:dyDescent="0.3">
      <c r="A158" s="156"/>
      <c r="B158" s="124"/>
      <c r="C158" s="125"/>
    </row>
    <row r="159" spans="1:3" x14ac:dyDescent="0.3">
      <c r="A159" s="156"/>
      <c r="B159" s="124"/>
      <c r="C159" s="125"/>
    </row>
    <row r="160" spans="1:3" x14ac:dyDescent="0.3">
      <c r="A160" s="156"/>
      <c r="B160" s="124"/>
      <c r="C160" s="125"/>
    </row>
    <row r="161" spans="1:3" x14ac:dyDescent="0.3">
      <c r="A161" s="156"/>
      <c r="B161" s="124"/>
      <c r="C161" s="125"/>
    </row>
    <row r="162" spans="1:3" x14ac:dyDescent="0.3">
      <c r="A162" s="156"/>
      <c r="B162" s="124"/>
      <c r="C162" s="125"/>
    </row>
    <row r="163" spans="1:3" x14ac:dyDescent="0.3">
      <c r="A163" s="156"/>
      <c r="B163" s="124"/>
      <c r="C163" s="125"/>
    </row>
    <row r="164" spans="1:3" x14ac:dyDescent="0.3">
      <c r="A164" s="156"/>
      <c r="B164" s="124"/>
      <c r="C164" s="125"/>
    </row>
    <row r="165" spans="1:3" x14ac:dyDescent="0.3">
      <c r="A165" s="156"/>
      <c r="B165" s="124"/>
      <c r="C165" s="125"/>
    </row>
    <row r="166" spans="1:3" x14ac:dyDescent="0.3">
      <c r="A166" s="156"/>
      <c r="B166" s="124"/>
      <c r="C166" s="125"/>
    </row>
    <row r="167" spans="1:3" x14ac:dyDescent="0.3">
      <c r="A167" s="156"/>
      <c r="B167" s="124"/>
      <c r="C167" s="125"/>
    </row>
    <row r="168" spans="1:3" x14ac:dyDescent="0.3">
      <c r="A168" s="156"/>
      <c r="B168" s="124"/>
      <c r="C168" s="125"/>
    </row>
    <row r="169" spans="1:3" x14ac:dyDescent="0.3">
      <c r="A169" s="156"/>
      <c r="B169" s="124"/>
      <c r="C169" s="125"/>
    </row>
    <row r="170" spans="1:3" x14ac:dyDescent="0.3">
      <c r="A170" s="156"/>
      <c r="B170" s="124"/>
      <c r="C170" s="125"/>
    </row>
    <row r="171" spans="1:3" x14ac:dyDescent="0.3">
      <c r="A171" s="156"/>
      <c r="B171" s="124"/>
      <c r="C171" s="125"/>
    </row>
    <row r="172" spans="1:3" x14ac:dyDescent="0.3">
      <c r="A172" s="156"/>
      <c r="B172" s="124"/>
      <c r="C172" s="125"/>
    </row>
    <row r="173" spans="1:3" x14ac:dyDescent="0.3">
      <c r="A173" s="156"/>
      <c r="B173" s="124"/>
      <c r="C173" s="125"/>
    </row>
    <row r="174" spans="1:3" x14ac:dyDescent="0.3">
      <c r="A174" s="156"/>
      <c r="B174" s="124"/>
      <c r="C174" s="125"/>
    </row>
    <row r="175" spans="1:3" x14ac:dyDescent="0.3">
      <c r="A175" s="156"/>
      <c r="B175" s="124"/>
      <c r="C175" s="125"/>
    </row>
    <row r="176" spans="1:3" x14ac:dyDescent="0.3">
      <c r="A176" s="156"/>
      <c r="B176" s="124"/>
      <c r="C176" s="125"/>
    </row>
    <row r="177" spans="1:3" x14ac:dyDescent="0.3">
      <c r="A177" s="156"/>
      <c r="B177" s="124"/>
      <c r="C177" s="125"/>
    </row>
    <row r="178" spans="1:3" x14ac:dyDescent="0.3">
      <c r="A178" s="156"/>
      <c r="B178" s="124"/>
      <c r="C178" s="125"/>
    </row>
    <row r="179" spans="1:3" x14ac:dyDescent="0.3">
      <c r="A179" s="156"/>
      <c r="B179" s="124"/>
      <c r="C179" s="125"/>
    </row>
    <row r="180" spans="1:3" x14ac:dyDescent="0.3">
      <c r="A180" s="156"/>
      <c r="B180" s="124"/>
      <c r="C180" s="125"/>
    </row>
    <row r="181" spans="1:3" x14ac:dyDescent="0.3">
      <c r="A181" s="156"/>
      <c r="B181" s="124"/>
      <c r="C181" s="125"/>
    </row>
    <row r="182" spans="1:3" x14ac:dyDescent="0.3">
      <c r="A182" s="156"/>
      <c r="B182" s="124"/>
      <c r="C182" s="125"/>
    </row>
    <row r="183" spans="1:3" x14ac:dyDescent="0.3">
      <c r="A183" s="156"/>
      <c r="B183" s="124"/>
      <c r="C183" s="125"/>
    </row>
    <row r="184" spans="1:3" x14ac:dyDescent="0.3">
      <c r="A184" s="156"/>
      <c r="B184" s="124"/>
      <c r="C184" s="125"/>
    </row>
    <row r="185" spans="1:3" x14ac:dyDescent="0.3">
      <c r="A185" s="156"/>
      <c r="B185" s="124"/>
      <c r="C185" s="125"/>
    </row>
    <row r="186" spans="1:3" x14ac:dyDescent="0.3">
      <c r="A186" s="156"/>
      <c r="B186" s="124"/>
      <c r="C186" s="125"/>
    </row>
    <row r="187" spans="1:3" x14ac:dyDescent="0.3">
      <c r="A187" s="156"/>
      <c r="B187" s="124"/>
      <c r="C187" s="125"/>
    </row>
    <row r="188" spans="1:3" x14ac:dyDescent="0.3">
      <c r="A188" s="156"/>
      <c r="B188" s="124"/>
      <c r="C188" s="125"/>
    </row>
    <row r="189" spans="1:3" x14ac:dyDescent="0.3">
      <c r="A189" s="156"/>
      <c r="B189" s="124"/>
      <c r="C189" s="125"/>
    </row>
    <row r="190" spans="1:3" x14ac:dyDescent="0.3">
      <c r="A190" s="156"/>
      <c r="B190" s="124"/>
      <c r="C190" s="125"/>
    </row>
    <row r="191" spans="1:3" x14ac:dyDescent="0.3">
      <c r="A191" s="156"/>
      <c r="B191" s="124"/>
      <c r="C191" s="125"/>
    </row>
    <row r="192" spans="1:3" x14ac:dyDescent="0.3">
      <c r="A192" s="156"/>
      <c r="B192" s="124"/>
      <c r="C192" s="125"/>
    </row>
    <row r="193" spans="1:3" x14ac:dyDescent="0.3">
      <c r="A193" s="156"/>
      <c r="B193" s="124"/>
      <c r="C193" s="125"/>
    </row>
    <row r="194" spans="1:3" x14ac:dyDescent="0.3">
      <c r="A194" s="156"/>
      <c r="B194" s="124"/>
      <c r="C194" s="125"/>
    </row>
    <row r="195" spans="1:3" x14ac:dyDescent="0.3">
      <c r="A195" s="156"/>
      <c r="B195" s="124"/>
      <c r="C195" s="125"/>
    </row>
    <row r="196" spans="1:3" x14ac:dyDescent="0.3">
      <c r="A196" s="156"/>
      <c r="B196" s="124"/>
      <c r="C196" s="125"/>
    </row>
    <row r="197" spans="1:3" x14ac:dyDescent="0.3">
      <c r="A197" s="156"/>
      <c r="B197" s="124"/>
      <c r="C197" s="125"/>
    </row>
    <row r="198" spans="1:3" x14ac:dyDescent="0.3">
      <c r="A198" s="156"/>
      <c r="B198" s="124"/>
      <c r="C198" s="125"/>
    </row>
    <row r="199" spans="1:3" x14ac:dyDescent="0.3">
      <c r="A199" s="156"/>
      <c r="B199" s="124"/>
      <c r="C199" s="125"/>
    </row>
    <row r="200" spans="1:3" x14ac:dyDescent="0.3">
      <c r="A200" s="156"/>
      <c r="B200" s="124"/>
      <c r="C200" s="125"/>
    </row>
    <row r="201" spans="1:3" x14ac:dyDescent="0.3">
      <c r="A201" s="156"/>
      <c r="B201" s="124"/>
      <c r="C201" s="125"/>
    </row>
    <row r="202" spans="1:3" x14ac:dyDescent="0.3">
      <c r="A202" s="156"/>
      <c r="B202" s="124"/>
      <c r="C202" s="125"/>
    </row>
    <row r="203" spans="1:3" x14ac:dyDescent="0.3">
      <c r="A203" s="156"/>
      <c r="B203" s="124"/>
      <c r="C203" s="125"/>
    </row>
    <row r="204" spans="1:3" x14ac:dyDescent="0.3">
      <c r="A204" s="156"/>
      <c r="B204" s="124"/>
      <c r="C204" s="125"/>
    </row>
    <row r="205" spans="1:3" x14ac:dyDescent="0.3">
      <c r="A205" s="156"/>
      <c r="B205" s="124"/>
      <c r="C205" s="125"/>
    </row>
    <row r="206" spans="1:3" x14ac:dyDescent="0.3">
      <c r="A206" s="156"/>
      <c r="B206" s="124"/>
      <c r="C206" s="125"/>
    </row>
    <row r="207" spans="1:3" x14ac:dyDescent="0.3">
      <c r="A207" s="156"/>
      <c r="B207" s="124"/>
      <c r="C207" s="125"/>
    </row>
    <row r="208" spans="1:3" x14ac:dyDescent="0.3">
      <c r="A208" s="156"/>
      <c r="B208" s="124"/>
      <c r="C208" s="125"/>
    </row>
    <row r="209" spans="1:3" x14ac:dyDescent="0.3">
      <c r="A209" s="156"/>
      <c r="B209" s="124"/>
      <c r="C209" s="125"/>
    </row>
    <row r="210" spans="1:3" x14ac:dyDescent="0.3">
      <c r="A210" s="156"/>
      <c r="B210" s="124"/>
      <c r="C210" s="125"/>
    </row>
    <row r="211" spans="1:3" x14ac:dyDescent="0.3">
      <c r="A211" s="156"/>
      <c r="B211" s="124"/>
      <c r="C211" s="125"/>
    </row>
    <row r="212" spans="1:3" x14ac:dyDescent="0.3">
      <c r="A212" s="156"/>
      <c r="B212" s="124"/>
      <c r="C212" s="125"/>
    </row>
    <row r="213" spans="1:3" x14ac:dyDescent="0.3">
      <c r="A213" s="156"/>
      <c r="B213" s="124"/>
      <c r="C213" s="125"/>
    </row>
    <row r="214" spans="1:3" x14ac:dyDescent="0.3">
      <c r="A214" s="156"/>
      <c r="B214" s="124"/>
      <c r="C214" s="125"/>
    </row>
    <row r="215" spans="1:3" x14ac:dyDescent="0.3">
      <c r="A215" s="156"/>
      <c r="B215" s="124"/>
      <c r="C215" s="125"/>
    </row>
    <row r="216" spans="1:3" x14ac:dyDescent="0.3">
      <c r="A216" s="156"/>
      <c r="B216" s="124"/>
      <c r="C216" s="125"/>
    </row>
    <row r="217" spans="1:3" x14ac:dyDescent="0.3">
      <c r="A217" s="156"/>
      <c r="B217" s="124"/>
      <c r="C217" s="125"/>
    </row>
    <row r="218" spans="1:3" x14ac:dyDescent="0.3">
      <c r="A218" s="156"/>
      <c r="B218" s="124"/>
      <c r="C218" s="125"/>
    </row>
    <row r="219" spans="1:3" x14ac:dyDescent="0.3">
      <c r="A219" s="156"/>
      <c r="B219" s="124"/>
      <c r="C219" s="125"/>
    </row>
    <row r="220" spans="1:3" x14ac:dyDescent="0.3">
      <c r="A220" s="156"/>
      <c r="B220" s="124"/>
      <c r="C220" s="125"/>
    </row>
    <row r="221" spans="1:3" x14ac:dyDescent="0.3">
      <c r="A221" s="156"/>
      <c r="B221" s="124"/>
      <c r="C221" s="125"/>
    </row>
    <row r="222" spans="1:3" x14ac:dyDescent="0.3">
      <c r="A222" s="156"/>
      <c r="B222" s="124"/>
      <c r="C222" s="125"/>
    </row>
    <row r="223" spans="1:3" x14ac:dyDescent="0.3">
      <c r="A223" s="156"/>
      <c r="B223" s="124"/>
      <c r="C223" s="125"/>
    </row>
    <row r="224" spans="1:3" x14ac:dyDescent="0.3">
      <c r="A224" s="156"/>
      <c r="B224" s="124"/>
      <c r="C224" s="125"/>
    </row>
    <row r="225" spans="1:3" x14ac:dyDescent="0.3">
      <c r="A225" s="156"/>
      <c r="B225" s="124"/>
      <c r="C225" s="125"/>
    </row>
    <row r="226" spans="1:3" x14ac:dyDescent="0.3">
      <c r="A226" s="156"/>
      <c r="B226" s="124"/>
      <c r="C226" s="125"/>
    </row>
    <row r="227" spans="1:3" x14ac:dyDescent="0.3">
      <c r="A227" s="156"/>
      <c r="B227" s="124"/>
      <c r="C227" s="125"/>
    </row>
    <row r="228" spans="1:3" x14ac:dyDescent="0.3">
      <c r="A228" s="156"/>
      <c r="B228" s="124"/>
      <c r="C228" s="125"/>
    </row>
    <row r="229" spans="1:3" x14ac:dyDescent="0.3">
      <c r="A229" s="156"/>
      <c r="B229" s="124"/>
      <c r="C229" s="125"/>
    </row>
    <row r="230" spans="1:3" x14ac:dyDescent="0.3">
      <c r="A230" s="156"/>
      <c r="B230" s="124"/>
      <c r="C230" s="125"/>
    </row>
    <row r="231" spans="1:3" x14ac:dyDescent="0.3">
      <c r="A231" s="156"/>
      <c r="B231" s="124"/>
      <c r="C231" s="125"/>
    </row>
    <row r="232" spans="1:3" x14ac:dyDescent="0.3">
      <c r="A232" s="156"/>
      <c r="B232" s="124"/>
      <c r="C232" s="125"/>
    </row>
    <row r="233" spans="1:3" x14ac:dyDescent="0.3">
      <c r="A233" s="156"/>
      <c r="B233" s="124"/>
      <c r="C233" s="125"/>
    </row>
    <row r="234" spans="1:3" x14ac:dyDescent="0.3">
      <c r="A234" s="156"/>
      <c r="B234" s="124"/>
      <c r="C234" s="125"/>
    </row>
    <row r="235" spans="1:3" x14ac:dyDescent="0.3">
      <c r="A235" s="156"/>
      <c r="B235" s="124"/>
      <c r="C235" s="125"/>
    </row>
    <row r="236" spans="1:3" x14ac:dyDescent="0.3">
      <c r="A236" s="156"/>
      <c r="B236" s="124"/>
      <c r="C236" s="125"/>
    </row>
    <row r="237" spans="1:3" x14ac:dyDescent="0.3">
      <c r="A237" s="156"/>
      <c r="B237" s="124"/>
      <c r="C237" s="125"/>
    </row>
    <row r="238" spans="1:3" x14ac:dyDescent="0.3">
      <c r="A238" s="156"/>
      <c r="B238" s="124"/>
      <c r="C238" s="125"/>
    </row>
    <row r="239" spans="1:3" x14ac:dyDescent="0.3">
      <c r="A239" s="156"/>
      <c r="B239" s="124"/>
      <c r="C239" s="125"/>
    </row>
    <row r="240" spans="1:3" x14ac:dyDescent="0.3">
      <c r="A240" s="156"/>
      <c r="B240" s="124"/>
      <c r="C240" s="125"/>
    </row>
    <row r="241" spans="1:3" x14ac:dyDescent="0.3">
      <c r="A241" s="156"/>
      <c r="B241" s="124"/>
      <c r="C241" s="125"/>
    </row>
    <row r="242" spans="1:3" x14ac:dyDescent="0.3">
      <c r="A242" s="156"/>
      <c r="B242" s="124"/>
      <c r="C242" s="125"/>
    </row>
    <row r="243" spans="1:3" x14ac:dyDescent="0.3">
      <c r="A243" s="156"/>
      <c r="B243" s="124"/>
      <c r="C243" s="125"/>
    </row>
    <row r="244" spans="1:3" x14ac:dyDescent="0.3">
      <c r="A244" s="156"/>
      <c r="B244" s="124"/>
      <c r="C244" s="125"/>
    </row>
    <row r="245" spans="1:3" x14ac:dyDescent="0.3">
      <c r="A245" s="156"/>
      <c r="B245" s="124"/>
      <c r="C245" s="125"/>
    </row>
    <row r="246" spans="1:3" x14ac:dyDescent="0.3">
      <c r="A246" s="156"/>
      <c r="B246" s="124"/>
      <c r="C246" s="125"/>
    </row>
    <row r="247" spans="1:3" x14ac:dyDescent="0.3">
      <c r="A247" s="156"/>
      <c r="B247" s="124"/>
      <c r="C247" s="125"/>
    </row>
    <row r="248" spans="1:3" x14ac:dyDescent="0.3">
      <c r="A248" s="156"/>
      <c r="B248" s="124"/>
      <c r="C248" s="125"/>
    </row>
    <row r="249" spans="1:3" x14ac:dyDescent="0.3">
      <c r="A249" s="156"/>
      <c r="B249" s="124"/>
      <c r="C249" s="125"/>
    </row>
    <row r="250" spans="1:3" x14ac:dyDescent="0.3">
      <c r="A250" s="156"/>
      <c r="B250" s="124"/>
      <c r="C250" s="125"/>
    </row>
    <row r="251" spans="1:3" x14ac:dyDescent="0.3">
      <c r="A251" s="156"/>
      <c r="B251" s="124"/>
      <c r="C251" s="125"/>
    </row>
    <row r="252" spans="1:3" x14ac:dyDescent="0.3">
      <c r="A252" s="156"/>
      <c r="B252" s="124"/>
      <c r="C252" s="125"/>
    </row>
    <row r="253" spans="1:3" x14ac:dyDescent="0.3">
      <c r="A253" s="156"/>
      <c r="B253" s="124"/>
      <c r="C253" s="125"/>
    </row>
    <row r="254" spans="1:3" x14ac:dyDescent="0.3">
      <c r="A254" s="156"/>
      <c r="B254" s="124"/>
      <c r="C254" s="125"/>
    </row>
    <row r="255" spans="1:3" x14ac:dyDescent="0.3">
      <c r="A255" s="156"/>
      <c r="B255" s="124"/>
      <c r="C255" s="125"/>
    </row>
    <row r="256" spans="1:3" x14ac:dyDescent="0.3">
      <c r="A256" s="156"/>
      <c r="B256" s="124"/>
      <c r="C256" s="125"/>
    </row>
    <row r="257" spans="1:3" x14ac:dyDescent="0.3">
      <c r="A257" s="156"/>
      <c r="B257" s="124"/>
      <c r="C257" s="125"/>
    </row>
    <row r="258" spans="1:3" x14ac:dyDescent="0.3">
      <c r="A258" s="156"/>
      <c r="B258" s="124"/>
      <c r="C258" s="125"/>
    </row>
    <row r="259" spans="1:3" x14ac:dyDescent="0.3">
      <c r="A259" s="156"/>
      <c r="B259" s="124"/>
      <c r="C259" s="125"/>
    </row>
    <row r="260" spans="1:3" x14ac:dyDescent="0.3">
      <c r="A260" s="156"/>
      <c r="B260" s="124"/>
      <c r="C260" s="125"/>
    </row>
    <row r="261" spans="1:3" x14ac:dyDescent="0.3">
      <c r="A261" s="156"/>
      <c r="B261" s="124"/>
      <c r="C261" s="125"/>
    </row>
    <row r="262" spans="1:3" x14ac:dyDescent="0.3">
      <c r="A262" s="156"/>
      <c r="B262" s="124"/>
      <c r="C262" s="125"/>
    </row>
    <row r="263" spans="1:3" x14ac:dyDescent="0.3">
      <c r="A263" s="156"/>
      <c r="B263" s="124"/>
      <c r="C263" s="125"/>
    </row>
    <row r="264" spans="1:3" x14ac:dyDescent="0.3">
      <c r="A264" s="156"/>
      <c r="B264" s="124"/>
      <c r="C264" s="125"/>
    </row>
    <row r="265" spans="1:3" x14ac:dyDescent="0.3">
      <c r="A265" s="156"/>
      <c r="B265" s="124"/>
      <c r="C265" s="125"/>
    </row>
    <row r="266" spans="1:3" x14ac:dyDescent="0.3">
      <c r="A266" s="156"/>
      <c r="B266" s="124"/>
      <c r="C266" s="125"/>
    </row>
    <row r="267" spans="1:3" x14ac:dyDescent="0.3">
      <c r="A267" s="156"/>
      <c r="B267" s="124"/>
      <c r="C267" s="125"/>
    </row>
    <row r="268" spans="1:3" x14ac:dyDescent="0.3">
      <c r="A268" s="156"/>
      <c r="B268" s="124"/>
      <c r="C268" s="125"/>
    </row>
    <row r="269" spans="1:3" x14ac:dyDescent="0.3">
      <c r="A269" s="156"/>
      <c r="B269" s="124"/>
      <c r="C269" s="125"/>
    </row>
    <row r="270" spans="1:3" x14ac:dyDescent="0.3">
      <c r="A270" s="156"/>
      <c r="B270" s="124"/>
      <c r="C270" s="125"/>
    </row>
    <row r="271" spans="1:3" x14ac:dyDescent="0.3">
      <c r="A271" s="156"/>
      <c r="B271" s="124"/>
      <c r="C271" s="125"/>
    </row>
    <row r="272" spans="1:3" x14ac:dyDescent="0.3">
      <c r="A272" s="156"/>
      <c r="B272" s="124"/>
      <c r="C272" s="125"/>
    </row>
    <row r="273" spans="1:3" x14ac:dyDescent="0.3">
      <c r="A273" s="156"/>
      <c r="B273" s="124"/>
      <c r="C273" s="125"/>
    </row>
    <row r="274" spans="1:3" x14ac:dyDescent="0.3">
      <c r="A274" s="156"/>
      <c r="B274" s="124"/>
      <c r="C274" s="125"/>
    </row>
    <row r="275" spans="1:3" x14ac:dyDescent="0.3">
      <c r="A275" s="156"/>
      <c r="B275" s="124"/>
      <c r="C275" s="125"/>
    </row>
    <row r="276" spans="1:3" x14ac:dyDescent="0.3">
      <c r="A276" s="156"/>
      <c r="B276" s="124"/>
      <c r="C276" s="125"/>
    </row>
    <row r="277" spans="1:3" x14ac:dyDescent="0.3">
      <c r="A277" s="156"/>
      <c r="B277" s="124"/>
      <c r="C277" s="125"/>
    </row>
    <row r="278" spans="1:3" x14ac:dyDescent="0.3">
      <c r="A278" s="156"/>
      <c r="B278" s="124"/>
      <c r="C278" s="125"/>
    </row>
    <row r="279" spans="1:3" x14ac:dyDescent="0.3">
      <c r="A279" s="156"/>
      <c r="B279" s="124"/>
      <c r="C279" s="125"/>
    </row>
    <row r="280" spans="1:3" x14ac:dyDescent="0.3">
      <c r="A280" s="156"/>
      <c r="B280" s="124"/>
      <c r="C280" s="125"/>
    </row>
    <row r="281" spans="1:3" x14ac:dyDescent="0.3">
      <c r="A281" s="156"/>
      <c r="B281" s="124"/>
      <c r="C281" s="125"/>
    </row>
    <row r="282" spans="1:3" x14ac:dyDescent="0.3">
      <c r="A282" s="156"/>
      <c r="B282" s="124"/>
      <c r="C282" s="125"/>
    </row>
    <row r="283" spans="1:3" x14ac:dyDescent="0.3">
      <c r="A283" s="156"/>
      <c r="B283" s="124"/>
      <c r="C283" s="125"/>
    </row>
    <row r="284" spans="1:3" x14ac:dyDescent="0.3">
      <c r="A284" s="156"/>
      <c r="B284" s="124"/>
      <c r="C284" s="125"/>
    </row>
    <row r="285" spans="1:3" x14ac:dyDescent="0.3">
      <c r="A285" s="156"/>
      <c r="B285" s="124"/>
      <c r="C285" s="125"/>
    </row>
    <row r="286" spans="1:3" x14ac:dyDescent="0.3">
      <c r="A286" s="156"/>
      <c r="B286" s="124"/>
      <c r="C286" s="125"/>
    </row>
    <row r="287" spans="1:3" x14ac:dyDescent="0.3">
      <c r="A287" s="156"/>
      <c r="B287" s="124"/>
      <c r="C287" s="125"/>
    </row>
    <row r="288" spans="1:3" x14ac:dyDescent="0.3">
      <c r="A288" s="156"/>
      <c r="B288" s="124"/>
      <c r="C288" s="125"/>
    </row>
    <row r="289" spans="1:3" x14ac:dyDescent="0.3">
      <c r="A289" s="156"/>
      <c r="B289" s="124"/>
      <c r="C289" s="125"/>
    </row>
    <row r="290" spans="1:3" x14ac:dyDescent="0.3">
      <c r="A290" s="156"/>
      <c r="B290" s="124"/>
      <c r="C290" s="125"/>
    </row>
    <row r="291" spans="1:3" x14ac:dyDescent="0.3">
      <c r="A291" s="156"/>
      <c r="B291" s="124"/>
      <c r="C291" s="125"/>
    </row>
    <row r="292" spans="1:3" x14ac:dyDescent="0.3">
      <c r="A292" s="156"/>
      <c r="B292" s="124"/>
      <c r="C292" s="125"/>
    </row>
    <row r="293" spans="1:3" x14ac:dyDescent="0.3">
      <c r="A293" s="156"/>
      <c r="B293" s="124"/>
      <c r="C293" s="125"/>
    </row>
    <row r="294" spans="1:3" x14ac:dyDescent="0.3">
      <c r="A294" s="156"/>
      <c r="B294" s="124"/>
      <c r="C294" s="125"/>
    </row>
    <row r="295" spans="1:3" x14ac:dyDescent="0.3">
      <c r="A295" s="156"/>
      <c r="B295" s="124"/>
      <c r="C295" s="125"/>
    </row>
    <row r="296" spans="1:3" x14ac:dyDescent="0.3">
      <c r="A296" s="156"/>
      <c r="B296" s="124"/>
      <c r="C296" s="125"/>
    </row>
    <row r="297" spans="1:3" x14ac:dyDescent="0.3">
      <c r="A297" s="156"/>
      <c r="B297" s="124"/>
      <c r="C297" s="125"/>
    </row>
    <row r="298" spans="1:3" x14ac:dyDescent="0.3">
      <c r="A298" s="156"/>
      <c r="B298" s="124"/>
      <c r="C298" s="125"/>
    </row>
    <row r="299" spans="1:3" x14ac:dyDescent="0.3">
      <c r="A299" s="156"/>
      <c r="B299" s="124"/>
      <c r="C299" s="125"/>
    </row>
    <row r="300" spans="1:3" x14ac:dyDescent="0.3">
      <c r="A300" s="156"/>
      <c r="B300" s="124"/>
      <c r="C300" s="125"/>
    </row>
    <row r="301" spans="1:3" x14ac:dyDescent="0.3">
      <c r="A301" s="156"/>
      <c r="B301" s="124"/>
      <c r="C301" s="125"/>
    </row>
    <row r="302" spans="1:3" x14ac:dyDescent="0.3">
      <c r="A302" s="156"/>
      <c r="B302" s="124"/>
      <c r="C302" s="125"/>
    </row>
    <row r="303" spans="1:3" x14ac:dyDescent="0.3">
      <c r="A303" s="156"/>
      <c r="B303" s="124"/>
      <c r="C303" s="125"/>
    </row>
    <row r="304" spans="1:3" x14ac:dyDescent="0.3">
      <c r="A304" s="156"/>
      <c r="B304" s="124"/>
      <c r="C304" s="125"/>
    </row>
    <row r="305" spans="1:3" x14ac:dyDescent="0.3">
      <c r="A305" s="156"/>
      <c r="B305" s="124"/>
      <c r="C305" s="125"/>
    </row>
    <row r="306" spans="1:3" x14ac:dyDescent="0.3">
      <c r="A306" s="156"/>
      <c r="B306" s="124"/>
      <c r="C306" s="125"/>
    </row>
    <row r="307" spans="1:3" x14ac:dyDescent="0.3">
      <c r="A307" s="156"/>
      <c r="B307" s="124"/>
      <c r="C307" s="125"/>
    </row>
    <row r="308" spans="1:3" x14ac:dyDescent="0.3">
      <c r="A308" s="156"/>
      <c r="B308" s="124"/>
      <c r="C308" s="125"/>
    </row>
    <row r="309" spans="1:3" x14ac:dyDescent="0.3">
      <c r="A309" s="156"/>
      <c r="B309" s="124"/>
      <c r="C309" s="125"/>
    </row>
    <row r="310" spans="1:3" x14ac:dyDescent="0.3">
      <c r="A310" s="156"/>
      <c r="B310" s="124"/>
      <c r="C310" s="125"/>
    </row>
    <row r="311" spans="1:3" x14ac:dyDescent="0.3">
      <c r="A311" s="156"/>
      <c r="B311" s="124"/>
      <c r="C311" s="125"/>
    </row>
    <row r="312" spans="1:3" x14ac:dyDescent="0.3">
      <c r="A312" s="156"/>
      <c r="B312" s="124"/>
      <c r="C312" s="125"/>
    </row>
    <row r="313" spans="1:3" x14ac:dyDescent="0.3">
      <c r="A313" s="156"/>
      <c r="B313" s="124"/>
      <c r="C313" s="125"/>
    </row>
    <row r="314" spans="1:3" x14ac:dyDescent="0.3">
      <c r="A314" s="156"/>
      <c r="B314" s="124"/>
      <c r="C314" s="125"/>
    </row>
    <row r="315" spans="1:3" x14ac:dyDescent="0.3">
      <c r="A315" s="156"/>
      <c r="B315" s="124"/>
      <c r="C315" s="125"/>
    </row>
    <row r="316" spans="1:3" x14ac:dyDescent="0.3">
      <c r="A316" s="156"/>
      <c r="B316" s="124"/>
      <c r="C316" s="125"/>
    </row>
    <row r="317" spans="1:3" x14ac:dyDescent="0.3">
      <c r="A317" s="156"/>
      <c r="B317" s="124"/>
      <c r="C317" s="125"/>
    </row>
    <row r="318" spans="1:3" x14ac:dyDescent="0.3">
      <c r="A318" s="156"/>
      <c r="B318" s="124"/>
      <c r="C318" s="125"/>
    </row>
    <row r="319" spans="1:3" x14ac:dyDescent="0.3">
      <c r="A319" s="156"/>
      <c r="B319" s="124"/>
      <c r="C319" s="125"/>
    </row>
    <row r="320" spans="1:3" x14ac:dyDescent="0.3">
      <c r="A320" s="156"/>
      <c r="B320" s="124"/>
      <c r="C320" s="125"/>
    </row>
    <row r="321" spans="1:3" x14ac:dyDescent="0.3">
      <c r="A321" s="156"/>
      <c r="B321" s="124"/>
      <c r="C321" s="125"/>
    </row>
    <row r="322" spans="1:3" x14ac:dyDescent="0.3">
      <c r="A322" s="156"/>
      <c r="B322" s="124"/>
      <c r="C322" s="125"/>
    </row>
    <row r="323" spans="1:3" x14ac:dyDescent="0.3">
      <c r="A323" s="156"/>
      <c r="B323" s="124"/>
      <c r="C323" s="125"/>
    </row>
    <row r="324" spans="1:3" x14ac:dyDescent="0.3">
      <c r="A324" s="156"/>
      <c r="B324" s="124"/>
      <c r="C324" s="125"/>
    </row>
    <row r="325" spans="1:3" x14ac:dyDescent="0.3">
      <c r="A325" s="156"/>
      <c r="B325" s="124"/>
      <c r="C325" s="125"/>
    </row>
    <row r="326" spans="1:3" x14ac:dyDescent="0.3">
      <c r="A326" s="156"/>
      <c r="B326" s="124"/>
      <c r="C326" s="125"/>
    </row>
    <row r="327" spans="1:3" x14ac:dyDescent="0.3">
      <c r="A327" s="156"/>
      <c r="B327" s="124"/>
      <c r="C327" s="125"/>
    </row>
    <row r="328" spans="1:3" x14ac:dyDescent="0.3">
      <c r="A328" s="156"/>
      <c r="B328" s="124"/>
      <c r="C328" s="125"/>
    </row>
    <row r="329" spans="1:3" x14ac:dyDescent="0.3">
      <c r="A329" s="156"/>
      <c r="B329" s="124"/>
      <c r="C329" s="125"/>
    </row>
    <row r="330" spans="1:3" x14ac:dyDescent="0.3">
      <c r="A330" s="156"/>
      <c r="B330" s="124"/>
      <c r="C330" s="125"/>
    </row>
    <row r="331" spans="1:3" x14ac:dyDescent="0.3">
      <c r="A331" s="156"/>
      <c r="B331" s="124"/>
      <c r="C331" s="125"/>
    </row>
    <row r="332" spans="1:3" x14ac:dyDescent="0.3">
      <c r="A332" s="156"/>
      <c r="B332" s="124"/>
      <c r="C332" s="125"/>
    </row>
    <row r="333" spans="1:3" x14ac:dyDescent="0.3">
      <c r="A333" s="156"/>
      <c r="B333" s="124"/>
      <c r="C333" s="125"/>
    </row>
    <row r="334" spans="1:3" x14ac:dyDescent="0.3">
      <c r="A334" s="156"/>
      <c r="B334" s="124"/>
      <c r="C334" s="125"/>
    </row>
    <row r="335" spans="1:3" x14ac:dyDescent="0.3">
      <c r="A335" s="156"/>
      <c r="B335" s="124"/>
      <c r="C335" s="125"/>
    </row>
    <row r="336" spans="1:3" x14ac:dyDescent="0.3">
      <c r="A336" s="156"/>
      <c r="B336" s="124"/>
      <c r="C336" s="125"/>
    </row>
    <row r="337" spans="1:3" x14ac:dyDescent="0.3">
      <c r="A337" s="156"/>
      <c r="B337" s="124"/>
      <c r="C337" s="125"/>
    </row>
    <row r="338" spans="1:3" x14ac:dyDescent="0.3">
      <c r="A338" s="156"/>
      <c r="B338" s="124"/>
      <c r="C338" s="125"/>
    </row>
    <row r="339" spans="1:3" x14ac:dyDescent="0.3">
      <c r="A339" s="156"/>
      <c r="B339" s="124"/>
      <c r="C339" s="125"/>
    </row>
    <row r="340" spans="1:3" x14ac:dyDescent="0.3">
      <c r="A340" s="156"/>
      <c r="B340" s="124"/>
      <c r="C340" s="125"/>
    </row>
    <row r="341" spans="1:3" x14ac:dyDescent="0.3">
      <c r="A341" s="156"/>
      <c r="B341" s="124"/>
      <c r="C341" s="125"/>
    </row>
    <row r="342" spans="1:3" x14ac:dyDescent="0.3">
      <c r="A342" s="156"/>
      <c r="B342" s="124"/>
      <c r="C342" s="125"/>
    </row>
    <row r="343" spans="1:3" x14ac:dyDescent="0.3">
      <c r="A343" s="156"/>
      <c r="B343" s="124"/>
      <c r="C343" s="125"/>
    </row>
    <row r="344" spans="1:3" x14ac:dyDescent="0.3">
      <c r="A344" s="156"/>
      <c r="B344" s="124"/>
      <c r="C344" s="125"/>
    </row>
    <row r="345" spans="1:3" x14ac:dyDescent="0.3">
      <c r="A345" s="156"/>
      <c r="B345" s="124"/>
      <c r="C345" s="125"/>
    </row>
    <row r="346" spans="1:3" x14ac:dyDescent="0.3">
      <c r="A346" s="156"/>
      <c r="B346" s="124"/>
      <c r="C346" s="125"/>
    </row>
    <row r="347" spans="1:3" x14ac:dyDescent="0.3">
      <c r="A347" s="156"/>
      <c r="B347" s="124"/>
      <c r="C347" s="125"/>
    </row>
    <row r="348" spans="1:3" x14ac:dyDescent="0.3">
      <c r="A348" s="156"/>
      <c r="B348" s="124"/>
      <c r="C348" s="125"/>
    </row>
    <row r="349" spans="1:3" x14ac:dyDescent="0.3">
      <c r="A349" s="156"/>
      <c r="B349" s="124"/>
      <c r="C349" s="125"/>
    </row>
    <row r="350" spans="1:3" x14ac:dyDescent="0.3">
      <c r="A350" s="156"/>
      <c r="B350" s="124"/>
      <c r="C350" s="125"/>
    </row>
    <row r="351" spans="1:3" x14ac:dyDescent="0.3">
      <c r="A351" s="156"/>
      <c r="B351" s="124"/>
      <c r="C351" s="125"/>
    </row>
    <row r="352" spans="1:3" x14ac:dyDescent="0.3">
      <c r="A352" s="156"/>
      <c r="B352" s="124"/>
      <c r="C352" s="125"/>
    </row>
    <row r="353" spans="1:3" x14ac:dyDescent="0.3">
      <c r="A353" s="156"/>
      <c r="B353" s="124"/>
      <c r="C353" s="125"/>
    </row>
    <row r="354" spans="1:3" x14ac:dyDescent="0.3">
      <c r="A354" s="156"/>
      <c r="B354" s="124"/>
      <c r="C354" s="125"/>
    </row>
    <row r="355" spans="1:3" x14ac:dyDescent="0.3">
      <c r="A355" s="156"/>
      <c r="B355" s="124"/>
      <c r="C355" s="125"/>
    </row>
    <row r="356" spans="1:3" x14ac:dyDescent="0.3">
      <c r="A356" s="156"/>
      <c r="B356" s="124"/>
      <c r="C356" s="125"/>
    </row>
    <row r="357" spans="1:3" x14ac:dyDescent="0.3">
      <c r="A357" s="156"/>
      <c r="B357" s="124"/>
      <c r="C357" s="125"/>
    </row>
    <row r="358" spans="1:3" x14ac:dyDescent="0.3">
      <c r="A358" s="156"/>
      <c r="B358" s="124"/>
      <c r="C358" s="125"/>
    </row>
    <row r="359" spans="1:3" x14ac:dyDescent="0.3">
      <c r="A359" s="156"/>
      <c r="B359" s="124"/>
      <c r="C359" s="125"/>
    </row>
    <row r="360" spans="1:3" x14ac:dyDescent="0.3">
      <c r="A360" s="156"/>
      <c r="B360" s="124"/>
      <c r="C360" s="125"/>
    </row>
    <row r="361" spans="1:3" x14ac:dyDescent="0.3">
      <c r="A361" s="156"/>
      <c r="B361" s="124"/>
      <c r="C361" s="125"/>
    </row>
    <row r="362" spans="1:3" x14ac:dyDescent="0.3">
      <c r="A362" s="156"/>
      <c r="B362" s="124"/>
      <c r="C362" s="125"/>
    </row>
    <row r="363" spans="1:3" x14ac:dyDescent="0.3">
      <c r="A363" s="156"/>
      <c r="B363" s="124"/>
      <c r="C363" s="125"/>
    </row>
    <row r="364" spans="1:3" x14ac:dyDescent="0.3">
      <c r="A364" s="156"/>
      <c r="B364" s="124"/>
      <c r="C364" s="125"/>
    </row>
    <row r="365" spans="1:3" x14ac:dyDescent="0.3">
      <c r="A365" s="156"/>
      <c r="B365" s="124"/>
      <c r="C365" s="125"/>
    </row>
    <row r="366" spans="1:3" x14ac:dyDescent="0.3">
      <c r="A366" s="156"/>
      <c r="B366" s="124"/>
      <c r="C366" s="125"/>
    </row>
    <row r="367" spans="1:3" x14ac:dyDescent="0.3">
      <c r="A367" s="156"/>
      <c r="B367" s="124"/>
      <c r="C367" s="125"/>
    </row>
    <row r="368" spans="1:3" x14ac:dyDescent="0.3">
      <c r="A368" s="156"/>
      <c r="B368" s="124"/>
      <c r="C368" s="125"/>
    </row>
    <row r="369" spans="1:3" x14ac:dyDescent="0.3">
      <c r="A369" s="156"/>
      <c r="B369" s="124"/>
      <c r="C369" s="125"/>
    </row>
    <row r="370" spans="1:3" x14ac:dyDescent="0.3">
      <c r="A370" s="156"/>
      <c r="B370" s="124"/>
      <c r="C370" s="125"/>
    </row>
    <row r="371" spans="1:3" x14ac:dyDescent="0.3">
      <c r="A371" s="156"/>
      <c r="B371" s="124"/>
      <c r="C371" s="125"/>
    </row>
    <row r="372" spans="1:3" x14ac:dyDescent="0.3">
      <c r="A372" s="156"/>
      <c r="B372" s="124"/>
      <c r="C372" s="125"/>
    </row>
    <row r="373" spans="1:3" x14ac:dyDescent="0.3">
      <c r="A373" s="156"/>
      <c r="B373" s="124"/>
      <c r="C373" s="125"/>
    </row>
    <row r="374" spans="1:3" x14ac:dyDescent="0.3">
      <c r="A374" s="156"/>
      <c r="B374" s="124"/>
      <c r="C374" s="125"/>
    </row>
    <row r="375" spans="1:3" x14ac:dyDescent="0.3">
      <c r="A375" s="156"/>
      <c r="B375" s="124"/>
      <c r="C375" s="125"/>
    </row>
    <row r="376" spans="1:3" x14ac:dyDescent="0.3">
      <c r="A376" s="156"/>
      <c r="B376" s="124"/>
      <c r="C376" s="125"/>
    </row>
    <row r="377" spans="1:3" x14ac:dyDescent="0.3">
      <c r="A377" s="156"/>
      <c r="B377" s="124"/>
      <c r="C377" s="125"/>
    </row>
    <row r="378" spans="1:3" x14ac:dyDescent="0.3">
      <c r="A378" s="156"/>
      <c r="B378" s="124"/>
      <c r="C378" s="125"/>
    </row>
    <row r="379" spans="1:3" x14ac:dyDescent="0.3">
      <c r="A379" s="156"/>
      <c r="B379" s="124"/>
      <c r="C379" s="125"/>
    </row>
    <row r="380" spans="1:3" x14ac:dyDescent="0.3">
      <c r="A380" s="156"/>
      <c r="B380" s="124"/>
      <c r="C380" s="125"/>
    </row>
    <row r="381" spans="1:3" x14ac:dyDescent="0.3">
      <c r="A381" s="156"/>
      <c r="B381" s="124"/>
      <c r="C381" s="125"/>
    </row>
    <row r="382" spans="1:3" x14ac:dyDescent="0.3">
      <c r="A382" s="156"/>
      <c r="B382" s="124"/>
      <c r="C382" s="125"/>
    </row>
    <row r="383" spans="1:3" x14ac:dyDescent="0.3">
      <c r="A383" s="156"/>
      <c r="B383" s="124"/>
      <c r="C383" s="125"/>
    </row>
    <row r="384" spans="1:3" x14ac:dyDescent="0.3">
      <c r="A384" s="156"/>
      <c r="B384" s="124"/>
      <c r="C384" s="125"/>
    </row>
    <row r="385" spans="1:3" x14ac:dyDescent="0.3">
      <c r="A385" s="156"/>
      <c r="B385" s="124"/>
      <c r="C385" s="125"/>
    </row>
    <row r="386" spans="1:3" x14ac:dyDescent="0.3">
      <c r="A386" s="156"/>
      <c r="B386" s="124"/>
      <c r="C386" s="125"/>
    </row>
    <row r="387" spans="1:3" x14ac:dyDescent="0.3">
      <c r="A387" s="156"/>
      <c r="B387" s="124"/>
      <c r="C387" s="125"/>
    </row>
    <row r="388" spans="1:3" x14ac:dyDescent="0.3">
      <c r="A388" s="156"/>
      <c r="B388" s="124"/>
      <c r="C388" s="125"/>
    </row>
    <row r="389" spans="1:3" x14ac:dyDescent="0.3">
      <c r="A389" s="156"/>
      <c r="B389" s="124"/>
      <c r="C389" s="125"/>
    </row>
    <row r="390" spans="1:3" x14ac:dyDescent="0.3">
      <c r="A390" s="156"/>
      <c r="B390" s="124"/>
      <c r="C390" s="125"/>
    </row>
    <row r="391" spans="1:3" x14ac:dyDescent="0.3">
      <c r="A391" s="156"/>
      <c r="B391" s="124"/>
      <c r="C391" s="125"/>
    </row>
    <row r="392" spans="1:3" x14ac:dyDescent="0.3">
      <c r="A392" s="156"/>
      <c r="B392" s="124"/>
      <c r="C392" s="125"/>
    </row>
    <row r="393" spans="1:3" x14ac:dyDescent="0.3">
      <c r="A393" s="156"/>
      <c r="B393" s="124"/>
      <c r="C393" s="125"/>
    </row>
    <row r="394" spans="1:3" x14ac:dyDescent="0.3">
      <c r="A394" s="156"/>
      <c r="B394" s="124"/>
      <c r="C394" s="125"/>
    </row>
    <row r="395" spans="1:3" x14ac:dyDescent="0.3">
      <c r="A395" s="156"/>
      <c r="B395" s="124"/>
      <c r="C395" s="125"/>
    </row>
    <row r="396" spans="1:3" x14ac:dyDescent="0.3">
      <c r="A396" s="156"/>
      <c r="B396" s="124"/>
      <c r="C396" s="125"/>
    </row>
    <row r="397" spans="1:3" x14ac:dyDescent="0.3">
      <c r="A397" s="156"/>
      <c r="B397" s="124"/>
      <c r="C397" s="125"/>
    </row>
    <row r="398" spans="1:3" x14ac:dyDescent="0.3">
      <c r="A398" s="156"/>
      <c r="B398" s="124"/>
      <c r="C398" s="125"/>
    </row>
    <row r="399" spans="1:3" x14ac:dyDescent="0.3">
      <c r="A399" s="156"/>
      <c r="B399" s="124"/>
      <c r="C399" s="125"/>
    </row>
    <row r="400" spans="1:3" x14ac:dyDescent="0.3">
      <c r="A400" s="156"/>
      <c r="B400" s="124"/>
      <c r="C400" s="125"/>
    </row>
    <row r="401" spans="1:3" x14ac:dyDescent="0.3">
      <c r="A401" s="156"/>
      <c r="B401" s="124"/>
      <c r="C401" s="125"/>
    </row>
    <row r="402" spans="1:3" x14ac:dyDescent="0.3">
      <c r="A402" s="156"/>
      <c r="B402" s="124"/>
      <c r="C402" s="125"/>
    </row>
    <row r="403" spans="1:3" x14ac:dyDescent="0.3">
      <c r="A403" s="156"/>
      <c r="B403" s="124"/>
      <c r="C403" s="125"/>
    </row>
    <row r="404" spans="1:3" x14ac:dyDescent="0.3">
      <c r="A404" s="156"/>
      <c r="B404" s="124"/>
      <c r="C404" s="125"/>
    </row>
    <row r="405" spans="1:3" x14ac:dyDescent="0.3">
      <c r="A405" s="156"/>
      <c r="B405" s="124"/>
      <c r="C405" s="125"/>
    </row>
    <row r="406" spans="1:3" x14ac:dyDescent="0.3">
      <c r="A406" s="156"/>
      <c r="B406" s="124"/>
      <c r="C406" s="125"/>
    </row>
    <row r="407" spans="1:3" x14ac:dyDescent="0.3">
      <c r="A407" s="156"/>
      <c r="B407" s="124"/>
      <c r="C407" s="125"/>
    </row>
    <row r="408" spans="1:3" x14ac:dyDescent="0.3">
      <c r="A408" s="156"/>
      <c r="B408" s="124"/>
      <c r="C408" s="125"/>
    </row>
    <row r="409" spans="1:3" x14ac:dyDescent="0.3">
      <c r="A409" s="156"/>
      <c r="B409" s="124"/>
      <c r="C409" s="125"/>
    </row>
    <row r="410" spans="1:3" x14ac:dyDescent="0.3">
      <c r="A410" s="156"/>
      <c r="B410" s="124"/>
      <c r="C410" s="125"/>
    </row>
    <row r="411" spans="1:3" x14ac:dyDescent="0.3">
      <c r="A411" s="156"/>
      <c r="B411" s="124"/>
      <c r="C411" s="125"/>
    </row>
    <row r="412" spans="1:3" x14ac:dyDescent="0.3">
      <c r="A412" s="156"/>
      <c r="B412" s="124"/>
      <c r="C412" s="125"/>
    </row>
    <row r="413" spans="1:3" x14ac:dyDescent="0.3">
      <c r="A413" s="156"/>
      <c r="B413" s="124"/>
      <c r="C413" s="125"/>
    </row>
    <row r="414" spans="1:3" x14ac:dyDescent="0.3">
      <c r="A414" s="156"/>
      <c r="B414" s="124"/>
      <c r="C414" s="125"/>
    </row>
    <row r="415" spans="1:3" x14ac:dyDescent="0.3">
      <c r="A415" s="156"/>
      <c r="B415" s="124"/>
      <c r="C415" s="125"/>
    </row>
    <row r="416" spans="1:3" x14ac:dyDescent="0.3">
      <c r="A416" s="156"/>
      <c r="B416" s="124"/>
      <c r="C416" s="125"/>
    </row>
    <row r="417" spans="1:3" x14ac:dyDescent="0.3">
      <c r="A417" s="156"/>
      <c r="B417" s="124"/>
      <c r="C417" s="125"/>
    </row>
    <row r="418" spans="1:3" x14ac:dyDescent="0.3">
      <c r="A418" s="156"/>
      <c r="B418" s="124"/>
      <c r="C418" s="125"/>
    </row>
    <row r="419" spans="1:3" x14ac:dyDescent="0.3">
      <c r="A419" s="156"/>
      <c r="B419" s="124"/>
      <c r="C419" s="125"/>
    </row>
    <row r="420" spans="1:3" x14ac:dyDescent="0.3">
      <c r="A420" s="156"/>
      <c r="B420" s="124"/>
      <c r="C420" s="125"/>
    </row>
    <row r="421" spans="1:3" x14ac:dyDescent="0.3">
      <c r="A421" s="156"/>
      <c r="B421" s="124"/>
      <c r="C421" s="125"/>
    </row>
    <row r="422" spans="1:3" x14ac:dyDescent="0.3">
      <c r="A422" s="156"/>
      <c r="B422" s="124"/>
      <c r="C422" s="125"/>
    </row>
    <row r="423" spans="1:3" x14ac:dyDescent="0.3">
      <c r="A423" s="156"/>
      <c r="B423" s="124"/>
      <c r="C423" s="125"/>
    </row>
    <row r="424" spans="1:3" x14ac:dyDescent="0.3">
      <c r="A424" s="156"/>
      <c r="B424" s="124"/>
      <c r="C424" s="125"/>
    </row>
    <row r="425" spans="1:3" x14ac:dyDescent="0.3">
      <c r="A425" s="156"/>
      <c r="B425" s="124"/>
      <c r="C425" s="125"/>
    </row>
    <row r="426" spans="1:3" x14ac:dyDescent="0.3">
      <c r="A426" s="156"/>
      <c r="B426" s="124"/>
      <c r="C426" s="125"/>
    </row>
    <row r="427" spans="1:3" x14ac:dyDescent="0.3">
      <c r="A427" s="156"/>
      <c r="B427" s="124"/>
      <c r="C427" s="125"/>
    </row>
    <row r="428" spans="1:3" x14ac:dyDescent="0.3">
      <c r="A428" s="156"/>
      <c r="B428" s="124"/>
      <c r="C428" s="125"/>
    </row>
    <row r="429" spans="1:3" x14ac:dyDescent="0.3">
      <c r="A429" s="156"/>
      <c r="B429" s="124"/>
      <c r="C429" s="125"/>
    </row>
    <row r="430" spans="1:3" x14ac:dyDescent="0.3">
      <c r="A430" s="156"/>
      <c r="B430" s="124"/>
      <c r="C430" s="125"/>
    </row>
    <row r="431" spans="1:3" x14ac:dyDescent="0.3">
      <c r="A431" s="156"/>
      <c r="B431" s="124"/>
      <c r="C431" s="125"/>
    </row>
    <row r="432" spans="1:3" x14ac:dyDescent="0.3">
      <c r="A432" s="156"/>
      <c r="B432" s="124"/>
      <c r="C432" s="125"/>
    </row>
    <row r="433" spans="1:3" x14ac:dyDescent="0.3">
      <c r="A433" s="156"/>
      <c r="B433" s="124"/>
      <c r="C433" s="125"/>
    </row>
    <row r="434" spans="1:3" x14ac:dyDescent="0.3">
      <c r="A434" s="156"/>
      <c r="B434" s="124"/>
      <c r="C434" s="125"/>
    </row>
    <row r="435" spans="1:3" x14ac:dyDescent="0.3">
      <c r="A435" s="156"/>
      <c r="B435" s="124"/>
      <c r="C435" s="125"/>
    </row>
    <row r="436" spans="1:3" x14ac:dyDescent="0.3">
      <c r="A436" s="156"/>
      <c r="B436" s="124"/>
      <c r="C436" s="125"/>
    </row>
    <row r="437" spans="1:3" x14ac:dyDescent="0.3">
      <c r="A437" s="156"/>
      <c r="B437" s="124"/>
      <c r="C437" s="125"/>
    </row>
    <row r="438" spans="1:3" x14ac:dyDescent="0.3">
      <c r="A438" s="156"/>
      <c r="B438" s="124"/>
      <c r="C438" s="125"/>
    </row>
    <row r="439" spans="1:3" x14ac:dyDescent="0.3">
      <c r="A439" s="156"/>
      <c r="B439" s="124"/>
      <c r="C439" s="125"/>
    </row>
    <row r="440" spans="1:3" x14ac:dyDescent="0.3">
      <c r="A440" s="156"/>
      <c r="B440" s="124"/>
      <c r="C440" s="125"/>
    </row>
    <row r="441" spans="1:3" x14ac:dyDescent="0.3">
      <c r="A441" s="156"/>
      <c r="B441" s="124"/>
      <c r="C441" s="125"/>
    </row>
    <row r="442" spans="1:3" x14ac:dyDescent="0.3">
      <c r="A442" s="156"/>
      <c r="B442" s="124"/>
      <c r="C442" s="125"/>
    </row>
    <row r="443" spans="1:3" x14ac:dyDescent="0.3">
      <c r="A443" s="156"/>
      <c r="B443" s="124"/>
      <c r="C443" s="125"/>
    </row>
    <row r="444" spans="1:3" x14ac:dyDescent="0.3">
      <c r="A444" s="156"/>
      <c r="B444" s="124"/>
      <c r="C444" s="125"/>
    </row>
    <row r="445" spans="1:3" x14ac:dyDescent="0.3">
      <c r="A445" s="156"/>
      <c r="B445" s="124"/>
      <c r="C445" s="125"/>
    </row>
    <row r="446" spans="1:3" x14ac:dyDescent="0.3">
      <c r="A446" s="156"/>
      <c r="B446" s="124"/>
      <c r="C446" s="125"/>
    </row>
    <row r="447" spans="1:3" x14ac:dyDescent="0.3">
      <c r="A447" s="156"/>
      <c r="B447" s="124"/>
      <c r="C447" s="125"/>
    </row>
    <row r="448" spans="1:3" x14ac:dyDescent="0.3">
      <c r="A448" s="156"/>
      <c r="B448" s="124"/>
      <c r="C448" s="125"/>
    </row>
    <row r="449" spans="1:3" x14ac:dyDescent="0.3">
      <c r="A449" s="156"/>
      <c r="B449" s="124"/>
      <c r="C449" s="125"/>
    </row>
    <row r="450" spans="1:3" x14ac:dyDescent="0.3">
      <c r="A450" s="156"/>
      <c r="B450" s="124"/>
      <c r="C450" s="125"/>
    </row>
    <row r="451" spans="1:3" x14ac:dyDescent="0.3">
      <c r="A451" s="156"/>
      <c r="B451" s="124"/>
      <c r="C451" s="125"/>
    </row>
    <row r="452" spans="1:3" x14ac:dyDescent="0.3">
      <c r="A452" s="156"/>
      <c r="B452" s="124"/>
      <c r="C452" s="125"/>
    </row>
    <row r="453" spans="1:3" x14ac:dyDescent="0.3">
      <c r="A453" s="156"/>
      <c r="B453" s="124"/>
      <c r="C453" s="125"/>
    </row>
    <row r="454" spans="1:3" x14ac:dyDescent="0.3">
      <c r="A454" s="156"/>
      <c r="B454" s="124"/>
      <c r="C454" s="125"/>
    </row>
    <row r="455" spans="1:3" x14ac:dyDescent="0.3">
      <c r="A455" s="156"/>
      <c r="B455" s="124"/>
      <c r="C455" s="125"/>
    </row>
    <row r="456" spans="1:3" x14ac:dyDescent="0.3">
      <c r="A456" s="156"/>
      <c r="B456" s="124"/>
      <c r="C456" s="125"/>
    </row>
    <row r="457" spans="1:3" x14ac:dyDescent="0.3">
      <c r="A457" s="156"/>
      <c r="B457" s="124"/>
      <c r="C457" s="125"/>
    </row>
    <row r="458" spans="1:3" x14ac:dyDescent="0.3">
      <c r="A458" s="156"/>
      <c r="B458" s="124"/>
      <c r="C458" s="125"/>
    </row>
    <row r="459" spans="1:3" x14ac:dyDescent="0.3">
      <c r="A459" s="156"/>
      <c r="B459" s="124"/>
      <c r="C459" s="125"/>
    </row>
    <row r="460" spans="1:3" x14ac:dyDescent="0.3">
      <c r="A460" s="156"/>
      <c r="B460" s="124"/>
      <c r="C460" s="125"/>
    </row>
    <row r="461" spans="1:3" x14ac:dyDescent="0.3">
      <c r="A461" s="156"/>
      <c r="B461" s="124"/>
      <c r="C461" s="125"/>
    </row>
    <row r="462" spans="1:3" x14ac:dyDescent="0.3">
      <c r="A462" s="156"/>
      <c r="B462" s="124"/>
      <c r="C462" s="125"/>
    </row>
    <row r="463" spans="1:3" x14ac:dyDescent="0.3">
      <c r="A463" s="156"/>
      <c r="B463" s="124"/>
      <c r="C463" s="125"/>
    </row>
    <row r="464" spans="1:3" x14ac:dyDescent="0.3">
      <c r="A464" s="156"/>
      <c r="B464" s="124"/>
      <c r="C464" s="125"/>
    </row>
    <row r="465" spans="1:3" x14ac:dyDescent="0.3">
      <c r="A465" s="156"/>
      <c r="B465" s="124"/>
      <c r="C465" s="125"/>
    </row>
    <row r="466" spans="1:3" x14ac:dyDescent="0.3">
      <c r="A466" s="156"/>
      <c r="B466" s="124"/>
      <c r="C466" s="125"/>
    </row>
    <row r="467" spans="1:3" x14ac:dyDescent="0.3">
      <c r="A467" s="156"/>
      <c r="B467" s="124"/>
      <c r="C467" s="125"/>
    </row>
    <row r="468" spans="1:3" x14ac:dyDescent="0.3">
      <c r="A468" s="156"/>
      <c r="B468" s="124"/>
      <c r="C468" s="125"/>
    </row>
    <row r="469" spans="1:3" x14ac:dyDescent="0.3">
      <c r="A469" s="156"/>
      <c r="B469" s="124"/>
      <c r="C469" s="125"/>
    </row>
    <row r="470" spans="1:3" x14ac:dyDescent="0.3">
      <c r="A470" s="156"/>
      <c r="B470" s="124"/>
      <c r="C470" s="125"/>
    </row>
    <row r="471" spans="1:3" x14ac:dyDescent="0.3">
      <c r="A471" s="156"/>
      <c r="B471" s="124"/>
      <c r="C471" s="125"/>
    </row>
    <row r="472" spans="1:3" x14ac:dyDescent="0.3">
      <c r="A472" s="156"/>
      <c r="B472" s="124"/>
      <c r="C472" s="125"/>
    </row>
    <row r="473" spans="1:3" x14ac:dyDescent="0.3">
      <c r="A473" s="156"/>
      <c r="B473" s="124"/>
      <c r="C473" s="125"/>
    </row>
    <row r="474" spans="1:3" x14ac:dyDescent="0.3">
      <c r="A474" s="156"/>
      <c r="B474" s="124"/>
      <c r="C474" s="125"/>
    </row>
    <row r="475" spans="1:3" x14ac:dyDescent="0.3">
      <c r="A475" s="156"/>
      <c r="B475" s="124"/>
      <c r="C475" s="125"/>
    </row>
    <row r="476" spans="1:3" x14ac:dyDescent="0.3">
      <c r="A476" s="156"/>
      <c r="B476" s="124"/>
      <c r="C476" s="125"/>
    </row>
    <row r="477" spans="1:3" x14ac:dyDescent="0.3">
      <c r="A477" s="156"/>
      <c r="B477" s="124"/>
      <c r="C477" s="125"/>
    </row>
    <row r="478" spans="1:3" x14ac:dyDescent="0.3">
      <c r="A478" s="156"/>
      <c r="B478" s="124"/>
      <c r="C478" s="125"/>
    </row>
    <row r="479" spans="1:3" x14ac:dyDescent="0.3">
      <c r="A479" s="156"/>
      <c r="B479" s="124"/>
      <c r="C479" s="125"/>
    </row>
    <row r="480" spans="1:3" x14ac:dyDescent="0.3">
      <c r="A480" s="156"/>
      <c r="B480" s="124"/>
      <c r="C480" s="125"/>
    </row>
    <row r="481" spans="1:3" x14ac:dyDescent="0.3">
      <c r="A481" s="156"/>
      <c r="B481" s="124"/>
      <c r="C481" s="125"/>
    </row>
    <row r="482" spans="1:3" x14ac:dyDescent="0.3">
      <c r="A482" s="156"/>
      <c r="B482" s="124"/>
      <c r="C482" s="125"/>
    </row>
    <row r="483" spans="1:3" x14ac:dyDescent="0.3">
      <c r="A483" s="156"/>
      <c r="B483" s="124"/>
      <c r="C483" s="125"/>
    </row>
    <row r="484" spans="1:3" x14ac:dyDescent="0.3">
      <c r="A484" s="156"/>
      <c r="B484" s="124"/>
      <c r="C484" s="125"/>
    </row>
    <row r="485" spans="1:3" x14ac:dyDescent="0.3">
      <c r="A485" s="156"/>
      <c r="B485" s="124"/>
      <c r="C485" s="125"/>
    </row>
    <row r="486" spans="1:3" x14ac:dyDescent="0.3">
      <c r="A486" s="156"/>
      <c r="B486" s="124"/>
      <c r="C486" s="125"/>
    </row>
    <row r="487" spans="1:3" x14ac:dyDescent="0.3">
      <c r="A487" s="156"/>
      <c r="B487" s="124"/>
      <c r="C487" s="125"/>
    </row>
    <row r="488" spans="1:3" x14ac:dyDescent="0.3">
      <c r="A488" s="156"/>
      <c r="B488" s="124"/>
      <c r="C488" s="125"/>
    </row>
    <row r="489" spans="1:3" x14ac:dyDescent="0.3">
      <c r="A489" s="156"/>
      <c r="B489" s="124"/>
      <c r="C489" s="125"/>
    </row>
    <row r="490" spans="1:3" x14ac:dyDescent="0.3">
      <c r="A490" s="156"/>
      <c r="B490" s="124"/>
      <c r="C490" s="125"/>
    </row>
    <row r="491" spans="1:3" x14ac:dyDescent="0.3">
      <c r="A491" s="156"/>
      <c r="B491" s="124"/>
      <c r="C491" s="125"/>
    </row>
    <row r="492" spans="1:3" x14ac:dyDescent="0.3">
      <c r="A492" s="156"/>
      <c r="B492" s="124"/>
      <c r="C492" s="125"/>
    </row>
    <row r="493" spans="1:3" x14ac:dyDescent="0.3">
      <c r="A493" s="156"/>
      <c r="B493" s="124"/>
      <c r="C493" s="125"/>
    </row>
    <row r="494" spans="1:3" x14ac:dyDescent="0.3">
      <c r="A494" s="156"/>
      <c r="B494" s="124"/>
      <c r="C494" s="125"/>
    </row>
    <row r="495" spans="1:3" x14ac:dyDescent="0.3">
      <c r="A495" s="156"/>
      <c r="B495" s="124"/>
      <c r="C495" s="125"/>
    </row>
    <row r="496" spans="1:3" x14ac:dyDescent="0.3">
      <c r="A496" s="156"/>
      <c r="B496" s="124"/>
      <c r="C496" s="125"/>
    </row>
    <row r="497" spans="1:3" x14ac:dyDescent="0.3">
      <c r="A497" s="156"/>
      <c r="B497" s="124"/>
      <c r="C497" s="125"/>
    </row>
    <row r="498" spans="1:3" x14ac:dyDescent="0.3">
      <c r="A498" s="156"/>
      <c r="B498" s="124"/>
      <c r="C498" s="125"/>
    </row>
    <row r="499" spans="1:3" x14ac:dyDescent="0.3">
      <c r="A499" s="156"/>
      <c r="B499" s="124"/>
      <c r="C499" s="125"/>
    </row>
    <row r="500" spans="1:3" x14ac:dyDescent="0.3">
      <c r="A500" s="156"/>
      <c r="B500" s="124"/>
      <c r="C500" s="125"/>
    </row>
    <row r="501" spans="1:3" x14ac:dyDescent="0.3">
      <c r="A501" s="156"/>
      <c r="B501" s="124"/>
      <c r="C501" s="125"/>
    </row>
    <row r="502" spans="1:3" x14ac:dyDescent="0.3">
      <c r="A502" s="156"/>
      <c r="B502" s="124"/>
      <c r="C502" s="125"/>
    </row>
    <row r="503" spans="1:3" x14ac:dyDescent="0.3">
      <c r="A503" s="156"/>
      <c r="B503" s="124"/>
      <c r="C503" s="125"/>
    </row>
    <row r="504" spans="1:3" x14ac:dyDescent="0.3">
      <c r="A504" s="156"/>
      <c r="B504" s="124"/>
      <c r="C504" s="125"/>
    </row>
    <row r="505" spans="1:3" x14ac:dyDescent="0.3">
      <c r="A505" s="156"/>
      <c r="B505" s="124"/>
      <c r="C505" s="125"/>
    </row>
    <row r="506" spans="1:3" x14ac:dyDescent="0.3">
      <c r="A506" s="156"/>
      <c r="B506" s="124"/>
      <c r="C506" s="125"/>
    </row>
    <row r="507" spans="1:3" x14ac:dyDescent="0.3">
      <c r="A507" s="156"/>
      <c r="B507" s="124"/>
      <c r="C507" s="125"/>
    </row>
    <row r="508" spans="1:3" x14ac:dyDescent="0.3">
      <c r="A508" s="156"/>
      <c r="B508" s="124"/>
      <c r="C508" s="125"/>
    </row>
    <row r="509" spans="1:3" x14ac:dyDescent="0.3">
      <c r="A509" s="156"/>
      <c r="B509" s="124"/>
      <c r="C509" s="125"/>
    </row>
    <row r="510" spans="1:3" x14ac:dyDescent="0.3">
      <c r="A510" s="156"/>
      <c r="B510" s="124"/>
      <c r="C510" s="125"/>
    </row>
    <row r="511" spans="1:3" x14ac:dyDescent="0.3">
      <c r="A511" s="156"/>
      <c r="B511" s="124"/>
      <c r="C511" s="125"/>
    </row>
    <row r="512" spans="1:3" x14ac:dyDescent="0.3">
      <c r="A512" s="156"/>
      <c r="B512" s="124"/>
      <c r="C512" s="125"/>
    </row>
    <row r="513" spans="1:3" x14ac:dyDescent="0.3">
      <c r="A513" s="156"/>
      <c r="B513" s="124"/>
      <c r="C513" s="125"/>
    </row>
    <row r="514" spans="1:3" x14ac:dyDescent="0.3">
      <c r="A514" s="156"/>
      <c r="B514" s="124"/>
      <c r="C514" s="125"/>
    </row>
    <row r="515" spans="1:3" x14ac:dyDescent="0.3">
      <c r="A515" s="156"/>
      <c r="B515" s="124"/>
      <c r="C515" s="125"/>
    </row>
    <row r="516" spans="1:3" x14ac:dyDescent="0.3">
      <c r="A516" s="156"/>
      <c r="B516" s="124"/>
      <c r="C516" s="125"/>
    </row>
    <row r="517" spans="1:3" x14ac:dyDescent="0.3">
      <c r="A517" s="156"/>
      <c r="B517" s="124"/>
      <c r="C517" s="125"/>
    </row>
    <row r="518" spans="1:3" x14ac:dyDescent="0.3">
      <c r="A518" s="156"/>
      <c r="B518" s="124"/>
      <c r="C518" s="125"/>
    </row>
    <row r="519" spans="1:3" x14ac:dyDescent="0.3">
      <c r="A519" s="156"/>
      <c r="B519" s="124"/>
      <c r="C519" s="125"/>
    </row>
    <row r="520" spans="1:3" x14ac:dyDescent="0.3">
      <c r="A520" s="156"/>
      <c r="B520" s="124"/>
      <c r="C520" s="125"/>
    </row>
    <row r="521" spans="1:3" x14ac:dyDescent="0.3">
      <c r="A521" s="156"/>
      <c r="B521" s="124"/>
      <c r="C521" s="125"/>
    </row>
    <row r="522" spans="1:3" x14ac:dyDescent="0.3">
      <c r="A522" s="156"/>
      <c r="B522" s="124"/>
      <c r="C522" s="125"/>
    </row>
    <row r="523" spans="1:3" x14ac:dyDescent="0.3">
      <c r="A523" s="156"/>
      <c r="B523" s="124"/>
      <c r="C523" s="125"/>
    </row>
    <row r="524" spans="1:3" x14ac:dyDescent="0.3">
      <c r="A524" s="156"/>
      <c r="B524" s="124"/>
      <c r="C524" s="125"/>
    </row>
    <row r="525" spans="1:3" x14ac:dyDescent="0.3">
      <c r="A525" s="156"/>
      <c r="B525" s="124"/>
      <c r="C525" s="125"/>
    </row>
    <row r="526" spans="1:3" x14ac:dyDescent="0.3">
      <c r="A526" s="156"/>
      <c r="B526" s="124"/>
      <c r="C526" s="125"/>
    </row>
    <row r="527" spans="1:3" x14ac:dyDescent="0.3">
      <c r="A527" s="156"/>
      <c r="B527" s="124"/>
      <c r="C527" s="125"/>
    </row>
    <row r="528" spans="1:3" x14ac:dyDescent="0.3">
      <c r="A528" s="156"/>
      <c r="B528" s="124"/>
      <c r="C528" s="125"/>
    </row>
    <row r="529" spans="1:3" x14ac:dyDescent="0.3">
      <c r="A529" s="156"/>
      <c r="B529" s="124"/>
      <c r="C529" s="125"/>
    </row>
    <row r="530" spans="1:3" x14ac:dyDescent="0.3">
      <c r="A530" s="156"/>
      <c r="B530" s="124"/>
      <c r="C530" s="125"/>
    </row>
    <row r="531" spans="1:3" x14ac:dyDescent="0.3">
      <c r="A531" s="156"/>
      <c r="B531" s="124"/>
      <c r="C531" s="125"/>
    </row>
    <row r="532" spans="1:3" x14ac:dyDescent="0.3">
      <c r="A532" s="156"/>
      <c r="B532" s="124"/>
      <c r="C532" s="125"/>
    </row>
    <row r="533" spans="1:3" x14ac:dyDescent="0.3">
      <c r="A533" s="156"/>
      <c r="B533" s="124"/>
      <c r="C533" s="125"/>
    </row>
    <row r="534" spans="1:3" x14ac:dyDescent="0.3">
      <c r="A534" s="156"/>
      <c r="B534" s="124"/>
      <c r="C534" s="125"/>
    </row>
    <row r="535" spans="1:3" x14ac:dyDescent="0.3">
      <c r="A535" s="156"/>
      <c r="B535" s="124"/>
      <c r="C535" s="125"/>
    </row>
    <row r="536" spans="1:3" x14ac:dyDescent="0.3">
      <c r="A536" s="156"/>
      <c r="B536" s="124"/>
      <c r="C536" s="125"/>
    </row>
    <row r="537" spans="1:3" x14ac:dyDescent="0.3">
      <c r="A537" s="156"/>
      <c r="B537" s="124"/>
      <c r="C537" s="125"/>
    </row>
    <row r="538" spans="1:3" x14ac:dyDescent="0.3">
      <c r="A538" s="156"/>
      <c r="B538" s="124"/>
      <c r="C538" s="125"/>
    </row>
    <row r="539" spans="1:3" x14ac:dyDescent="0.3">
      <c r="A539" s="156"/>
      <c r="B539" s="124"/>
      <c r="C539" s="125"/>
    </row>
    <row r="540" spans="1:3" x14ac:dyDescent="0.3">
      <c r="A540" s="156"/>
      <c r="B540" s="124"/>
      <c r="C540" s="125"/>
    </row>
    <row r="541" spans="1:3" x14ac:dyDescent="0.3">
      <c r="A541" s="156"/>
      <c r="B541" s="124"/>
      <c r="C541" s="125"/>
    </row>
    <row r="542" spans="1:3" x14ac:dyDescent="0.3">
      <c r="A542" s="156"/>
      <c r="B542" s="124"/>
      <c r="C542" s="125"/>
    </row>
    <row r="543" spans="1:3" x14ac:dyDescent="0.3">
      <c r="A543" s="156"/>
      <c r="B543" s="124"/>
      <c r="C543" s="125"/>
    </row>
    <row r="544" spans="1:3" x14ac:dyDescent="0.3">
      <c r="A544" s="156"/>
      <c r="B544" s="124"/>
      <c r="C544" s="125"/>
    </row>
    <row r="545" spans="1:3" x14ac:dyDescent="0.3">
      <c r="A545" s="156"/>
      <c r="B545" s="124"/>
      <c r="C545" s="125"/>
    </row>
    <row r="546" spans="1:3" x14ac:dyDescent="0.3">
      <c r="A546" s="156"/>
      <c r="B546" s="124"/>
      <c r="C546" s="125"/>
    </row>
    <row r="547" spans="1:3" x14ac:dyDescent="0.3">
      <c r="A547" s="156"/>
      <c r="B547" s="124"/>
      <c r="C547" s="125"/>
    </row>
    <row r="548" spans="1:3" x14ac:dyDescent="0.3">
      <c r="A548" s="156"/>
      <c r="B548" s="124"/>
      <c r="C548" s="125"/>
    </row>
    <row r="549" spans="1:3" x14ac:dyDescent="0.3">
      <c r="A549" s="156"/>
      <c r="B549" s="124"/>
      <c r="C549" s="125"/>
    </row>
    <row r="550" spans="1:3" x14ac:dyDescent="0.3">
      <c r="A550" s="156"/>
      <c r="B550" s="124"/>
      <c r="C550" s="125"/>
    </row>
    <row r="551" spans="1:3" x14ac:dyDescent="0.3">
      <c r="A551" s="156"/>
      <c r="B551" s="124"/>
      <c r="C551" s="125"/>
    </row>
    <row r="552" spans="1:3" x14ac:dyDescent="0.3">
      <c r="A552" s="156"/>
      <c r="B552" s="124"/>
      <c r="C552" s="125"/>
    </row>
    <row r="553" spans="1:3" x14ac:dyDescent="0.3">
      <c r="A553" s="156"/>
      <c r="B553" s="124"/>
      <c r="C553" s="125"/>
    </row>
    <row r="554" spans="1:3" x14ac:dyDescent="0.3">
      <c r="A554" s="156"/>
      <c r="B554" s="124"/>
      <c r="C554" s="125"/>
    </row>
    <row r="555" spans="1:3" x14ac:dyDescent="0.3">
      <c r="A555" s="156"/>
      <c r="B555" s="124"/>
      <c r="C555" s="125"/>
    </row>
    <row r="556" spans="1:3" x14ac:dyDescent="0.3">
      <c r="A556" s="156"/>
      <c r="B556" s="124"/>
      <c r="C556" s="125"/>
    </row>
    <row r="557" spans="1:3" x14ac:dyDescent="0.3">
      <c r="A557" s="156"/>
      <c r="B557" s="124"/>
      <c r="C557" s="125"/>
    </row>
    <row r="558" spans="1:3" x14ac:dyDescent="0.3">
      <c r="A558" s="156"/>
      <c r="B558" s="124"/>
      <c r="C558" s="125"/>
    </row>
    <row r="559" spans="1:3" x14ac:dyDescent="0.3">
      <c r="A559" s="156"/>
      <c r="B559" s="124"/>
      <c r="C559" s="125"/>
    </row>
    <row r="560" spans="1:3" x14ac:dyDescent="0.3">
      <c r="A560" s="156"/>
      <c r="B560" s="124"/>
      <c r="C560" s="125"/>
    </row>
    <row r="561" spans="1:3" x14ac:dyDescent="0.3">
      <c r="A561" s="156"/>
      <c r="B561" s="124"/>
      <c r="C561" s="125"/>
    </row>
    <row r="562" spans="1:3" x14ac:dyDescent="0.3">
      <c r="A562" s="156"/>
      <c r="B562" s="124"/>
      <c r="C562" s="125"/>
    </row>
    <row r="563" spans="1:3" x14ac:dyDescent="0.3">
      <c r="A563" s="156"/>
      <c r="B563" s="124"/>
      <c r="C563" s="125"/>
    </row>
    <row r="564" spans="1:3" x14ac:dyDescent="0.3">
      <c r="A564" s="156"/>
      <c r="B564" s="124"/>
      <c r="C564" s="125"/>
    </row>
    <row r="565" spans="1:3" x14ac:dyDescent="0.3">
      <c r="A565" s="156"/>
      <c r="B565" s="124"/>
      <c r="C565" s="125"/>
    </row>
    <row r="566" spans="1:3" x14ac:dyDescent="0.3">
      <c r="A566" s="156"/>
      <c r="B566" s="124"/>
      <c r="C566" s="125"/>
    </row>
    <row r="567" spans="1:3" x14ac:dyDescent="0.3">
      <c r="A567" s="156"/>
      <c r="B567" s="124"/>
      <c r="C567" s="125"/>
    </row>
    <row r="568" spans="1:3" x14ac:dyDescent="0.3">
      <c r="A568" s="156"/>
      <c r="B568" s="124"/>
      <c r="C568" s="125"/>
    </row>
    <row r="569" spans="1:3" x14ac:dyDescent="0.3">
      <c r="A569" s="156"/>
      <c r="B569" s="124"/>
      <c r="C569" s="125"/>
    </row>
    <row r="570" spans="1:3" x14ac:dyDescent="0.3">
      <c r="A570" s="156"/>
      <c r="B570" s="124"/>
      <c r="C570" s="125"/>
    </row>
    <row r="571" spans="1:3" x14ac:dyDescent="0.3">
      <c r="A571" s="156"/>
      <c r="B571" s="124"/>
      <c r="C571" s="125"/>
    </row>
    <row r="572" spans="1:3" x14ac:dyDescent="0.3">
      <c r="A572" s="156"/>
      <c r="B572" s="124"/>
      <c r="C572" s="125"/>
    </row>
    <row r="573" spans="1:3" x14ac:dyDescent="0.3">
      <c r="A573" s="156"/>
      <c r="B573" s="124"/>
      <c r="C573" s="125"/>
    </row>
    <row r="574" spans="1:3" x14ac:dyDescent="0.3">
      <c r="A574" s="156"/>
      <c r="B574" s="124"/>
      <c r="C574" s="125"/>
    </row>
    <row r="575" spans="1:3" x14ac:dyDescent="0.3">
      <c r="A575" s="156"/>
      <c r="B575" s="124"/>
      <c r="C575" s="125"/>
    </row>
    <row r="576" spans="1:3" x14ac:dyDescent="0.3">
      <c r="A576" s="156"/>
      <c r="B576" s="124"/>
      <c r="C576" s="125"/>
    </row>
    <row r="577" spans="1:3" x14ac:dyDescent="0.3">
      <c r="A577" s="156"/>
      <c r="B577" s="124"/>
      <c r="C577" s="125"/>
    </row>
    <row r="578" spans="1:3" x14ac:dyDescent="0.3">
      <c r="A578" s="156"/>
      <c r="B578" s="124"/>
      <c r="C578" s="125"/>
    </row>
    <row r="579" spans="1:3" x14ac:dyDescent="0.3">
      <c r="A579" s="156"/>
      <c r="B579" s="124"/>
      <c r="C579" s="125"/>
    </row>
    <row r="580" spans="1:3" x14ac:dyDescent="0.3">
      <c r="A580" s="156"/>
      <c r="B580" s="124"/>
      <c r="C580" s="125"/>
    </row>
    <row r="581" spans="1:3" x14ac:dyDescent="0.3">
      <c r="A581" s="156"/>
      <c r="B581" s="124"/>
      <c r="C581" s="125"/>
    </row>
    <row r="582" spans="1:3" x14ac:dyDescent="0.3">
      <c r="A582" s="156"/>
      <c r="B582" s="124"/>
      <c r="C582" s="125"/>
    </row>
    <row r="583" spans="1:3" x14ac:dyDescent="0.3">
      <c r="A583" s="156"/>
      <c r="B583" s="124"/>
      <c r="C583" s="125"/>
    </row>
    <row r="584" spans="1:3" x14ac:dyDescent="0.3">
      <c r="A584" s="156"/>
      <c r="B584" s="124"/>
      <c r="C584" s="125"/>
    </row>
    <row r="585" spans="1:3" x14ac:dyDescent="0.3">
      <c r="A585" s="156"/>
      <c r="B585" s="124"/>
      <c r="C585" s="125"/>
    </row>
    <row r="586" spans="1:3" x14ac:dyDescent="0.3">
      <c r="A586" s="156"/>
      <c r="B586" s="124"/>
      <c r="C586" s="125"/>
    </row>
    <row r="587" spans="1:3" x14ac:dyDescent="0.3">
      <c r="A587" s="156"/>
      <c r="B587" s="124"/>
      <c r="C587" s="125"/>
    </row>
    <row r="588" spans="1:3" x14ac:dyDescent="0.3">
      <c r="A588" s="156"/>
      <c r="B588" s="124"/>
      <c r="C588" s="125"/>
    </row>
    <row r="589" spans="1:3" x14ac:dyDescent="0.3">
      <c r="A589" s="156"/>
      <c r="B589" s="124"/>
      <c r="C589" s="125"/>
    </row>
    <row r="590" spans="1:3" x14ac:dyDescent="0.3">
      <c r="A590" s="156"/>
      <c r="B590" s="124"/>
      <c r="C590" s="125"/>
    </row>
    <row r="591" spans="1:3" x14ac:dyDescent="0.3">
      <c r="A591" s="156"/>
      <c r="B591" s="124"/>
      <c r="C591" s="125"/>
    </row>
    <row r="592" spans="1:3" x14ac:dyDescent="0.3">
      <c r="A592" s="156"/>
      <c r="B592" s="124"/>
      <c r="C592" s="125"/>
    </row>
    <row r="593" spans="1:3" x14ac:dyDescent="0.3">
      <c r="A593" s="156"/>
      <c r="B593" s="124"/>
      <c r="C593" s="125"/>
    </row>
    <row r="594" spans="1:3" x14ac:dyDescent="0.3">
      <c r="A594" s="156"/>
      <c r="B594" s="124"/>
      <c r="C594" s="125"/>
    </row>
    <row r="595" spans="1:3" x14ac:dyDescent="0.3">
      <c r="A595" s="156"/>
      <c r="B595" s="124"/>
      <c r="C595" s="125"/>
    </row>
    <row r="596" spans="1:3" x14ac:dyDescent="0.3">
      <c r="A596" s="156"/>
      <c r="B596" s="124"/>
      <c r="C596" s="125"/>
    </row>
    <row r="597" spans="1:3" x14ac:dyDescent="0.3">
      <c r="A597" s="156"/>
      <c r="B597" s="124"/>
      <c r="C597" s="125"/>
    </row>
    <row r="598" spans="1:3" x14ac:dyDescent="0.3">
      <c r="A598" s="156"/>
      <c r="B598" s="124"/>
      <c r="C598" s="125"/>
    </row>
    <row r="599" spans="1:3" x14ac:dyDescent="0.3">
      <c r="A599" s="156"/>
      <c r="B599" s="124"/>
      <c r="C599" s="125"/>
    </row>
    <row r="600" spans="1:3" x14ac:dyDescent="0.3">
      <c r="A600" s="156"/>
      <c r="B600" s="124"/>
      <c r="C600" s="125"/>
    </row>
    <row r="601" spans="1:3" x14ac:dyDescent="0.3">
      <c r="A601" s="156"/>
      <c r="B601" s="124"/>
      <c r="C601" s="125"/>
    </row>
    <row r="602" spans="1:3" x14ac:dyDescent="0.3">
      <c r="A602" s="156"/>
      <c r="B602" s="124"/>
      <c r="C602" s="125"/>
    </row>
    <row r="603" spans="1:3" x14ac:dyDescent="0.3">
      <c r="A603" s="156"/>
      <c r="B603" s="124"/>
      <c r="C603" s="125"/>
    </row>
    <row r="604" spans="1:3" x14ac:dyDescent="0.3">
      <c r="A604" s="156"/>
      <c r="B604" s="124"/>
      <c r="C604" s="125"/>
    </row>
    <row r="605" spans="1:3" x14ac:dyDescent="0.3">
      <c r="A605" s="156"/>
      <c r="B605" s="124"/>
      <c r="C605" s="125"/>
    </row>
    <row r="606" spans="1:3" x14ac:dyDescent="0.3">
      <c r="A606" s="156"/>
      <c r="B606" s="124"/>
      <c r="C606" s="125"/>
    </row>
    <row r="607" spans="1:3" x14ac:dyDescent="0.3">
      <c r="A607" s="156"/>
      <c r="B607" s="124"/>
      <c r="C607" s="125"/>
    </row>
    <row r="608" spans="1:3" x14ac:dyDescent="0.3">
      <c r="A608" s="156"/>
      <c r="B608" s="124"/>
      <c r="C608" s="125"/>
    </row>
    <row r="609" spans="1:3" x14ac:dyDescent="0.3">
      <c r="A609" s="156"/>
      <c r="B609" s="124"/>
      <c r="C609" s="125"/>
    </row>
    <row r="610" spans="1:3" x14ac:dyDescent="0.3">
      <c r="A610" s="156"/>
      <c r="B610" s="124"/>
      <c r="C610" s="125"/>
    </row>
    <row r="611" spans="1:3" x14ac:dyDescent="0.3">
      <c r="A611" s="156"/>
      <c r="B611" s="124"/>
      <c r="C611" s="125"/>
    </row>
    <row r="612" spans="1:3" x14ac:dyDescent="0.3">
      <c r="A612" s="156"/>
      <c r="B612" s="124"/>
      <c r="C612" s="125"/>
    </row>
  </sheetData>
  <mergeCells count="3">
    <mergeCell ref="A1:D1"/>
    <mergeCell ref="F1:I1"/>
    <mergeCell ref="K1:N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3A69-5979-4056-8C96-DE7865564405}">
  <dimension ref="A1:W47"/>
  <sheetViews>
    <sheetView topLeftCell="F20" zoomScaleNormal="100" workbookViewId="0">
      <selection activeCell="P24" sqref="P24"/>
    </sheetView>
  </sheetViews>
  <sheetFormatPr defaultRowHeight="14.4" x14ac:dyDescent="0.3"/>
  <cols>
    <col min="1" max="1" width="17.33203125" style="17" bestFit="1" customWidth="1"/>
    <col min="2" max="2" width="22.109375" style="125" customWidth="1"/>
    <col min="3" max="3" width="19.88671875" style="125" customWidth="1"/>
    <col min="4" max="4" width="20.109375" style="125" customWidth="1"/>
    <col min="5" max="5" width="18.88671875" customWidth="1"/>
    <col min="6" max="6" width="17.33203125" style="17" bestFit="1" customWidth="1"/>
    <col min="7" max="7" width="22.109375" style="17" customWidth="1"/>
    <col min="8" max="8" width="19.88671875" style="17" customWidth="1"/>
    <col min="9" max="9" width="20.109375" style="157" customWidth="1"/>
    <col min="10" max="10" width="18.88671875" bestFit="1" customWidth="1"/>
    <col min="11" max="11" width="23.33203125" style="136" customWidth="1"/>
    <col min="12" max="12" width="24" style="17" customWidth="1"/>
    <col min="13" max="13" width="19.33203125" style="17" customWidth="1"/>
    <col min="14" max="14" width="18.109375" style="17" customWidth="1"/>
    <col min="16" max="16" width="14.44140625" customWidth="1"/>
    <col min="17" max="17" width="13" customWidth="1"/>
    <col min="20" max="20" width="12.33203125" customWidth="1"/>
    <col min="21" max="21" width="10.88671875" customWidth="1"/>
  </cols>
  <sheetData>
    <row r="1" spans="1:23" x14ac:dyDescent="0.3">
      <c r="A1" s="174" t="s">
        <v>12</v>
      </c>
      <c r="B1" s="174"/>
      <c r="C1" s="174"/>
      <c r="D1" s="174"/>
      <c r="F1" s="174" t="s">
        <v>3</v>
      </c>
      <c r="G1" s="174"/>
      <c r="H1" s="174"/>
      <c r="I1" s="174"/>
      <c r="K1" s="196" t="s">
        <v>1</v>
      </c>
      <c r="L1" s="196"/>
      <c r="M1" s="196"/>
      <c r="N1" s="196"/>
      <c r="P1" s="200"/>
      <c r="Q1" s="200"/>
    </row>
    <row r="2" spans="1:23" x14ac:dyDescent="0.3">
      <c r="A2" s="115" t="s">
        <v>41</v>
      </c>
      <c r="B2" s="138">
        <f>AVERAGE(B4:B380)</f>
        <v>17.005605156818181</v>
      </c>
      <c r="C2" s="138" t="s">
        <v>47</v>
      </c>
      <c r="D2" s="138">
        <f>_xlfn.STDEV.S(B4:B300)</f>
        <v>24.455417863904735</v>
      </c>
      <c r="F2" s="115" t="s">
        <v>17</v>
      </c>
      <c r="G2" s="158">
        <f>AVERAGE(G4:G100)</f>
        <v>231.66462121363639</v>
      </c>
      <c r="H2" s="115" t="s">
        <v>47</v>
      </c>
      <c r="I2" s="159">
        <f>_xlfn.STDEV.S(G4:G100)</f>
        <v>0.95541384677017727</v>
      </c>
      <c r="K2" s="115" t="s">
        <v>48</v>
      </c>
      <c r="L2" s="115">
        <f>AVERAGE(L4:L100)</f>
        <v>5.9182500000000005</v>
      </c>
      <c r="M2" s="115" t="s">
        <v>47</v>
      </c>
      <c r="N2" s="115">
        <f>_xlfn.STDEV.S(L4:L100)</f>
        <v>10.666192230758284</v>
      </c>
      <c r="P2" s="177" t="s">
        <v>4</v>
      </c>
      <c r="Q2" s="177"/>
      <c r="R2" s="177"/>
      <c r="S2" s="177"/>
      <c r="T2" s="177" t="s">
        <v>5</v>
      </c>
      <c r="U2" s="177"/>
      <c r="V2" s="177"/>
      <c r="W2" s="177"/>
    </row>
    <row r="3" spans="1:23" s="160" customFormat="1" x14ac:dyDescent="0.3">
      <c r="A3" s="120" t="s">
        <v>31</v>
      </c>
      <c r="B3" s="121" t="s">
        <v>12</v>
      </c>
      <c r="C3" s="139" t="s">
        <v>50</v>
      </c>
      <c r="D3" s="139" t="s">
        <v>51</v>
      </c>
      <c r="F3" s="120" t="s">
        <v>31</v>
      </c>
      <c r="G3" s="120" t="s">
        <v>35</v>
      </c>
      <c r="H3" s="122" t="s">
        <v>50</v>
      </c>
      <c r="I3" s="161" t="s">
        <v>51</v>
      </c>
      <c r="K3" s="122" t="s">
        <v>31</v>
      </c>
      <c r="L3" s="122" t="s">
        <v>52</v>
      </c>
      <c r="M3" s="122" t="s">
        <v>50</v>
      </c>
      <c r="N3" s="122" t="s">
        <v>51</v>
      </c>
      <c r="P3" s="178" t="s">
        <v>20</v>
      </c>
      <c r="Q3" s="179"/>
      <c r="R3" s="178" t="s">
        <v>21</v>
      </c>
      <c r="S3" s="179"/>
      <c r="T3" s="178" t="s">
        <v>20</v>
      </c>
      <c r="U3" s="179"/>
      <c r="V3" s="178" t="s">
        <v>21</v>
      </c>
      <c r="W3" s="179"/>
    </row>
    <row r="4" spans="1:23" x14ac:dyDescent="0.3">
      <c r="A4" s="123">
        <v>44835</v>
      </c>
      <c r="B4" s="124">
        <v>2</v>
      </c>
      <c r="C4" s="125">
        <f>B4-$B$2</f>
        <v>-15.005605156818181</v>
      </c>
      <c r="D4" s="125">
        <f>C4/$D$2</f>
        <v>-0.61359021711773254</v>
      </c>
      <c r="F4" s="123">
        <v>44835</v>
      </c>
      <c r="G4" s="162">
        <v>231.05666669999999</v>
      </c>
      <c r="H4" s="17">
        <f>G4-$G$2</f>
        <v>-0.60795451363640041</v>
      </c>
      <c r="I4" s="157">
        <f>H4/$D$2</f>
        <v>-2.4859706631049559E-2</v>
      </c>
      <c r="J4" s="50"/>
      <c r="K4" s="123">
        <v>44835</v>
      </c>
      <c r="L4" s="17">
        <v>0.76200000000000001</v>
      </c>
      <c r="M4" s="17">
        <f>L4-L$2</f>
        <v>-5.15625</v>
      </c>
      <c r="N4" s="17">
        <f t="shared" ref="N4:N47" si="0">M4/N$2</f>
        <v>-0.48341993922918736</v>
      </c>
      <c r="P4" s="97" t="s">
        <v>22</v>
      </c>
      <c r="Q4" s="97" t="s">
        <v>23</v>
      </c>
      <c r="R4" s="97" t="s">
        <v>24</v>
      </c>
      <c r="S4" s="97" t="s">
        <v>25</v>
      </c>
      <c r="T4" s="97" t="s">
        <v>22</v>
      </c>
      <c r="U4" s="97" t="s">
        <v>23</v>
      </c>
      <c r="V4" s="97" t="s">
        <v>24</v>
      </c>
      <c r="W4" s="97" t="s">
        <v>25</v>
      </c>
    </row>
    <row r="5" spans="1:23" x14ac:dyDescent="0.3">
      <c r="A5" s="123">
        <v>44866</v>
      </c>
      <c r="B5" s="124">
        <v>4.1100000000000003</v>
      </c>
      <c r="C5" s="125">
        <f t="shared" ref="C5:C25" si="1">B5-$B$2</f>
        <v>-12.895605156818181</v>
      </c>
      <c r="D5" s="125">
        <f t="shared" ref="D5:D25" si="2">C5/$D$2</f>
        <v>-0.52731076723295756</v>
      </c>
      <c r="F5" s="123">
        <v>44866</v>
      </c>
      <c r="G5" s="162">
        <v>231.21333329999999</v>
      </c>
      <c r="H5" s="17">
        <f t="shared" ref="H5:H25" si="3">G5-$G$2</f>
        <v>-0.4512879136364063</v>
      </c>
      <c r="I5" s="157">
        <f t="shared" ref="I5:I25" si="4">H5/$D$2</f>
        <v>-1.8453494278766344E-2</v>
      </c>
      <c r="J5" s="50"/>
      <c r="K5" s="123">
        <v>44866</v>
      </c>
      <c r="L5" s="17">
        <v>1.524</v>
      </c>
      <c r="M5" s="17">
        <f t="shared" ref="M5:M47" si="5">L5-L$2</f>
        <v>-4.3942500000000004</v>
      </c>
      <c r="N5" s="17">
        <f t="shared" si="0"/>
        <v>-0.41197926166455401</v>
      </c>
      <c r="P5" s="98">
        <f>L21</f>
        <v>5.5880000000000001</v>
      </c>
      <c r="Q5" s="98">
        <f>L33</f>
        <v>3.81</v>
      </c>
      <c r="R5" s="98">
        <f>L30</f>
        <v>9.1440000000000001</v>
      </c>
      <c r="S5" s="98">
        <v>3.81</v>
      </c>
      <c r="T5" s="98">
        <f>G21</f>
        <v>231.87</v>
      </c>
      <c r="U5" s="98">
        <f>G33</f>
        <v>232.27</v>
      </c>
      <c r="V5" s="98">
        <f>G30</f>
        <v>230.85</v>
      </c>
      <c r="W5" s="98">
        <v>232.27</v>
      </c>
    </row>
    <row r="6" spans="1:23" x14ac:dyDescent="0.3">
      <c r="A6" s="123">
        <v>44896</v>
      </c>
      <c r="B6" s="124">
        <v>15.94</v>
      </c>
      <c r="C6" s="125">
        <f t="shared" si="1"/>
        <v>-1.0656051568181812</v>
      </c>
      <c r="D6" s="125">
        <f t="shared" si="2"/>
        <v>-4.3573377594621841E-2</v>
      </c>
      <c r="F6" s="123">
        <v>44896</v>
      </c>
      <c r="G6" s="162">
        <v>231.56666670000001</v>
      </c>
      <c r="H6" s="17">
        <f t="shared" si="3"/>
        <v>-9.795451363638108E-2</v>
      </c>
      <c r="I6" s="157">
        <f t="shared" si="4"/>
        <v>-4.0054320143495976E-3</v>
      </c>
      <c r="J6" s="50"/>
      <c r="K6" s="123">
        <v>44896</v>
      </c>
      <c r="L6" s="17">
        <f>AVERAGE(L5,L7)</f>
        <v>3.302</v>
      </c>
      <c r="M6" s="17">
        <f t="shared" si="5"/>
        <v>-2.6162500000000004</v>
      </c>
      <c r="N6" s="17">
        <f t="shared" si="0"/>
        <v>-0.24528434734707619</v>
      </c>
      <c r="P6" s="98">
        <f t="shared" ref="P6:P7" si="6">L22</f>
        <v>5.3339999999999996</v>
      </c>
      <c r="Q6" s="98">
        <f t="shared" ref="Q6:Q7" si="7">L34</f>
        <v>9.9060000000000006</v>
      </c>
      <c r="R6" s="98">
        <f t="shared" ref="R6:R7" si="8">L31</f>
        <v>12.446</v>
      </c>
      <c r="S6" s="98">
        <v>9.9060000000000006</v>
      </c>
      <c r="T6" s="98">
        <f t="shared" ref="T6:T7" si="9">G22</f>
        <v>231.96</v>
      </c>
      <c r="U6" s="98">
        <f t="shared" ref="U6:U7" si="10">G34</f>
        <v>232.11</v>
      </c>
      <c r="V6" s="98">
        <f t="shared" ref="V6:V7" si="11">G31</f>
        <v>232.59</v>
      </c>
      <c r="W6" s="98">
        <v>232.11</v>
      </c>
    </row>
    <row r="7" spans="1:23" x14ac:dyDescent="0.3">
      <c r="A7" s="123">
        <v>44927</v>
      </c>
      <c r="B7" s="124">
        <v>31.26</v>
      </c>
      <c r="C7" s="125">
        <f t="shared" si="1"/>
        <v>14.254394843181821</v>
      </c>
      <c r="D7" s="125">
        <f t="shared" si="2"/>
        <v>0.58287267559720435</v>
      </c>
      <c r="F7" s="123">
        <v>44927</v>
      </c>
      <c r="G7" s="162">
        <v>231.7066667</v>
      </c>
      <c r="H7" s="17">
        <f t="shared" si="3"/>
        <v>4.2045486363605278E-2</v>
      </c>
      <c r="I7" s="157">
        <f t="shared" si="4"/>
        <v>1.7192708216064799E-3</v>
      </c>
      <c r="J7" s="50"/>
      <c r="K7" s="123">
        <v>44927</v>
      </c>
      <c r="L7" s="17">
        <v>5.08</v>
      </c>
      <c r="M7" s="17">
        <f t="shared" si="5"/>
        <v>-0.83825000000000038</v>
      </c>
      <c r="N7" s="17">
        <f t="shared" si="0"/>
        <v>-7.8589433029598352E-2</v>
      </c>
      <c r="P7" s="98">
        <f t="shared" si="6"/>
        <v>0.71</v>
      </c>
      <c r="Q7" s="98">
        <f t="shared" si="7"/>
        <v>0.76200000000000001</v>
      </c>
      <c r="R7" s="98">
        <f t="shared" si="8"/>
        <v>6.35</v>
      </c>
      <c r="S7" s="98">
        <v>0.76200000000000001</v>
      </c>
      <c r="T7" s="98">
        <f t="shared" si="9"/>
        <v>231.71</v>
      </c>
      <c r="U7" s="98">
        <f t="shared" si="10"/>
        <v>231.57</v>
      </c>
      <c r="V7" s="98">
        <f t="shared" si="11"/>
        <v>231.95</v>
      </c>
      <c r="W7" s="98">
        <v>231.57</v>
      </c>
    </row>
    <row r="8" spans="1:23" x14ac:dyDescent="0.3">
      <c r="A8" s="123">
        <v>44958</v>
      </c>
      <c r="B8" s="124">
        <v>54.75</v>
      </c>
      <c r="C8" s="125">
        <f t="shared" si="1"/>
        <v>37.744394843181823</v>
      </c>
      <c r="D8" s="125">
        <f t="shared" si="2"/>
        <v>1.5433960300016427</v>
      </c>
      <c r="F8" s="123">
        <v>44958</v>
      </c>
      <c r="G8" s="162">
        <v>232.8666667</v>
      </c>
      <c r="H8" s="17">
        <f t="shared" si="3"/>
        <v>1.2020454863636019</v>
      </c>
      <c r="I8" s="157">
        <f t="shared" si="4"/>
        <v>4.9152522890961323E-2</v>
      </c>
      <c r="J8" s="50"/>
      <c r="K8" s="123">
        <v>44958</v>
      </c>
      <c r="L8" s="17">
        <f>AVERAGE(L7,L9)</f>
        <v>4.3179999999999996</v>
      </c>
      <c r="M8" s="17">
        <f t="shared" si="5"/>
        <v>-1.6002500000000008</v>
      </c>
      <c r="N8" s="17">
        <f t="shared" si="0"/>
        <v>-0.15003011059423174</v>
      </c>
      <c r="P8" s="97" t="s">
        <v>26</v>
      </c>
      <c r="Q8" s="98">
        <v>0.67</v>
      </c>
      <c r="R8" s="97" t="s">
        <v>26</v>
      </c>
      <c r="S8" s="98">
        <v>0.04</v>
      </c>
      <c r="T8" s="97" t="s">
        <v>26</v>
      </c>
      <c r="U8" s="98">
        <v>0.47</v>
      </c>
      <c r="V8" s="97" t="s">
        <v>26</v>
      </c>
      <c r="W8" s="98">
        <v>0.79</v>
      </c>
    </row>
    <row r="9" spans="1:23" x14ac:dyDescent="0.3">
      <c r="A9" s="123">
        <v>44986</v>
      </c>
      <c r="B9" s="124">
        <v>56.74</v>
      </c>
      <c r="C9" s="125">
        <f t="shared" si="1"/>
        <v>39.734394843181818</v>
      </c>
      <c r="D9" s="125">
        <f t="shared" si="2"/>
        <v>1.6247685917413119</v>
      </c>
      <c r="F9" s="123">
        <v>44986</v>
      </c>
      <c r="G9" s="162">
        <v>233.6166667</v>
      </c>
      <c r="H9" s="17">
        <f t="shared" si="3"/>
        <v>1.9520454863636019</v>
      </c>
      <c r="I9" s="157">
        <f t="shared" si="4"/>
        <v>7.9820573797871872E-2</v>
      </c>
      <c r="J9" s="50"/>
      <c r="K9" s="123">
        <v>44986</v>
      </c>
      <c r="L9" s="17">
        <v>3.556</v>
      </c>
      <c r="M9" s="17">
        <f t="shared" si="5"/>
        <v>-2.3622500000000004</v>
      </c>
      <c r="N9" s="17">
        <f t="shared" si="0"/>
        <v>-0.22147078815886506</v>
      </c>
      <c r="P9" s="175" t="s">
        <v>27</v>
      </c>
      <c r="Q9" s="175"/>
      <c r="R9" s="176" t="s">
        <v>28</v>
      </c>
      <c r="S9" s="176"/>
      <c r="T9" s="175" t="s">
        <v>27</v>
      </c>
      <c r="U9" s="175"/>
      <c r="V9" s="175" t="s">
        <v>27</v>
      </c>
      <c r="W9" s="175"/>
    </row>
    <row r="10" spans="1:23" x14ac:dyDescent="0.3">
      <c r="A10" s="123">
        <v>45017</v>
      </c>
      <c r="B10" s="124">
        <v>21.33</v>
      </c>
      <c r="C10" s="125">
        <f t="shared" si="1"/>
        <v>4.3243948431818175</v>
      </c>
      <c r="D10" s="125">
        <f t="shared" si="2"/>
        <v>0.17682768158970857</v>
      </c>
      <c r="F10" s="123">
        <v>45017</v>
      </c>
      <c r="G10" s="162">
        <v>232.47333330000001</v>
      </c>
      <c r="H10" s="17">
        <f t="shared" si="3"/>
        <v>0.80871208636361303</v>
      </c>
      <c r="I10" s="157">
        <f t="shared" si="4"/>
        <v>3.3068831244844166E-2</v>
      </c>
      <c r="J10" s="50"/>
      <c r="K10" s="123">
        <v>45017</v>
      </c>
      <c r="L10" s="17">
        <v>5.5880000000000001</v>
      </c>
      <c r="M10" s="17">
        <f t="shared" si="5"/>
        <v>-0.33025000000000038</v>
      </c>
      <c r="N10" s="17">
        <f t="shared" si="0"/>
        <v>-3.0962314653176108E-2</v>
      </c>
      <c r="P10" s="163"/>
      <c r="Q10" s="164"/>
    </row>
    <row r="11" spans="1:23" x14ac:dyDescent="0.3">
      <c r="A11" s="123">
        <v>45047</v>
      </c>
      <c r="B11" s="124">
        <v>13.43</v>
      </c>
      <c r="C11" s="125">
        <f t="shared" si="1"/>
        <v>-3.575605156818181</v>
      </c>
      <c r="D11" s="125">
        <f t="shared" si="2"/>
        <v>-0.14620912129641581</v>
      </c>
      <c r="F11" s="123">
        <v>45047</v>
      </c>
      <c r="G11" s="162">
        <v>232.1733333</v>
      </c>
      <c r="H11" s="17">
        <f t="shared" si="3"/>
        <v>0.50871208636360166</v>
      </c>
      <c r="I11" s="157">
        <f t="shared" si="4"/>
        <v>2.0801610882079481E-2</v>
      </c>
      <c r="J11" s="50"/>
      <c r="K11" s="123">
        <v>45047</v>
      </c>
      <c r="L11" s="17">
        <v>5.08</v>
      </c>
      <c r="M11" s="17">
        <f t="shared" si="5"/>
        <v>-0.83825000000000038</v>
      </c>
      <c r="N11" s="17">
        <f t="shared" si="0"/>
        <v>-7.8589433029598352E-2</v>
      </c>
      <c r="P11" s="163"/>
      <c r="Q11" s="164"/>
    </row>
    <row r="12" spans="1:23" x14ac:dyDescent="0.3">
      <c r="A12" s="123">
        <v>45078</v>
      </c>
      <c r="B12" s="124">
        <v>9.34</v>
      </c>
      <c r="C12" s="125">
        <f t="shared" si="1"/>
        <v>-7.6656051568181809</v>
      </c>
      <c r="D12" s="125">
        <f t="shared" si="2"/>
        <v>-0.31345222557543462</v>
      </c>
      <c r="F12" s="123">
        <v>45078</v>
      </c>
      <c r="G12" s="162">
        <v>231.8966667</v>
      </c>
      <c r="H12" s="17">
        <f t="shared" si="3"/>
        <v>0.232045486363603</v>
      </c>
      <c r="I12" s="157">
        <f t="shared" si="4"/>
        <v>9.4885103846903927E-3</v>
      </c>
      <c r="J12" s="50"/>
      <c r="K12" s="123">
        <v>45078</v>
      </c>
      <c r="L12" s="17">
        <v>2.794</v>
      </c>
      <c r="M12" s="17">
        <f t="shared" si="5"/>
        <v>-3.1242500000000004</v>
      </c>
      <c r="N12" s="17">
        <f t="shared" si="0"/>
        <v>-0.29291146572349841</v>
      </c>
      <c r="P12" s="163"/>
      <c r="Q12" s="164"/>
    </row>
    <row r="13" spans="1:23" x14ac:dyDescent="0.3">
      <c r="A13" s="123">
        <v>45108</v>
      </c>
      <c r="B13" s="124">
        <v>5.2</v>
      </c>
      <c r="C13" s="125">
        <f t="shared" si="1"/>
        <v>-11.805605156818181</v>
      </c>
      <c r="D13" s="125">
        <f t="shared" si="2"/>
        <v>-0.48273986658158086</v>
      </c>
      <c r="F13" s="123">
        <v>45108</v>
      </c>
      <c r="G13" s="162">
        <v>231.49333329999999</v>
      </c>
      <c r="H13" s="17">
        <f t="shared" si="3"/>
        <v>-0.17128791363640516</v>
      </c>
      <c r="I13" s="157">
        <f t="shared" si="4"/>
        <v>-7.0040886068530282E-3</v>
      </c>
      <c r="J13" s="50"/>
      <c r="K13" s="123">
        <v>45108</v>
      </c>
      <c r="L13" s="17">
        <v>2.286</v>
      </c>
      <c r="M13" s="17">
        <f t="shared" si="5"/>
        <v>-3.6322500000000004</v>
      </c>
      <c r="N13" s="17">
        <f t="shared" si="0"/>
        <v>-0.34053858409992066</v>
      </c>
      <c r="P13" s="163"/>
      <c r="Q13" s="164"/>
    </row>
    <row r="14" spans="1:23" x14ac:dyDescent="0.3">
      <c r="A14" s="123">
        <v>45139</v>
      </c>
      <c r="B14" s="124">
        <v>3.38</v>
      </c>
      <c r="C14" s="125">
        <f t="shared" si="1"/>
        <v>-13.625605156818182</v>
      </c>
      <c r="D14" s="125">
        <f t="shared" si="2"/>
        <v>-0.5571610034490172</v>
      </c>
      <c r="F14" s="123">
        <v>45139</v>
      </c>
      <c r="G14" s="50">
        <v>231.13</v>
      </c>
      <c r="H14" s="17">
        <f t="shared" si="3"/>
        <v>-0.53462121363639881</v>
      </c>
      <c r="I14" s="157">
        <f t="shared" si="4"/>
        <v>-2.1861054127620502E-2</v>
      </c>
      <c r="J14" s="50"/>
      <c r="K14" s="123">
        <v>45139</v>
      </c>
      <c r="L14" s="17">
        <v>0.50800000000000001</v>
      </c>
      <c r="M14" s="17">
        <f t="shared" si="5"/>
        <v>-5.4102500000000004</v>
      </c>
      <c r="N14" s="17">
        <f t="shared" si="0"/>
        <v>-0.50723349841739851</v>
      </c>
      <c r="P14" s="163"/>
      <c r="Q14" s="164"/>
    </row>
    <row r="15" spans="1:23" x14ac:dyDescent="0.3">
      <c r="A15" s="123">
        <v>45170</v>
      </c>
      <c r="B15" s="165">
        <v>1.27</v>
      </c>
      <c r="C15" s="125">
        <f t="shared" si="1"/>
        <v>-15.735605156818181</v>
      </c>
      <c r="D15" s="125">
        <f t="shared" si="2"/>
        <v>-0.64344045333379218</v>
      </c>
      <c r="F15" s="123">
        <v>45170</v>
      </c>
      <c r="G15" s="50">
        <v>231.03</v>
      </c>
      <c r="H15" s="17">
        <f t="shared" si="3"/>
        <v>-0.63462121363639312</v>
      </c>
      <c r="I15" s="157">
        <f t="shared" si="4"/>
        <v>-2.595012758187501E-2</v>
      </c>
      <c r="J15" s="50"/>
      <c r="K15" s="123">
        <v>45170</v>
      </c>
      <c r="L15" s="17">
        <v>1.016</v>
      </c>
      <c r="M15" s="17">
        <f t="shared" si="5"/>
        <v>-4.9022500000000004</v>
      </c>
      <c r="N15" s="17">
        <f t="shared" si="0"/>
        <v>-0.45960638004097626</v>
      </c>
      <c r="P15" s="163"/>
      <c r="Q15" s="164"/>
    </row>
    <row r="16" spans="1:23" x14ac:dyDescent="0.3">
      <c r="A16" s="123">
        <v>45200</v>
      </c>
      <c r="B16" s="124">
        <v>1.57</v>
      </c>
      <c r="C16" s="125">
        <f t="shared" si="1"/>
        <v>-15.43560515681818</v>
      </c>
      <c r="D16" s="125">
        <f t="shared" si="2"/>
        <v>-0.6311732329710279</v>
      </c>
      <c r="F16" s="123">
        <v>45200</v>
      </c>
      <c r="G16" s="126">
        <v>230.99</v>
      </c>
      <c r="H16" s="17">
        <f t="shared" si="3"/>
        <v>-0.67462121363638516</v>
      </c>
      <c r="I16" s="157">
        <f t="shared" si="4"/>
        <v>-2.7585756963576583E-2</v>
      </c>
      <c r="K16" s="123">
        <v>45200</v>
      </c>
      <c r="L16" s="17">
        <v>0.254</v>
      </c>
      <c r="M16" s="17">
        <f t="shared" si="5"/>
        <v>-5.6642500000000009</v>
      </c>
      <c r="N16" s="17">
        <f t="shared" si="0"/>
        <v>-0.53104705760560966</v>
      </c>
      <c r="P16" s="163"/>
      <c r="Q16" s="164"/>
    </row>
    <row r="17" spans="1:14" x14ac:dyDescent="0.3">
      <c r="A17" s="123">
        <v>45231</v>
      </c>
      <c r="B17" s="124">
        <v>4.33</v>
      </c>
      <c r="C17" s="125">
        <f t="shared" si="1"/>
        <v>-12.675605156818181</v>
      </c>
      <c r="D17" s="125">
        <f t="shared" si="2"/>
        <v>-0.51831480563359711</v>
      </c>
      <c r="F17" s="123">
        <v>45231</v>
      </c>
      <c r="G17" s="126">
        <v>231.01</v>
      </c>
      <c r="H17" s="17">
        <f t="shared" si="3"/>
        <v>-0.65462121363640335</v>
      </c>
      <c r="I17" s="157">
        <f t="shared" si="4"/>
        <v>-2.6767942272726376E-2</v>
      </c>
      <c r="K17" s="123">
        <v>45231</v>
      </c>
      <c r="L17" s="17">
        <v>2.794</v>
      </c>
      <c r="M17" s="17">
        <f t="shared" si="5"/>
        <v>-3.1242500000000004</v>
      </c>
      <c r="N17" s="17">
        <f t="shared" si="0"/>
        <v>-0.29291146572349841</v>
      </c>
    </row>
    <row r="18" spans="1:14" x14ac:dyDescent="0.3">
      <c r="A18" s="123">
        <v>45261</v>
      </c>
      <c r="B18" s="124">
        <v>7.3289999999999997</v>
      </c>
      <c r="C18" s="125">
        <f t="shared" si="1"/>
        <v>-9.6766051568181801</v>
      </c>
      <c r="D18" s="125">
        <f t="shared" si="2"/>
        <v>-0.39568349274049741</v>
      </c>
      <c r="F18" s="123">
        <v>45261</v>
      </c>
      <c r="G18" s="126">
        <v>231.57</v>
      </c>
      <c r="H18" s="17">
        <f t="shared" si="3"/>
        <v>-9.462121363640108E-2</v>
      </c>
      <c r="I18" s="157">
        <f t="shared" si="4"/>
        <v>-3.8691309288997424E-3</v>
      </c>
      <c r="K18" s="123">
        <v>45261</v>
      </c>
      <c r="L18" s="17">
        <f>AVERAGE(L17,L19)</f>
        <v>2.286</v>
      </c>
      <c r="M18" s="17">
        <f t="shared" si="5"/>
        <v>-3.6322500000000004</v>
      </c>
      <c r="N18" s="17">
        <f t="shared" si="0"/>
        <v>-0.34053858409992066</v>
      </c>
    </row>
    <row r="19" spans="1:14" x14ac:dyDescent="0.3">
      <c r="A19" s="123">
        <v>45292</v>
      </c>
      <c r="B19" s="124">
        <f>AVERAGE(B18,B20)</f>
        <v>9.4245000000000001</v>
      </c>
      <c r="C19" s="125">
        <f t="shared" si="1"/>
        <v>-7.5811051568181806</v>
      </c>
      <c r="D19" s="125">
        <f t="shared" si="2"/>
        <v>-0.30999695850658937</v>
      </c>
      <c r="F19" s="123">
        <v>45292</v>
      </c>
      <c r="G19" s="126">
        <v>231.99</v>
      </c>
      <c r="H19" s="17">
        <f t="shared" si="3"/>
        <v>0.32537878636361484</v>
      </c>
      <c r="I19" s="157">
        <f t="shared" si="4"/>
        <v>1.3304977578970815E-2</v>
      </c>
      <c r="K19" s="123">
        <v>45292</v>
      </c>
      <c r="L19" s="17">
        <v>1.778</v>
      </c>
      <c r="M19" s="17">
        <f t="shared" si="5"/>
        <v>-4.14025</v>
      </c>
      <c r="N19" s="17">
        <f t="shared" si="0"/>
        <v>-0.38816570247634286</v>
      </c>
    </row>
    <row r="20" spans="1:14" x14ac:dyDescent="0.3">
      <c r="A20" s="123">
        <v>45323</v>
      </c>
      <c r="B20" s="124">
        <v>11.52</v>
      </c>
      <c r="C20" s="125">
        <f t="shared" si="1"/>
        <v>-5.4856051568181812</v>
      </c>
      <c r="D20" s="125">
        <f t="shared" si="2"/>
        <v>-0.22431042427268133</v>
      </c>
      <c r="F20" s="123">
        <v>45323</v>
      </c>
      <c r="G20" s="126">
        <v>231.95</v>
      </c>
      <c r="H20" s="17">
        <f t="shared" si="3"/>
        <v>0.28537878636359437</v>
      </c>
      <c r="I20" s="157">
        <f t="shared" si="4"/>
        <v>1.1669348197268082E-2</v>
      </c>
      <c r="K20" s="123">
        <v>45323</v>
      </c>
      <c r="L20" s="17">
        <v>3.556</v>
      </c>
      <c r="M20" s="17">
        <f t="shared" si="5"/>
        <v>-2.3622500000000004</v>
      </c>
      <c r="N20" s="17">
        <f t="shared" si="0"/>
        <v>-0.22147078815886506</v>
      </c>
    </row>
    <row r="21" spans="1:14" x14ac:dyDescent="0.3">
      <c r="A21" s="123">
        <v>45352</v>
      </c>
      <c r="B21" s="124">
        <v>7.33</v>
      </c>
      <c r="C21" s="125">
        <f t="shared" si="1"/>
        <v>-9.6756051568181807</v>
      </c>
      <c r="D21" s="125">
        <f t="shared" si="2"/>
        <v>-0.39564260200595491</v>
      </c>
      <c r="F21" s="123">
        <v>45352</v>
      </c>
      <c r="G21" s="126">
        <v>231.87</v>
      </c>
      <c r="H21" s="17">
        <f t="shared" si="3"/>
        <v>0.20537878636361029</v>
      </c>
      <c r="I21" s="157">
        <f t="shared" si="4"/>
        <v>8.3980894338649414E-3</v>
      </c>
      <c r="K21" s="123">
        <v>45352</v>
      </c>
      <c r="L21" s="17">
        <v>5.5880000000000001</v>
      </c>
      <c r="M21" s="17">
        <f t="shared" si="5"/>
        <v>-0.33025000000000038</v>
      </c>
      <c r="N21" s="17">
        <f t="shared" si="0"/>
        <v>-3.0962314653176108E-2</v>
      </c>
    </row>
    <row r="22" spans="1:14" x14ac:dyDescent="0.3">
      <c r="A22" s="123">
        <v>45383</v>
      </c>
      <c r="B22" s="124">
        <v>8.8699999999999992</v>
      </c>
      <c r="C22" s="125">
        <f t="shared" si="1"/>
        <v>-8.1356051568181815</v>
      </c>
      <c r="D22" s="125">
        <f t="shared" si="2"/>
        <v>-0.33267087081043195</v>
      </c>
      <c r="F22" s="123">
        <v>45383</v>
      </c>
      <c r="G22" s="126">
        <v>231.96</v>
      </c>
      <c r="H22" s="17">
        <f t="shared" si="3"/>
        <v>0.2953787863636137</v>
      </c>
      <c r="I22" s="157">
        <f t="shared" si="4"/>
        <v>1.2078255542694346E-2</v>
      </c>
      <c r="K22" s="123">
        <v>45383</v>
      </c>
      <c r="L22" s="17">
        <v>5.3339999999999996</v>
      </c>
      <c r="M22" s="17">
        <f t="shared" si="5"/>
        <v>-0.58425000000000082</v>
      </c>
      <c r="N22" s="17">
        <f t="shared" si="0"/>
        <v>-5.4775873841387268E-2</v>
      </c>
    </row>
    <row r="23" spans="1:14" x14ac:dyDescent="0.3">
      <c r="A23" s="123">
        <v>45413</v>
      </c>
      <c r="B23" s="124">
        <v>4.95</v>
      </c>
      <c r="C23" s="125">
        <f t="shared" si="1"/>
        <v>-12.055605156818181</v>
      </c>
      <c r="D23" s="125">
        <f t="shared" si="2"/>
        <v>-0.49296255021721774</v>
      </c>
      <c r="F23" s="123">
        <v>45413</v>
      </c>
      <c r="G23" s="126">
        <v>231.71</v>
      </c>
      <c r="H23" s="17">
        <f t="shared" si="3"/>
        <v>4.5378786363613699E-2</v>
      </c>
      <c r="I23" s="157">
        <f t="shared" si="4"/>
        <v>1.8555719070574973E-3</v>
      </c>
      <c r="K23" s="123">
        <v>45413</v>
      </c>
      <c r="L23" s="17">
        <v>0.71</v>
      </c>
      <c r="M23" s="17">
        <f t="shared" si="5"/>
        <v>-5.2082500000000005</v>
      </c>
      <c r="N23" s="17">
        <f t="shared" si="0"/>
        <v>-0.48829515607086843</v>
      </c>
    </row>
    <row r="24" spans="1:14" x14ac:dyDescent="0.3">
      <c r="A24" s="123">
        <v>45444</v>
      </c>
      <c r="B24" s="124">
        <v>2.41</v>
      </c>
      <c r="C24" s="125">
        <f t="shared" si="1"/>
        <v>-14.595605156818181</v>
      </c>
      <c r="D24" s="125">
        <f t="shared" si="2"/>
        <v>-0.59682501595528803</v>
      </c>
      <c r="F24" s="123">
        <v>45444</v>
      </c>
      <c r="G24" s="17">
        <v>231.71</v>
      </c>
      <c r="H24" s="17">
        <f t="shared" si="3"/>
        <v>4.5378786363613699E-2</v>
      </c>
      <c r="I24" s="157">
        <f t="shared" si="4"/>
        <v>1.8555719070574973E-3</v>
      </c>
      <c r="K24" s="123">
        <v>45444</v>
      </c>
      <c r="L24" s="17">
        <v>1.016</v>
      </c>
      <c r="M24" s="17">
        <f t="shared" si="5"/>
        <v>-4.9022500000000004</v>
      </c>
      <c r="N24" s="17">
        <f>M24/N$2</f>
        <v>-0.45960638004097626</v>
      </c>
    </row>
    <row r="25" spans="1:14" x14ac:dyDescent="0.3">
      <c r="A25" s="123">
        <v>45474</v>
      </c>
      <c r="B25" s="125">
        <v>1.35</v>
      </c>
      <c r="C25" s="125">
        <f t="shared" si="1"/>
        <v>-15.655605156818181</v>
      </c>
      <c r="D25" s="125">
        <f t="shared" si="2"/>
        <v>-0.64016919457038834</v>
      </c>
      <c r="F25" s="123">
        <v>45474</v>
      </c>
      <c r="G25" s="17">
        <v>231.38</v>
      </c>
      <c r="H25" s="17">
        <f t="shared" si="3"/>
        <v>-0.28462121363639881</v>
      </c>
      <c r="I25" s="157">
        <f t="shared" si="4"/>
        <v>-1.1638370491983654E-2</v>
      </c>
      <c r="K25" s="123">
        <v>45474</v>
      </c>
      <c r="L25" s="17">
        <v>0.50800000000000001</v>
      </c>
      <c r="M25" s="17">
        <f t="shared" si="5"/>
        <v>-5.4102500000000004</v>
      </c>
      <c r="N25" s="17">
        <f t="shared" si="0"/>
        <v>-0.50723349841739851</v>
      </c>
    </row>
    <row r="26" spans="1:14" x14ac:dyDescent="0.3">
      <c r="A26" s="123">
        <v>45505</v>
      </c>
      <c r="B26" s="125">
        <v>4.32</v>
      </c>
      <c r="C26" s="125">
        <f>B26-$B$2</f>
        <v>-12.68560515681818</v>
      </c>
      <c r="D26" s="125">
        <f>C26/$D$2</f>
        <v>-0.51872371297902253</v>
      </c>
      <c r="F26" s="123">
        <v>45505</v>
      </c>
      <c r="G26" s="17">
        <v>231.16</v>
      </c>
      <c r="H26" s="17">
        <f>G26-$G$2</f>
        <v>-0.50462121363639767</v>
      </c>
      <c r="I26" s="157">
        <f>H26/$D$2</f>
        <v>-2.0634332091344035E-2</v>
      </c>
      <c r="K26" s="123">
        <v>45505</v>
      </c>
      <c r="L26" s="17">
        <v>0</v>
      </c>
      <c r="M26" s="17">
        <f t="shared" si="5"/>
        <v>-5.9182500000000005</v>
      </c>
      <c r="N26" s="17">
        <f t="shared" si="0"/>
        <v>-0.5548606167938207</v>
      </c>
    </row>
    <row r="27" spans="1:14" x14ac:dyDescent="0.3">
      <c r="A27" s="123">
        <v>45536</v>
      </c>
      <c r="B27" s="125">
        <v>1.2689999999999999</v>
      </c>
      <c r="C27" s="125">
        <f>B27-$B$2</f>
        <v>-15.736605156818181</v>
      </c>
      <c r="D27" s="125">
        <f>C27/$D$2</f>
        <v>-0.64348134406833468</v>
      </c>
      <c r="F27" s="123">
        <v>45536</v>
      </c>
      <c r="G27" s="17">
        <v>231.04</v>
      </c>
      <c r="H27" s="17">
        <f>G27-$G$2</f>
        <v>-0.62462121363640222</v>
      </c>
      <c r="I27" s="157">
        <f>H27/$D$2</f>
        <v>-2.5541220236449908E-2</v>
      </c>
      <c r="K27" s="123">
        <v>45536</v>
      </c>
      <c r="L27" s="17">
        <v>0.76200000000000001</v>
      </c>
      <c r="M27" s="17">
        <f t="shared" si="5"/>
        <v>-5.15625</v>
      </c>
      <c r="N27" s="17">
        <f t="shared" si="0"/>
        <v>-0.48341993922918736</v>
      </c>
    </row>
    <row r="28" spans="1:14" x14ac:dyDescent="0.3">
      <c r="A28" s="123">
        <v>45566</v>
      </c>
      <c r="B28" s="125">
        <v>1.0951610000000001</v>
      </c>
      <c r="C28" s="125">
        <f>B28-$B$2</f>
        <v>-15.91044415681818</v>
      </c>
      <c r="D28" s="125">
        <f>C28/$D$2</f>
        <v>-0.65058974847047657</v>
      </c>
      <c r="E28" s="128" t="s">
        <v>29</v>
      </c>
      <c r="F28" s="123">
        <v>45566</v>
      </c>
      <c r="G28" s="17">
        <v>230.69</v>
      </c>
      <c r="H28" s="17">
        <f>G28-$G$2</f>
        <v>-0.97462121363639653</v>
      </c>
      <c r="I28" s="157">
        <f>H28/$D$2</f>
        <v>-3.9852977326341264E-2</v>
      </c>
      <c r="J28" s="128" t="s">
        <v>29</v>
      </c>
      <c r="K28" s="123">
        <v>45566</v>
      </c>
      <c r="L28" s="17">
        <v>0.50800000000000001</v>
      </c>
      <c r="M28" s="17">
        <f t="shared" si="5"/>
        <v>-5.4102500000000004</v>
      </c>
      <c r="N28" s="17">
        <f t="shared" si="0"/>
        <v>-0.50723349841739851</v>
      </c>
    </row>
    <row r="29" spans="1:14" x14ac:dyDescent="0.3">
      <c r="A29" s="123">
        <v>45597</v>
      </c>
      <c r="B29" s="124">
        <v>2.2999999999999998</v>
      </c>
      <c r="C29" s="125">
        <f>B29-$B$2</f>
        <v>-14.70560515681818</v>
      </c>
      <c r="D29" s="125">
        <f>C29/$D$2</f>
        <v>-0.60132299675496825</v>
      </c>
      <c r="F29" s="123">
        <v>45597</v>
      </c>
      <c r="G29" s="17">
        <v>230.89</v>
      </c>
      <c r="H29" s="17">
        <f>G29-$G$2</f>
        <v>-0.7746212136364079</v>
      </c>
      <c r="I29" s="157">
        <f>H29/$D$2</f>
        <v>-3.1674830417832249E-2</v>
      </c>
      <c r="K29" s="123">
        <v>45597</v>
      </c>
      <c r="L29" s="17">
        <v>0.50800000000000001</v>
      </c>
      <c r="M29" s="17">
        <f t="shared" si="5"/>
        <v>-5.4102500000000004</v>
      </c>
      <c r="N29" s="17">
        <f t="shared" si="0"/>
        <v>-0.50723349841739851</v>
      </c>
    </row>
    <row r="30" spans="1:14" x14ac:dyDescent="0.3">
      <c r="A30" s="123">
        <v>45627</v>
      </c>
      <c r="B30" s="124">
        <v>1.9805999999999999</v>
      </c>
      <c r="C30" s="125">
        <f>B30-$B$2</f>
        <v>-15.025005156818182</v>
      </c>
      <c r="D30" s="125">
        <f>C30/$D$2</f>
        <v>-0.61438349736785802</v>
      </c>
      <c r="F30" s="123">
        <v>45627</v>
      </c>
      <c r="G30" s="17">
        <v>230.85</v>
      </c>
      <c r="H30" s="17">
        <f>G30-$G$2</f>
        <v>-0.81462121363639994</v>
      </c>
      <c r="I30" s="157">
        <f>H30/$D$2</f>
        <v>-3.3310459799533822E-2</v>
      </c>
      <c r="K30" s="123">
        <v>45627</v>
      </c>
      <c r="L30" s="17">
        <v>9.1440000000000001</v>
      </c>
      <c r="M30" s="17">
        <f t="shared" si="5"/>
        <v>3.2257499999999997</v>
      </c>
      <c r="N30" s="17">
        <f t="shared" si="0"/>
        <v>0.30242751398177958</v>
      </c>
    </row>
    <row r="31" spans="1:14" x14ac:dyDescent="0.3">
      <c r="A31" s="123">
        <v>45658</v>
      </c>
      <c r="B31" s="124">
        <v>29.300999999999998</v>
      </c>
      <c r="C31" s="125">
        <f t="shared" ref="C31:C47" si="12">B31-$B$2</f>
        <v>12.295394843181818</v>
      </c>
      <c r="D31" s="125">
        <f t="shared" ref="D31:D47" si="13">C31/$D$2</f>
        <v>0.50276772662835389</v>
      </c>
      <c r="F31" s="123">
        <v>45658</v>
      </c>
      <c r="G31" s="17">
        <v>232.59</v>
      </c>
      <c r="H31" s="17">
        <f t="shared" ref="H31:H47" si="14">G31-$G$2</f>
        <v>0.92537878636360915</v>
      </c>
      <c r="I31" s="157">
        <f t="shared" ref="I31:I47" si="15">H31/$D$2</f>
        <v>3.7839418304499023E-2</v>
      </c>
      <c r="K31" s="123">
        <v>45658</v>
      </c>
      <c r="L31" s="17">
        <v>12.446</v>
      </c>
      <c r="M31" s="17">
        <f t="shared" si="5"/>
        <v>6.5277499999999993</v>
      </c>
      <c r="N31" s="17">
        <f t="shared" si="0"/>
        <v>0.61200378342852413</v>
      </c>
    </row>
    <row r="32" spans="1:14" x14ac:dyDescent="0.3">
      <c r="A32" s="123">
        <v>45689</v>
      </c>
      <c r="B32" s="124">
        <v>17.34</v>
      </c>
      <c r="C32" s="125">
        <f t="shared" si="12"/>
        <v>0.33439484318181911</v>
      </c>
      <c r="D32" s="125">
        <f t="shared" si="13"/>
        <v>1.367365076494453E-2</v>
      </c>
      <c r="F32" s="123">
        <v>45689</v>
      </c>
      <c r="G32" s="17">
        <v>231.95</v>
      </c>
      <c r="H32" s="17">
        <f t="shared" si="14"/>
        <v>0.28537878636359437</v>
      </c>
      <c r="I32" s="157">
        <f t="shared" si="15"/>
        <v>1.1669348197268082E-2</v>
      </c>
      <c r="K32" s="123">
        <v>45689</v>
      </c>
      <c r="L32" s="17">
        <v>6.35</v>
      </c>
      <c r="M32" s="17">
        <f t="shared" si="5"/>
        <v>0.43174999999999919</v>
      </c>
      <c r="N32" s="17">
        <f t="shared" si="0"/>
        <v>4.0478362911457212E-2</v>
      </c>
    </row>
    <row r="33" spans="1:14" x14ac:dyDescent="0.3">
      <c r="A33" s="123">
        <v>45717</v>
      </c>
      <c r="B33" s="124">
        <v>15.98</v>
      </c>
      <c r="C33" s="125">
        <f t="shared" si="12"/>
        <v>-1.0256051568181803</v>
      </c>
      <c r="D33" s="125">
        <f t="shared" si="13"/>
        <v>-4.1937748212919908E-2</v>
      </c>
      <c r="F33" s="123">
        <v>45717</v>
      </c>
      <c r="G33" s="17">
        <v>232.27</v>
      </c>
      <c r="H33" s="17">
        <f t="shared" si="14"/>
        <v>0.60537878636361597</v>
      </c>
      <c r="I33" s="157">
        <f t="shared" si="15"/>
        <v>2.4754383250884131E-2</v>
      </c>
      <c r="K33" s="123">
        <v>45717</v>
      </c>
      <c r="L33" s="17">
        <v>3.81</v>
      </c>
      <c r="M33" s="17">
        <f t="shared" si="5"/>
        <v>-2.1082500000000004</v>
      </c>
      <c r="N33" s="17">
        <f t="shared" si="0"/>
        <v>-0.19765722897065394</v>
      </c>
    </row>
    <row r="34" spans="1:14" x14ac:dyDescent="0.3">
      <c r="A34" s="123">
        <v>45748</v>
      </c>
      <c r="B34" s="124">
        <v>14.231999999999999</v>
      </c>
      <c r="C34" s="125">
        <f t="shared" si="12"/>
        <v>-2.7736051568181814</v>
      </c>
      <c r="D34" s="125">
        <f t="shared" si="13"/>
        <v>-0.11341475219329279</v>
      </c>
      <c r="F34" s="123">
        <v>45748</v>
      </c>
      <c r="G34" s="17">
        <f>AVERAGE(G32:G33)</f>
        <v>232.11</v>
      </c>
      <c r="H34" s="17">
        <f t="shared" si="14"/>
        <v>0.44537878636361938</v>
      </c>
      <c r="I34" s="157">
        <f t="shared" si="15"/>
        <v>1.8211865724076688E-2</v>
      </c>
      <c r="K34" s="123">
        <v>45748</v>
      </c>
      <c r="L34" s="17">
        <v>9.9060000000000006</v>
      </c>
      <c r="M34" s="17">
        <f t="shared" si="5"/>
        <v>3.9877500000000001</v>
      </c>
      <c r="N34" s="17">
        <f t="shared" si="0"/>
        <v>0.37386819154641299</v>
      </c>
    </row>
    <row r="35" spans="1:14" x14ac:dyDescent="0.3">
      <c r="A35" s="123">
        <v>45778</v>
      </c>
      <c r="B35" s="124">
        <v>13.493</v>
      </c>
      <c r="C35" s="125">
        <f t="shared" si="12"/>
        <v>-3.5126051568181804</v>
      </c>
      <c r="D35" s="125">
        <f t="shared" si="13"/>
        <v>-0.14363300502023529</v>
      </c>
      <c r="F35" s="123">
        <v>45778</v>
      </c>
      <c r="G35" s="17">
        <v>231.57</v>
      </c>
      <c r="H35" s="17">
        <f t="shared" si="14"/>
        <v>-9.462121363640108E-2</v>
      </c>
      <c r="I35" s="157">
        <f t="shared" si="15"/>
        <v>-3.8691309288997424E-3</v>
      </c>
      <c r="K35" s="123">
        <v>45778</v>
      </c>
      <c r="L35" s="17">
        <v>0.76200000000000001</v>
      </c>
      <c r="M35" s="17">
        <f t="shared" si="5"/>
        <v>-5.15625</v>
      </c>
      <c r="N35" s="17">
        <f t="shared" si="0"/>
        <v>-0.48341993922918736</v>
      </c>
    </row>
    <row r="36" spans="1:14" x14ac:dyDescent="0.3">
      <c r="A36" s="123">
        <v>45809</v>
      </c>
      <c r="B36" s="124">
        <v>4.8360000000000003</v>
      </c>
      <c r="C36" s="125">
        <f t="shared" si="12"/>
        <v>-12.16960515681818</v>
      </c>
      <c r="D36" s="125">
        <f t="shared" si="13"/>
        <v>-0.49762409395506807</v>
      </c>
      <c r="F36" s="123">
        <v>45809</v>
      </c>
      <c r="G36" s="17">
        <v>230.71</v>
      </c>
      <c r="H36" s="17">
        <f t="shared" si="14"/>
        <v>-0.9546212136363863</v>
      </c>
      <c r="I36" s="157">
        <f t="shared" si="15"/>
        <v>-3.9035162635489895E-2</v>
      </c>
      <c r="K36" s="123">
        <v>45809</v>
      </c>
      <c r="L36" s="17">
        <v>1.524</v>
      </c>
      <c r="M36" s="17">
        <f t="shared" si="5"/>
        <v>-4.3942500000000004</v>
      </c>
      <c r="N36" s="17">
        <f t="shared" si="0"/>
        <v>-0.41197926166455401</v>
      </c>
    </row>
    <row r="37" spans="1:14" x14ac:dyDescent="0.3">
      <c r="A37" s="123">
        <v>45839</v>
      </c>
      <c r="B37" s="124">
        <v>1.895</v>
      </c>
      <c r="C37" s="125">
        <f t="shared" si="12"/>
        <v>-15.110605156818181</v>
      </c>
      <c r="D37" s="125">
        <f t="shared" si="13"/>
        <v>-0.61788374424470005</v>
      </c>
      <c r="F37" s="123">
        <v>45839</v>
      </c>
      <c r="G37" s="17">
        <v>230.6</v>
      </c>
      <c r="H37" s="17">
        <f t="shared" si="14"/>
        <v>-1.0646212136363999</v>
      </c>
      <c r="I37" s="157">
        <f t="shared" si="15"/>
        <v>-4.3533143435170667E-2</v>
      </c>
      <c r="K37" s="123">
        <v>45839</v>
      </c>
      <c r="L37" s="17">
        <v>0.76200000000000001</v>
      </c>
      <c r="M37" s="17">
        <f t="shared" si="5"/>
        <v>-5.15625</v>
      </c>
      <c r="N37" s="17">
        <f t="shared" si="0"/>
        <v>-0.48341993922918736</v>
      </c>
    </row>
    <row r="38" spans="1:14" x14ac:dyDescent="0.3">
      <c r="A38" s="123">
        <v>45870</v>
      </c>
      <c r="B38" s="124">
        <v>1.1839999999999999</v>
      </c>
      <c r="C38" s="125">
        <f t="shared" si="12"/>
        <v>-15.821605156818181</v>
      </c>
      <c r="D38" s="125">
        <f t="shared" si="13"/>
        <v>-0.64695705650445123</v>
      </c>
      <c r="F38" s="123">
        <v>45870</v>
      </c>
      <c r="G38" s="17">
        <v>230.52</v>
      </c>
      <c r="H38" s="17">
        <f t="shared" si="14"/>
        <v>-1.144621213636384</v>
      </c>
      <c r="I38" s="157">
        <f t="shared" si="15"/>
        <v>-4.6804402198573812E-2</v>
      </c>
      <c r="K38" s="123">
        <v>45870</v>
      </c>
      <c r="L38" s="17">
        <v>0.254</v>
      </c>
      <c r="M38" s="17">
        <f t="shared" si="5"/>
        <v>-5.6642500000000009</v>
      </c>
      <c r="N38" s="17">
        <f t="shared" si="0"/>
        <v>-0.53104705760560966</v>
      </c>
    </row>
    <row r="39" spans="1:14" x14ac:dyDescent="0.3">
      <c r="A39" s="123">
        <v>45901</v>
      </c>
      <c r="B39" s="124">
        <v>0.93659999999999999</v>
      </c>
      <c r="C39" s="125">
        <f t="shared" si="12"/>
        <v>-16.069005156818182</v>
      </c>
      <c r="D39" s="125">
        <f t="shared" si="13"/>
        <v>-0.65707342423027748</v>
      </c>
      <c r="F39" s="123">
        <v>45901</v>
      </c>
      <c r="G39" s="17">
        <v>230.32</v>
      </c>
      <c r="H39" s="17">
        <f t="shared" si="14"/>
        <v>-1.3446212136364011</v>
      </c>
      <c r="I39" s="157">
        <f t="shared" si="15"/>
        <v>-5.4982549107083986E-2</v>
      </c>
      <c r="K39" s="123">
        <v>45901</v>
      </c>
      <c r="L39" s="17">
        <v>0.254</v>
      </c>
      <c r="M39" s="17">
        <f t="shared" si="5"/>
        <v>-5.6642500000000009</v>
      </c>
      <c r="N39" s="17">
        <f t="shared" si="0"/>
        <v>-0.53104705760560966</v>
      </c>
    </row>
    <row r="40" spans="1:14" x14ac:dyDescent="0.3">
      <c r="A40" s="123">
        <v>45931</v>
      </c>
      <c r="B40" s="124">
        <v>2.2909999999999999</v>
      </c>
      <c r="C40" s="125">
        <f t="shared" si="12"/>
        <v>-14.71460515681818</v>
      </c>
      <c r="D40" s="125">
        <f t="shared" si="13"/>
        <v>-0.60169101336585118</v>
      </c>
      <c r="F40" s="123">
        <v>45931</v>
      </c>
      <c r="G40" s="17">
        <v>230.49</v>
      </c>
      <c r="H40" s="17">
        <f t="shared" si="14"/>
        <v>-1.1746212136363852</v>
      </c>
      <c r="I40" s="157">
        <f t="shared" si="15"/>
        <v>-4.803112423485028E-2</v>
      </c>
      <c r="K40" s="123">
        <v>45931</v>
      </c>
      <c r="L40" s="17">
        <v>1.016</v>
      </c>
      <c r="M40" s="17">
        <f t="shared" si="5"/>
        <v>-4.9022500000000004</v>
      </c>
      <c r="N40" s="17">
        <f t="shared" si="0"/>
        <v>-0.45960638004097626</v>
      </c>
    </row>
    <row r="41" spans="1:14" x14ac:dyDescent="0.3">
      <c r="A41" s="123">
        <v>45962</v>
      </c>
      <c r="B41" s="124">
        <v>7.0739999999999998</v>
      </c>
      <c r="C41" s="125">
        <f t="shared" si="12"/>
        <v>-9.9316051568181809</v>
      </c>
      <c r="D41" s="125">
        <f t="shared" si="13"/>
        <v>-0.40611063004884701</v>
      </c>
      <c r="F41" s="123">
        <v>45962</v>
      </c>
      <c r="G41" s="17">
        <v>230.26</v>
      </c>
      <c r="H41" s="17">
        <f t="shared" si="14"/>
        <v>-1.4046212136364034</v>
      </c>
      <c r="I41" s="157">
        <f t="shared" si="15"/>
        <v>-5.7435993179636921E-2</v>
      </c>
      <c r="K41" s="123">
        <v>45962</v>
      </c>
      <c r="L41" s="17">
        <v>17.271999999999998</v>
      </c>
      <c r="M41" s="17">
        <f t="shared" si="5"/>
        <v>11.353749999999998</v>
      </c>
      <c r="N41" s="17">
        <f t="shared" si="0"/>
        <v>1.0644614080045354</v>
      </c>
    </row>
    <row r="42" spans="1:14" x14ac:dyDescent="0.3">
      <c r="A42" s="123">
        <v>45992</v>
      </c>
      <c r="B42" s="124">
        <v>48.000320000000002</v>
      </c>
      <c r="C42" s="125">
        <f t="shared" si="12"/>
        <v>30.994714843181821</v>
      </c>
      <c r="D42" s="125">
        <f t="shared" si="13"/>
        <v>1.2673966568745014</v>
      </c>
      <c r="F42" s="123">
        <v>45992</v>
      </c>
      <c r="G42" s="17">
        <v>230.3</v>
      </c>
      <c r="H42" s="17">
        <f t="shared" si="14"/>
        <v>-1.3646212136363829</v>
      </c>
      <c r="I42" s="157">
        <f t="shared" si="15"/>
        <v>-5.580036379793419E-2</v>
      </c>
      <c r="K42" s="123">
        <v>45992</v>
      </c>
      <c r="L42" s="17">
        <v>19.303999999999998</v>
      </c>
      <c r="M42" s="17">
        <f t="shared" si="5"/>
        <v>13.385749999999998</v>
      </c>
      <c r="N42" s="17">
        <f t="shared" si="0"/>
        <v>1.2549698815102242</v>
      </c>
    </row>
    <row r="43" spans="1:14" x14ac:dyDescent="0.3">
      <c r="A43" s="123">
        <v>46023</v>
      </c>
      <c r="B43" s="124">
        <v>130.6935</v>
      </c>
      <c r="C43" s="125">
        <f t="shared" si="12"/>
        <v>113.68789484318182</v>
      </c>
      <c r="D43" s="125">
        <f t="shared" si="13"/>
        <v>4.6487815287335907</v>
      </c>
      <c r="F43" s="123">
        <v>46023</v>
      </c>
      <c r="G43" s="17">
        <v>234.44</v>
      </c>
      <c r="H43" s="17">
        <f t="shared" si="14"/>
        <v>2.7753787863636035</v>
      </c>
      <c r="I43" s="157">
        <f t="shared" si="15"/>
        <v>0.11348727720821147</v>
      </c>
      <c r="K43" s="123">
        <v>46023</v>
      </c>
      <c r="L43" s="17">
        <v>65.786000000000001</v>
      </c>
      <c r="M43" s="17">
        <f t="shared" si="5"/>
        <v>59.867750000000001</v>
      </c>
      <c r="N43" s="17">
        <f t="shared" si="0"/>
        <v>5.6128512129528598</v>
      </c>
    </row>
    <row r="44" spans="1:14" x14ac:dyDescent="0.3">
      <c r="A44" s="123">
        <v>46054</v>
      </c>
      <c r="B44" s="124">
        <v>70.2089</v>
      </c>
      <c r="C44" s="125">
        <f t="shared" si="12"/>
        <v>53.203294843181823</v>
      </c>
      <c r="D44" s="125">
        <f t="shared" si="13"/>
        <v>2.1755218062214285</v>
      </c>
      <c r="F44" s="123">
        <v>46054</v>
      </c>
      <c r="G44" s="17">
        <v>233.6</v>
      </c>
      <c r="H44" s="17">
        <f t="shared" si="14"/>
        <v>1.9353787863636001</v>
      </c>
      <c r="I44" s="157">
        <f t="shared" si="15"/>
        <v>7.9139060192471522E-2</v>
      </c>
      <c r="K44" s="123">
        <v>46054</v>
      </c>
      <c r="L44" s="17">
        <v>2.54</v>
      </c>
      <c r="M44" s="17">
        <f t="shared" si="5"/>
        <v>-3.3782500000000004</v>
      </c>
      <c r="N44" s="17">
        <f t="shared" si="0"/>
        <v>-0.31672502491170956</v>
      </c>
    </row>
    <row r="45" spans="1:14" x14ac:dyDescent="0.3">
      <c r="A45" s="123">
        <v>46082</v>
      </c>
      <c r="B45" s="124">
        <v>28.206099999999999</v>
      </c>
      <c r="C45" s="125">
        <f t="shared" si="12"/>
        <v>11.200494843181819</v>
      </c>
      <c r="D45" s="125">
        <f t="shared" si="13"/>
        <v>0.45799646137771877</v>
      </c>
      <c r="F45" s="123">
        <v>46082</v>
      </c>
      <c r="G45" s="17">
        <v>232.91</v>
      </c>
      <c r="H45" s="17">
        <f t="shared" si="14"/>
        <v>1.2453787863636023</v>
      </c>
      <c r="I45" s="157">
        <f t="shared" si="15"/>
        <v>5.0924453358113908E-2</v>
      </c>
      <c r="K45" s="123">
        <v>46082</v>
      </c>
      <c r="L45" s="17">
        <v>17.885000000000002</v>
      </c>
      <c r="M45" s="17">
        <f t="shared" si="5"/>
        <v>11.966750000000001</v>
      </c>
      <c r="N45" s="17">
        <f t="shared" si="0"/>
        <v>1.1219327142343523</v>
      </c>
    </row>
    <row r="46" spans="1:14" x14ac:dyDescent="0.3">
      <c r="A46" s="123">
        <v>46113</v>
      </c>
      <c r="B46" s="124">
        <v>35.695332999999998</v>
      </c>
      <c r="C46" s="125">
        <f t="shared" si="12"/>
        <v>18.689727843181817</v>
      </c>
      <c r="D46" s="125">
        <f t="shared" si="13"/>
        <v>0.76423669990800458</v>
      </c>
      <c r="F46" s="123">
        <v>46113</v>
      </c>
      <c r="G46" s="17">
        <v>233.01</v>
      </c>
      <c r="H46" s="17">
        <f t="shared" si="14"/>
        <v>1.3453787863635966</v>
      </c>
      <c r="I46" s="157">
        <f t="shared" si="15"/>
        <v>5.5013526812368416E-2</v>
      </c>
      <c r="K46" s="123">
        <v>46113</v>
      </c>
      <c r="L46" s="17">
        <v>18.795999999999999</v>
      </c>
      <c r="M46" s="17">
        <f t="shared" si="5"/>
        <v>12.877749999999999</v>
      </c>
      <c r="N46" s="17">
        <f t="shared" si="0"/>
        <v>1.2073427631338021</v>
      </c>
    </row>
    <row r="47" spans="1:14" x14ac:dyDescent="0.3">
      <c r="A47" s="123">
        <v>46143</v>
      </c>
      <c r="B47" s="124">
        <v>38.081612900000003</v>
      </c>
      <c r="C47" s="125">
        <f t="shared" si="12"/>
        <v>21.076007743181822</v>
      </c>
      <c r="D47" s="125">
        <f t="shared" si="13"/>
        <v>0.86181343784312137</v>
      </c>
      <c r="F47" s="123">
        <v>46143</v>
      </c>
      <c r="G47" s="17">
        <v>232.6</v>
      </c>
      <c r="H47" s="17">
        <f t="shared" si="14"/>
        <v>0.93537878636360006</v>
      </c>
      <c r="I47" s="157">
        <f t="shared" si="15"/>
        <v>3.8248325649924121E-2</v>
      </c>
      <c r="K47" s="123">
        <v>46143</v>
      </c>
      <c r="L47" s="17">
        <v>11.176</v>
      </c>
      <c r="M47" s="17">
        <f t="shared" si="5"/>
        <v>5.2577499999999997</v>
      </c>
      <c r="N47" s="17">
        <f t="shared" si="0"/>
        <v>0.49293598748746853</v>
      </c>
    </row>
  </sheetData>
  <mergeCells count="14">
    <mergeCell ref="T2:W2"/>
    <mergeCell ref="A1:D1"/>
    <mergeCell ref="F1:I1"/>
    <mergeCell ref="K1:N1"/>
    <mergeCell ref="P1:Q1"/>
    <mergeCell ref="P2:S2"/>
    <mergeCell ref="P3:Q3"/>
    <mergeCell ref="R3:S3"/>
    <mergeCell ref="T3:U3"/>
    <mergeCell ref="V3:W3"/>
    <mergeCell ref="P9:Q9"/>
    <mergeCell ref="R9:S9"/>
    <mergeCell ref="T9:U9"/>
    <mergeCell ref="V9:W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9FA7-FB0D-4305-B4C7-89AC81A16AC4}">
  <dimension ref="A1:N642"/>
  <sheetViews>
    <sheetView topLeftCell="A40" zoomScale="90" zoomScaleNormal="90" workbookViewId="0">
      <selection activeCell="B62" sqref="B62"/>
    </sheetView>
  </sheetViews>
  <sheetFormatPr defaultRowHeight="14.4" x14ac:dyDescent="0.3"/>
  <cols>
    <col min="1" max="1" width="17.33203125" style="136" bestFit="1" customWidth="1"/>
    <col min="2" max="2" width="15" style="99" bestFit="1" customWidth="1"/>
    <col min="3" max="3" width="12.5546875" style="17" customWidth="1"/>
    <col min="4" max="4" width="14" style="17" customWidth="1"/>
    <col min="5" max="5" width="22" customWidth="1"/>
    <col min="6" max="6" width="20.88671875" style="136" customWidth="1"/>
    <col min="7" max="7" width="19.33203125" style="17" customWidth="1"/>
    <col min="8" max="8" width="16.109375" style="125" customWidth="1"/>
    <col min="9" max="9" width="18.5546875" style="125" customWidth="1"/>
    <col min="11" max="11" width="25.6640625" style="17" bestFit="1" customWidth="1"/>
    <col min="12" max="12" width="19.33203125" style="17" customWidth="1"/>
    <col min="13" max="13" width="16.109375" style="17" customWidth="1"/>
    <col min="14" max="14" width="17.33203125" style="17" customWidth="1"/>
  </cols>
  <sheetData>
    <row r="1" spans="1:14" x14ac:dyDescent="0.3">
      <c r="A1" s="196" t="s">
        <v>54</v>
      </c>
      <c r="B1" s="196"/>
      <c r="C1" s="196"/>
      <c r="D1" s="196"/>
      <c r="F1" s="196" t="s">
        <v>55</v>
      </c>
      <c r="G1" s="196"/>
      <c r="H1" s="196"/>
      <c r="I1" s="196"/>
      <c r="K1" s="196" t="s">
        <v>16</v>
      </c>
      <c r="L1" s="196"/>
      <c r="M1" s="196"/>
      <c r="N1" s="196"/>
    </row>
    <row r="2" spans="1:14" x14ac:dyDescent="0.3">
      <c r="A2" s="115" t="s">
        <v>13</v>
      </c>
      <c r="B2" s="158">
        <f>AVERAGE(B4:B642)</f>
        <v>5.3930795401029679</v>
      </c>
      <c r="C2" s="115" t="s">
        <v>47</v>
      </c>
      <c r="D2" s="115">
        <f>_xlfn.STDEV.S(B4:B642)</f>
        <v>3.1307040398454951</v>
      </c>
      <c r="F2" s="115" t="s">
        <v>48</v>
      </c>
      <c r="G2" s="159">
        <f>AVERAGE(G4:G200)</f>
        <v>11.151651162790699</v>
      </c>
      <c r="H2" s="138" t="s">
        <v>47</v>
      </c>
      <c r="I2" s="138">
        <f>_xlfn.STDEV.S(G4:G200)</f>
        <v>13.007717785778674</v>
      </c>
      <c r="K2" s="115" t="s">
        <v>56</v>
      </c>
      <c r="L2" s="158">
        <f>AVERAGE(L4:L200)</f>
        <v>924.36469696969687</v>
      </c>
      <c r="M2" s="115" t="s">
        <v>47</v>
      </c>
      <c r="N2" s="115">
        <f>_xlfn.STDEV.S(L4:L171)</f>
        <v>1.0473849725454871</v>
      </c>
    </row>
    <row r="3" spans="1:14" x14ac:dyDescent="0.3">
      <c r="A3" s="120" t="s">
        <v>31</v>
      </c>
      <c r="B3" s="166" t="s">
        <v>49</v>
      </c>
      <c r="C3" s="122" t="s">
        <v>50</v>
      </c>
      <c r="D3" s="122" t="s">
        <v>51</v>
      </c>
      <c r="F3" s="122" t="s">
        <v>31</v>
      </c>
      <c r="G3" s="122" t="s">
        <v>52</v>
      </c>
      <c r="H3" s="139" t="s">
        <v>50</v>
      </c>
      <c r="I3" s="139" t="s">
        <v>51</v>
      </c>
      <c r="K3" s="122" t="s">
        <v>31</v>
      </c>
      <c r="L3" s="122" t="s">
        <v>57</v>
      </c>
      <c r="M3" s="122" t="s">
        <v>50</v>
      </c>
      <c r="N3" s="122" t="s">
        <v>51</v>
      </c>
    </row>
    <row r="4" spans="1:14" x14ac:dyDescent="0.3">
      <c r="A4" s="123">
        <v>44835</v>
      </c>
      <c r="B4" s="167">
        <v>3.1686774193548386</v>
      </c>
      <c r="C4" s="99">
        <f>B4-$B$2</f>
        <v>-2.2244021207481293</v>
      </c>
      <c r="D4" s="99">
        <f>C4/$D$2</f>
        <v>-0.71051178662608649</v>
      </c>
      <c r="F4" s="140">
        <v>44835</v>
      </c>
      <c r="G4" s="157">
        <v>2.032</v>
      </c>
      <c r="H4" s="125">
        <f>G4-G$2</f>
        <v>-9.1196511627906993</v>
      </c>
      <c r="I4" s="125">
        <f>H4/I$2</f>
        <v>-0.70109540451140517</v>
      </c>
      <c r="K4" s="140">
        <v>44835</v>
      </c>
      <c r="L4" s="99">
        <v>923.48499999999979</v>
      </c>
      <c r="M4" s="99">
        <f>L4-$L$2</f>
        <v>-0.87969696969707911</v>
      </c>
      <c r="N4" s="157">
        <f>M4/$N$2</f>
        <v>-0.83989840675213101</v>
      </c>
    </row>
    <row r="5" spans="1:14" x14ac:dyDescent="0.3">
      <c r="A5" s="123">
        <v>44866</v>
      </c>
      <c r="B5" s="167">
        <v>3.2846666666666664</v>
      </c>
      <c r="C5" s="99">
        <f>B5-$B$2</f>
        <v>-2.1084128734363015</v>
      </c>
      <c r="D5" s="99">
        <f t="shared" ref="D5:D47" si="0">C5/$D$2</f>
        <v>-0.67346285263692784</v>
      </c>
      <c r="F5" s="140">
        <v>44866</v>
      </c>
      <c r="G5" s="157">
        <v>18.033999999999999</v>
      </c>
      <c r="H5" s="125">
        <f t="shared" ref="H5:H46" si="1">G5-G$2</f>
        <v>6.8823488372092996</v>
      </c>
      <c r="I5" s="125">
        <f t="shared" ref="I5:I46" si="2">H5/I$2</f>
        <v>0.52909733671603532</v>
      </c>
      <c r="K5" s="140">
        <v>44866</v>
      </c>
      <c r="L5" s="99">
        <v>923.36833333333323</v>
      </c>
      <c r="M5" s="99">
        <f t="shared" ref="M5:M47" si="3">L5-$L$2</f>
        <v>-0.99636363636363967</v>
      </c>
      <c r="N5" s="157">
        <f t="shared" ref="N5:N47" si="4">M5/$N$2</f>
        <v>-0.95128693124377284</v>
      </c>
    </row>
    <row r="6" spans="1:14" x14ac:dyDescent="0.3">
      <c r="A6" s="123">
        <v>44896</v>
      </c>
      <c r="B6" s="167">
        <v>5.5487096774193549</v>
      </c>
      <c r="C6" s="99">
        <f t="shared" ref="C6:C47" si="5">B6-$B$2</f>
        <v>0.15563013731638708</v>
      </c>
      <c r="D6" s="99">
        <f t="shared" si="0"/>
        <v>4.9710906983103924E-2</v>
      </c>
      <c r="F6" s="140">
        <v>44896</v>
      </c>
      <c r="G6" s="157">
        <v>40.131999999999998</v>
      </c>
      <c r="H6" s="125">
        <f t="shared" si="1"/>
        <v>28.980348837209299</v>
      </c>
      <c r="I6" s="125">
        <f t="shared" si="2"/>
        <v>2.2279349317444055</v>
      </c>
      <c r="K6" s="140">
        <v>44896</v>
      </c>
      <c r="L6" s="99">
        <v>924.70833333333314</v>
      </c>
      <c r="M6" s="99">
        <f t="shared" si="3"/>
        <v>0.34363636363627847</v>
      </c>
      <c r="N6" s="157">
        <f t="shared" si="4"/>
        <v>0.32808983577559836</v>
      </c>
    </row>
    <row r="7" spans="1:14" x14ac:dyDescent="0.3">
      <c r="A7" s="123">
        <v>44927</v>
      </c>
      <c r="B7" s="167">
        <v>8.8729032258064517</v>
      </c>
      <c r="C7" s="99">
        <f t="shared" si="5"/>
        <v>3.4798236857034839</v>
      </c>
      <c r="D7" s="99">
        <f t="shared" si="0"/>
        <v>1.1115147396287317</v>
      </c>
      <c r="F7" s="140">
        <v>44927</v>
      </c>
      <c r="G7" s="157">
        <f>AVERAGE(G6,G8)</f>
        <v>42.164000000000001</v>
      </c>
      <c r="H7" s="125">
        <f t="shared" si="1"/>
        <v>31.012348837209302</v>
      </c>
      <c r="I7" s="125">
        <f t="shared" si="2"/>
        <v>2.3841498830113825</v>
      </c>
      <c r="K7" s="140">
        <v>44927</v>
      </c>
      <c r="L7" s="99">
        <v>926.21</v>
      </c>
      <c r="M7" s="99">
        <f t="shared" si="3"/>
        <v>1.845303030303171</v>
      </c>
      <c r="N7" s="157">
        <f t="shared" si="4"/>
        <v>1.7618192724481074</v>
      </c>
    </row>
    <row r="8" spans="1:14" x14ac:dyDescent="0.3">
      <c r="A8" s="123">
        <v>44958</v>
      </c>
      <c r="B8" s="167">
        <v>12.055714285714286</v>
      </c>
      <c r="C8" s="99">
        <f t="shared" si="5"/>
        <v>6.6626347456113182</v>
      </c>
      <c r="D8" s="99">
        <f t="shared" si="0"/>
        <v>2.128158606119833</v>
      </c>
      <c r="F8" s="140">
        <v>44958</v>
      </c>
      <c r="G8" s="157">
        <v>44.195999999999998</v>
      </c>
      <c r="H8" s="125">
        <f t="shared" si="1"/>
        <v>33.044348837209299</v>
      </c>
      <c r="I8" s="125">
        <f t="shared" si="2"/>
        <v>2.5403648342783587</v>
      </c>
      <c r="K8" s="140">
        <v>44958</v>
      </c>
      <c r="L8" s="99">
        <v>925.69333333333327</v>
      </c>
      <c r="M8" s="99">
        <f t="shared" si="3"/>
        <v>1.3286363636364058</v>
      </c>
      <c r="N8" s="157">
        <f t="shared" si="4"/>
        <v>1.2685272354131509</v>
      </c>
    </row>
    <row r="9" spans="1:14" x14ac:dyDescent="0.3">
      <c r="A9" s="123">
        <v>44986</v>
      </c>
      <c r="B9" s="167">
        <v>13.645483870967745</v>
      </c>
      <c r="C9" s="99">
        <f t="shared" si="5"/>
        <v>8.2524043308647776</v>
      </c>
      <c r="D9" s="99">
        <f t="shared" si="0"/>
        <v>2.6359579908652262</v>
      </c>
      <c r="F9" s="140">
        <v>44986</v>
      </c>
      <c r="G9" s="157">
        <v>6.35</v>
      </c>
      <c r="H9" s="125">
        <f t="shared" si="1"/>
        <v>-4.8016511627906997</v>
      </c>
      <c r="I9" s="125">
        <f t="shared" si="2"/>
        <v>-0.36913863306908001</v>
      </c>
      <c r="K9" s="140">
        <v>44986</v>
      </c>
      <c r="L9" s="99">
        <v>926.64166666666654</v>
      </c>
      <c r="M9" s="99">
        <f t="shared" si="3"/>
        <v>2.2769696969696724</v>
      </c>
      <c r="N9" s="157">
        <f t="shared" si="4"/>
        <v>2.1739568130673992</v>
      </c>
    </row>
    <row r="10" spans="1:14" x14ac:dyDescent="0.3">
      <c r="A10" s="123">
        <v>45017</v>
      </c>
      <c r="B10" s="167">
        <v>11.042066666666665</v>
      </c>
      <c r="C10" s="99">
        <f t="shared" si="5"/>
        <v>5.6489871265636973</v>
      </c>
      <c r="D10" s="99">
        <f t="shared" si="0"/>
        <v>1.8043823544695343</v>
      </c>
      <c r="F10" s="140">
        <v>45017</v>
      </c>
      <c r="G10" s="157">
        <v>2.794</v>
      </c>
      <c r="H10" s="125">
        <f t="shared" si="1"/>
        <v>-8.3576511627906989</v>
      </c>
      <c r="I10" s="125">
        <f t="shared" si="2"/>
        <v>-0.64251479778628895</v>
      </c>
      <c r="K10" s="140">
        <v>45017</v>
      </c>
      <c r="L10" s="99">
        <v>925.42</v>
      </c>
      <c r="M10" s="99">
        <f t="shared" si="3"/>
        <v>1.0553030303030937</v>
      </c>
      <c r="N10" s="157">
        <f t="shared" si="4"/>
        <v>1.0075598351753732</v>
      </c>
    </row>
    <row r="11" spans="1:14" x14ac:dyDescent="0.3">
      <c r="A11" s="123">
        <v>45047</v>
      </c>
      <c r="B11" s="167">
        <v>8.7354838709677427</v>
      </c>
      <c r="C11" s="99">
        <f t="shared" si="5"/>
        <v>3.3424043308647748</v>
      </c>
      <c r="D11" s="99">
        <f t="shared" si="0"/>
        <v>1.0676206656154337</v>
      </c>
      <c r="F11" s="140">
        <v>45047</v>
      </c>
      <c r="G11" s="157">
        <v>5.3339999999999996</v>
      </c>
      <c r="H11" s="125">
        <f t="shared" si="1"/>
        <v>-5.8176511627906997</v>
      </c>
      <c r="I11" s="125">
        <f t="shared" si="2"/>
        <v>-0.44724610870256831</v>
      </c>
      <c r="K11" s="140">
        <v>45047</v>
      </c>
      <c r="L11" s="99">
        <v>924.50999999999988</v>
      </c>
      <c r="M11" s="99">
        <f t="shared" si="3"/>
        <v>0.14530303030301184</v>
      </c>
      <c r="N11" s="157">
        <f t="shared" si="4"/>
        <v>0.13872934413969878</v>
      </c>
    </row>
    <row r="12" spans="1:14" x14ac:dyDescent="0.3">
      <c r="A12" s="123">
        <v>45078</v>
      </c>
      <c r="B12" s="167">
        <v>6.6693333333333333</v>
      </c>
      <c r="C12" s="99">
        <f t="shared" si="5"/>
        <v>1.2762537932303655</v>
      </c>
      <c r="D12" s="99">
        <f t="shared" si="0"/>
        <v>0.40765712024741585</v>
      </c>
      <c r="F12" s="140">
        <v>45078</v>
      </c>
      <c r="G12" s="157">
        <v>4.8259999999999996</v>
      </c>
      <c r="H12" s="125">
        <f t="shared" si="1"/>
        <v>-6.3256511627906997</v>
      </c>
      <c r="I12" s="125">
        <f t="shared" si="2"/>
        <v>-0.48629984651931246</v>
      </c>
      <c r="K12" s="140">
        <v>45078</v>
      </c>
      <c r="L12" s="99">
        <v>924.42333333333318</v>
      </c>
      <c r="M12" s="99">
        <f t="shared" si="3"/>
        <v>5.8636363636310307E-2</v>
      </c>
      <c r="N12" s="157">
        <f t="shared" si="4"/>
        <v>5.5983583088656329E-2</v>
      </c>
    </row>
    <row r="13" spans="1:14" x14ac:dyDescent="0.3">
      <c r="A13" s="123">
        <v>45108</v>
      </c>
      <c r="B13" s="167">
        <v>5.2335483870967741</v>
      </c>
      <c r="C13" s="99">
        <f t="shared" si="5"/>
        <v>-0.1595311530061938</v>
      </c>
      <c r="D13" s="99">
        <f t="shared" si="0"/>
        <v>-5.0956957596690264E-2</v>
      </c>
      <c r="F13" s="140">
        <v>45108</v>
      </c>
      <c r="G13" s="157">
        <v>3.302</v>
      </c>
      <c r="H13" s="125">
        <f t="shared" si="1"/>
        <v>-7.8496511627906997</v>
      </c>
      <c r="I13" s="125">
        <f t="shared" si="2"/>
        <v>-0.60346105996954491</v>
      </c>
      <c r="K13" s="140">
        <v>45108</v>
      </c>
      <c r="L13" s="99">
        <v>923.92833333333328</v>
      </c>
      <c r="M13" s="99">
        <f t="shared" si="3"/>
        <v>-0.43636363636358055</v>
      </c>
      <c r="N13" s="157">
        <f t="shared" si="4"/>
        <v>-0.4166220136833495</v>
      </c>
    </row>
    <row r="14" spans="1:14" x14ac:dyDescent="0.3">
      <c r="A14" s="123">
        <v>45139</v>
      </c>
      <c r="B14" s="167">
        <v>4.1180645161290315</v>
      </c>
      <c r="C14" s="99">
        <f t="shared" si="5"/>
        <v>-1.2750150239739364</v>
      </c>
      <c r="D14" s="99">
        <f t="shared" si="0"/>
        <v>-0.4072614363243548</v>
      </c>
      <c r="F14" s="140">
        <v>45139</v>
      </c>
      <c r="G14" s="157">
        <v>3.556</v>
      </c>
      <c r="H14" s="125">
        <f t="shared" si="1"/>
        <v>-7.5956511627906993</v>
      </c>
      <c r="I14" s="125">
        <f t="shared" si="2"/>
        <v>-0.58393419106117272</v>
      </c>
      <c r="K14" s="140">
        <v>45139</v>
      </c>
      <c r="L14" s="99">
        <v>923.69</v>
      </c>
      <c r="M14" s="99">
        <f t="shared" si="3"/>
        <v>-0.67469696969681081</v>
      </c>
      <c r="N14" s="157">
        <f t="shared" si="4"/>
        <v>-0.6441728565735263</v>
      </c>
    </row>
    <row r="15" spans="1:14" x14ac:dyDescent="0.3">
      <c r="A15" s="123">
        <v>45170</v>
      </c>
      <c r="B15" s="167">
        <v>0.9</v>
      </c>
      <c r="C15" s="99">
        <f t="shared" si="5"/>
        <v>-4.4930795401029675</v>
      </c>
      <c r="D15" s="99">
        <f t="shared" si="0"/>
        <v>-1.4351658550019655</v>
      </c>
      <c r="F15" s="140">
        <v>45170</v>
      </c>
      <c r="G15" s="157">
        <v>2.286</v>
      </c>
      <c r="H15" s="125">
        <f t="shared" si="1"/>
        <v>-8.8656511627906998</v>
      </c>
      <c r="I15" s="125">
        <f t="shared" si="2"/>
        <v>-0.68156853560303321</v>
      </c>
      <c r="K15" s="140">
        <v>45170</v>
      </c>
      <c r="L15" s="99">
        <v>923.61</v>
      </c>
      <c r="M15" s="99">
        <f t="shared" si="3"/>
        <v>-0.75469696969685174</v>
      </c>
      <c r="N15" s="157">
        <f t="shared" si="4"/>
        <v>-0.72055355908218921</v>
      </c>
    </row>
    <row r="16" spans="1:14" x14ac:dyDescent="0.3">
      <c r="A16" s="123">
        <v>45200</v>
      </c>
      <c r="B16" s="167">
        <v>2.71</v>
      </c>
      <c r="C16" s="99">
        <f t="shared" si="5"/>
        <v>-2.6830795401029679</v>
      </c>
      <c r="D16" s="99">
        <f t="shared" si="0"/>
        <v>-0.85702113836202221</v>
      </c>
      <c r="F16" s="140">
        <v>45200</v>
      </c>
      <c r="G16" s="157">
        <v>2.286</v>
      </c>
      <c r="H16" s="125">
        <f t="shared" si="1"/>
        <v>-8.8656511627906998</v>
      </c>
      <c r="I16" s="125">
        <f t="shared" si="2"/>
        <v>-0.68156853560303321</v>
      </c>
      <c r="K16" s="140">
        <v>45200</v>
      </c>
      <c r="L16" s="17">
        <v>923.55</v>
      </c>
      <c r="M16" s="99">
        <f t="shared" si="3"/>
        <v>-0.81469696969691086</v>
      </c>
      <c r="N16" s="157">
        <f t="shared" si="4"/>
        <v>-0.77783908596371354</v>
      </c>
    </row>
    <row r="17" spans="1:14" x14ac:dyDescent="0.3">
      <c r="A17" s="123">
        <v>45231</v>
      </c>
      <c r="B17" s="167">
        <v>2.89</v>
      </c>
      <c r="C17" s="99">
        <f t="shared" si="5"/>
        <v>-2.5030795401029677</v>
      </c>
      <c r="D17" s="99">
        <f t="shared" si="0"/>
        <v>-0.79952608366854716</v>
      </c>
      <c r="F17" s="140">
        <v>45231</v>
      </c>
      <c r="G17" s="157">
        <v>9.1440000000000001</v>
      </c>
      <c r="H17" s="125">
        <f t="shared" si="1"/>
        <v>-2.0076511627906992</v>
      </c>
      <c r="I17" s="125">
        <f t="shared" si="2"/>
        <v>-0.15434307507698716</v>
      </c>
      <c r="K17" s="140">
        <v>45231</v>
      </c>
      <c r="L17" s="17">
        <v>923.77</v>
      </c>
      <c r="M17" s="99">
        <f t="shared" si="3"/>
        <v>-0.59469696969688357</v>
      </c>
      <c r="N17" s="157">
        <f t="shared" si="4"/>
        <v>-0.56779215406497185</v>
      </c>
    </row>
    <row r="18" spans="1:14" x14ac:dyDescent="0.3">
      <c r="A18" s="123">
        <v>45261</v>
      </c>
      <c r="B18" s="167">
        <v>3.62</v>
      </c>
      <c r="C18" s="99">
        <f t="shared" si="5"/>
        <v>-1.7730795401029678</v>
      </c>
      <c r="D18" s="99">
        <f t="shared" si="0"/>
        <v>-0.56635169518945394</v>
      </c>
      <c r="F18" s="140">
        <v>45261</v>
      </c>
      <c r="G18" s="157">
        <f>AVERAGE(G17,G19)</f>
        <v>9.1440000000000001</v>
      </c>
      <c r="H18" s="125">
        <f t="shared" si="1"/>
        <v>-2.0076511627906992</v>
      </c>
      <c r="I18" s="125">
        <f t="shared" si="2"/>
        <v>-0.15434307507698716</v>
      </c>
      <c r="K18" s="140">
        <v>45261</v>
      </c>
      <c r="L18" s="99">
        <v>923.69</v>
      </c>
      <c r="M18" s="99">
        <f t="shared" si="3"/>
        <v>-0.67469696969681081</v>
      </c>
      <c r="N18" s="157">
        <f t="shared" si="4"/>
        <v>-0.6441728565735263</v>
      </c>
    </row>
    <row r="19" spans="1:14" x14ac:dyDescent="0.3">
      <c r="A19" s="123">
        <v>45292</v>
      </c>
      <c r="B19" s="167">
        <v>6.56</v>
      </c>
      <c r="C19" s="99">
        <f t="shared" si="5"/>
        <v>1.1669204598970317</v>
      </c>
      <c r="D19" s="99">
        <f t="shared" si="0"/>
        <v>0.37273419813730491</v>
      </c>
      <c r="F19" s="140">
        <v>45292</v>
      </c>
      <c r="G19" s="157">
        <v>9.1440000000000001</v>
      </c>
      <c r="H19" s="125">
        <f t="shared" si="1"/>
        <v>-2.0076511627906992</v>
      </c>
      <c r="I19" s="125">
        <f t="shared" si="2"/>
        <v>-0.15434307507698716</v>
      </c>
      <c r="K19" s="140">
        <v>45292</v>
      </c>
      <c r="L19" s="17">
        <v>924.59</v>
      </c>
      <c r="M19" s="99">
        <f t="shared" si="3"/>
        <v>0.22530303030316645</v>
      </c>
      <c r="N19" s="157">
        <f t="shared" si="4"/>
        <v>0.21511004664847022</v>
      </c>
    </row>
    <row r="20" spans="1:14" x14ac:dyDescent="0.3">
      <c r="A20" s="123">
        <v>45323</v>
      </c>
      <c r="B20" s="167">
        <v>6.59</v>
      </c>
      <c r="C20" s="99">
        <f t="shared" si="5"/>
        <v>1.196920459897032</v>
      </c>
      <c r="D20" s="99">
        <f t="shared" si="0"/>
        <v>0.38231670725288419</v>
      </c>
      <c r="F20" s="140">
        <v>45323</v>
      </c>
      <c r="G20" s="157">
        <f>AVERAGE(G19,G21)</f>
        <v>7.4930000000000003</v>
      </c>
      <c r="H20" s="125">
        <f t="shared" si="1"/>
        <v>-3.658651162790699</v>
      </c>
      <c r="I20" s="125">
        <f t="shared" si="2"/>
        <v>-0.28126772298140562</v>
      </c>
      <c r="K20" s="140">
        <v>45323</v>
      </c>
      <c r="L20" s="17">
        <v>924.23</v>
      </c>
      <c r="M20" s="99">
        <f t="shared" si="3"/>
        <v>-0.13469696969684719</v>
      </c>
      <c r="N20" s="157">
        <f t="shared" si="4"/>
        <v>-0.12860311464035007</v>
      </c>
    </row>
    <row r="21" spans="1:14" x14ac:dyDescent="0.3">
      <c r="A21" s="123">
        <v>45352</v>
      </c>
      <c r="B21" s="167">
        <v>5.7109505664816069</v>
      </c>
      <c r="C21" s="99">
        <f t="shared" si="5"/>
        <v>0.31787102637863907</v>
      </c>
      <c r="D21" s="99">
        <f t="shared" si="0"/>
        <v>0.10153340026172722</v>
      </c>
      <c r="F21" s="140">
        <v>45352</v>
      </c>
      <c r="G21" s="157">
        <v>5.8419999999999996</v>
      </c>
      <c r="H21" s="125">
        <f t="shared" si="1"/>
        <v>-5.3096511627906997</v>
      </c>
      <c r="I21" s="125">
        <f t="shared" si="2"/>
        <v>-0.40819237088582416</v>
      </c>
      <c r="K21" s="140">
        <v>45352</v>
      </c>
      <c r="L21" s="17">
        <v>924.65</v>
      </c>
      <c r="M21" s="99">
        <f t="shared" si="3"/>
        <v>0.28530303030311188</v>
      </c>
      <c r="N21" s="157">
        <f t="shared" si="4"/>
        <v>0.27239557352988603</v>
      </c>
    </row>
    <row r="22" spans="1:14" x14ac:dyDescent="0.3">
      <c r="A22" s="123">
        <v>45383</v>
      </c>
      <c r="B22" s="167">
        <v>5.0882608695652163</v>
      </c>
      <c r="C22" s="99">
        <f t="shared" si="5"/>
        <v>-0.30481867053775158</v>
      </c>
      <c r="D22" s="99">
        <f t="shared" si="0"/>
        <v>-9.7364256300890975E-2</v>
      </c>
      <c r="F22" s="140">
        <v>45383</v>
      </c>
      <c r="G22" s="157">
        <v>5.3339999999999996</v>
      </c>
      <c r="H22" s="125">
        <f t="shared" si="1"/>
        <v>-5.8176511627906997</v>
      </c>
      <c r="I22" s="125">
        <f t="shared" si="2"/>
        <v>-0.44724610870256831</v>
      </c>
      <c r="K22" s="140">
        <v>45383</v>
      </c>
      <c r="L22" s="17">
        <v>924.31</v>
      </c>
      <c r="M22" s="99">
        <f t="shared" si="3"/>
        <v>-5.469696969691995E-2</v>
      </c>
      <c r="N22" s="157">
        <f t="shared" si="4"/>
        <v>-5.2222412131795695E-2</v>
      </c>
    </row>
    <row r="23" spans="1:14" x14ac:dyDescent="0.3">
      <c r="A23" s="123">
        <v>45413</v>
      </c>
      <c r="B23" s="167">
        <v>4.2924017123608849</v>
      </c>
      <c r="C23" s="99">
        <f t="shared" si="5"/>
        <v>-1.100677827742083</v>
      </c>
      <c r="D23" s="99">
        <f t="shared" si="0"/>
        <v>-0.35157517725514648</v>
      </c>
      <c r="F23" s="140">
        <v>45413</v>
      </c>
      <c r="G23" s="157">
        <v>2.794</v>
      </c>
      <c r="H23" s="125">
        <f t="shared" si="1"/>
        <v>-8.3576511627906989</v>
      </c>
      <c r="I23" s="125">
        <f t="shared" si="2"/>
        <v>-0.64251479778628895</v>
      </c>
      <c r="K23" s="140">
        <v>45413</v>
      </c>
      <c r="L23" s="17">
        <v>923.7</v>
      </c>
      <c r="M23" s="99">
        <f t="shared" si="3"/>
        <v>-0.66469696969681991</v>
      </c>
      <c r="N23" s="99">
        <f t="shared" si="4"/>
        <v>-0.63462526875995695</v>
      </c>
    </row>
    <row r="24" spans="1:14" x14ac:dyDescent="0.3">
      <c r="A24" s="123">
        <v>45444</v>
      </c>
      <c r="B24" s="167">
        <v>3.45</v>
      </c>
      <c r="C24" s="99">
        <f t="shared" si="5"/>
        <v>-1.9430795401029677</v>
      </c>
      <c r="D24" s="99">
        <f t="shared" si="0"/>
        <v>-0.62065258017773584</v>
      </c>
      <c r="F24" s="140">
        <v>45444</v>
      </c>
      <c r="G24" s="17">
        <v>2.286</v>
      </c>
      <c r="H24" s="125">
        <f t="shared" si="1"/>
        <v>-8.8656511627906998</v>
      </c>
      <c r="I24" s="125">
        <f t="shared" si="2"/>
        <v>-0.68156853560303321</v>
      </c>
      <c r="K24" s="140">
        <v>45444</v>
      </c>
      <c r="L24" s="17">
        <v>923.51</v>
      </c>
      <c r="M24" s="99">
        <f t="shared" si="3"/>
        <v>-0.85469696969687448</v>
      </c>
      <c r="N24" s="99">
        <f t="shared" si="4"/>
        <v>-0.81602943721799071</v>
      </c>
    </row>
    <row r="25" spans="1:14" x14ac:dyDescent="0.3">
      <c r="A25" s="123">
        <v>45474</v>
      </c>
      <c r="B25" s="167">
        <v>2.72</v>
      </c>
      <c r="C25" s="99">
        <f t="shared" si="5"/>
        <v>-2.6730795401029677</v>
      </c>
      <c r="D25" s="99">
        <f t="shared" si="0"/>
        <v>-0.85382696865682906</v>
      </c>
      <c r="F25" s="140">
        <v>45474</v>
      </c>
      <c r="G25" s="17">
        <v>2.286</v>
      </c>
      <c r="H25" s="125">
        <f t="shared" si="1"/>
        <v>-8.8656511627906998</v>
      </c>
      <c r="I25" s="125">
        <f t="shared" si="2"/>
        <v>-0.68156853560303321</v>
      </c>
      <c r="K25" s="140">
        <v>45474</v>
      </c>
      <c r="L25" s="99">
        <v>923.40333333333331</v>
      </c>
      <c r="M25" s="99">
        <f t="shared" si="3"/>
        <v>-0.96136363636355782</v>
      </c>
      <c r="N25" s="99">
        <f t="shared" si="4"/>
        <v>-0.91787037389617177</v>
      </c>
    </row>
    <row r="26" spans="1:14" x14ac:dyDescent="0.3">
      <c r="A26" s="123">
        <v>45505</v>
      </c>
      <c r="B26" s="167">
        <v>2.1539999999999999</v>
      </c>
      <c r="C26" s="99">
        <f t="shared" si="5"/>
        <v>-3.2390795401029679</v>
      </c>
      <c r="D26" s="99">
        <f t="shared" si="0"/>
        <v>-1.0346169739707562</v>
      </c>
      <c r="F26" s="140">
        <v>45505</v>
      </c>
      <c r="G26" s="17">
        <v>1.524</v>
      </c>
      <c r="H26" s="125">
        <f t="shared" si="1"/>
        <v>-9.6276511627906984</v>
      </c>
      <c r="I26" s="125">
        <f t="shared" si="2"/>
        <v>-0.74014914232814932</v>
      </c>
      <c r="K26" s="140">
        <v>45505</v>
      </c>
      <c r="L26" s="17">
        <v>923.27</v>
      </c>
      <c r="M26" s="99">
        <f t="shared" si="3"/>
        <v>-1.0946969696968836</v>
      </c>
      <c r="N26" s="99">
        <f t="shared" si="4"/>
        <v>-1.045171544743871</v>
      </c>
    </row>
    <row r="27" spans="1:14" x14ac:dyDescent="0.3">
      <c r="A27" s="123">
        <v>45536</v>
      </c>
      <c r="B27" s="167">
        <v>1.7470000000000001</v>
      </c>
      <c r="C27" s="99">
        <f t="shared" si="5"/>
        <v>-3.646079540102968</v>
      </c>
      <c r="D27" s="99">
        <f t="shared" si="0"/>
        <v>-1.1646196809721137</v>
      </c>
      <c r="F27" s="140">
        <v>45536</v>
      </c>
      <c r="G27" s="125">
        <v>1.27</v>
      </c>
      <c r="H27" s="125">
        <f t="shared" si="1"/>
        <v>-9.8816511627906998</v>
      </c>
      <c r="I27" s="125">
        <f t="shared" si="2"/>
        <v>-0.75967601123652151</v>
      </c>
      <c r="K27" s="140">
        <v>45536</v>
      </c>
      <c r="L27" s="17">
        <v>923.06</v>
      </c>
      <c r="M27" s="99">
        <f t="shared" si="3"/>
        <v>-1.30469696969692</v>
      </c>
      <c r="N27" s="99">
        <f t="shared" si="4"/>
        <v>-1.2456708888290431</v>
      </c>
    </row>
    <row r="28" spans="1:14" x14ac:dyDescent="0.3">
      <c r="A28" s="123">
        <v>45566</v>
      </c>
      <c r="B28" s="167">
        <v>1.4658059999999999</v>
      </c>
      <c r="C28" s="99">
        <f t="shared" si="5"/>
        <v>-3.9272735401029681</v>
      </c>
      <c r="D28" s="99">
        <f t="shared" si="0"/>
        <v>-1.2544378165803194</v>
      </c>
      <c r="E28" s="128" t="s">
        <v>29</v>
      </c>
      <c r="F28" s="140">
        <v>45566</v>
      </c>
      <c r="G28" s="125">
        <v>3.81</v>
      </c>
      <c r="H28" s="125">
        <f t="shared" si="1"/>
        <v>-7.3416511627906988</v>
      </c>
      <c r="I28" s="125">
        <f t="shared" si="2"/>
        <v>-0.56440732215280065</v>
      </c>
      <c r="K28" s="140">
        <v>45566</v>
      </c>
      <c r="L28" s="17">
        <v>923.11</v>
      </c>
      <c r="M28" s="99">
        <f t="shared" si="3"/>
        <v>-1.2546969696968517</v>
      </c>
      <c r="N28" s="99">
        <f t="shared" si="4"/>
        <v>-1.1979329497610882</v>
      </c>
    </row>
    <row r="29" spans="1:14" x14ac:dyDescent="0.3">
      <c r="A29" s="123">
        <v>45597</v>
      </c>
      <c r="B29" s="167">
        <v>1.6819999999999999</v>
      </c>
      <c r="C29" s="99">
        <f t="shared" si="5"/>
        <v>-3.7110795401029679</v>
      </c>
      <c r="D29" s="99">
        <f t="shared" si="0"/>
        <v>-1.1853817840558685</v>
      </c>
      <c r="F29" s="140">
        <v>45597</v>
      </c>
      <c r="G29" s="125">
        <v>3.81</v>
      </c>
      <c r="H29" s="125">
        <f t="shared" si="1"/>
        <v>-7.3416511627906988</v>
      </c>
      <c r="I29" s="125">
        <f t="shared" si="2"/>
        <v>-0.56440732215280065</v>
      </c>
      <c r="K29" s="140">
        <v>45597</v>
      </c>
      <c r="L29" s="17">
        <v>923.02</v>
      </c>
      <c r="M29" s="99">
        <f t="shared" si="3"/>
        <v>-1.3446969696968836</v>
      </c>
      <c r="N29" s="99">
        <f t="shared" si="4"/>
        <v>-1.2838612400833205</v>
      </c>
    </row>
    <row r="30" spans="1:14" x14ac:dyDescent="0.3">
      <c r="A30" s="123">
        <v>45627</v>
      </c>
      <c r="B30" s="167">
        <v>2.0099999999999998</v>
      </c>
      <c r="C30" s="99">
        <f t="shared" si="5"/>
        <v>-3.3830795401029681</v>
      </c>
      <c r="D30" s="99">
        <f t="shared" si="0"/>
        <v>-1.0806130177255364</v>
      </c>
      <c r="F30" s="140">
        <v>45627</v>
      </c>
      <c r="G30" s="17">
        <v>9.1440000000000001</v>
      </c>
      <c r="H30" s="125">
        <f t="shared" si="1"/>
        <v>-2.0076511627906992</v>
      </c>
      <c r="I30" s="125">
        <f t="shared" si="2"/>
        <v>-0.15434307507698716</v>
      </c>
      <c r="K30" s="140">
        <v>45627</v>
      </c>
      <c r="L30" s="17">
        <v>922.9</v>
      </c>
      <c r="M30" s="99">
        <f t="shared" si="3"/>
        <v>-1.4646969696968881</v>
      </c>
      <c r="N30" s="99">
        <f t="shared" si="4"/>
        <v>-1.3984322938462606</v>
      </c>
    </row>
    <row r="31" spans="1:14" x14ac:dyDescent="0.3">
      <c r="A31" s="123">
        <v>45658</v>
      </c>
      <c r="B31" s="167">
        <v>5.7703199999999999</v>
      </c>
      <c r="C31" s="99">
        <f t="shared" si="5"/>
        <v>0.37724045989703203</v>
      </c>
      <c r="D31" s="99">
        <f t="shared" si="0"/>
        <v>0.12049700485761963</v>
      </c>
      <c r="F31" s="140">
        <v>45658</v>
      </c>
      <c r="G31" s="17">
        <v>41.91</v>
      </c>
      <c r="H31" s="125">
        <f t="shared" si="1"/>
        <v>30.758348837209297</v>
      </c>
      <c r="I31" s="125">
        <f t="shared" si="2"/>
        <v>2.3646230141030098</v>
      </c>
      <c r="K31" s="140">
        <v>45658</v>
      </c>
      <c r="L31" s="17">
        <v>924.52</v>
      </c>
      <c r="M31" s="99">
        <f t="shared" si="3"/>
        <v>0.15530303030311643</v>
      </c>
      <c r="N31" s="99">
        <f t="shared" si="4"/>
        <v>0.14827693195337663</v>
      </c>
    </row>
    <row r="32" spans="1:14" x14ac:dyDescent="0.3">
      <c r="A32" s="123">
        <v>45689</v>
      </c>
      <c r="B32" s="167">
        <v>7.61</v>
      </c>
      <c r="C32" s="99">
        <f t="shared" si="5"/>
        <v>2.2169204598970325</v>
      </c>
      <c r="D32" s="99">
        <f t="shared" si="0"/>
        <v>0.70812201718257628</v>
      </c>
      <c r="F32" s="140">
        <v>45689</v>
      </c>
      <c r="G32" s="17">
        <v>6.0960000000000001</v>
      </c>
      <c r="H32" s="125">
        <f t="shared" si="1"/>
        <v>-5.0556511627906993</v>
      </c>
      <c r="I32" s="125">
        <f t="shared" si="2"/>
        <v>-0.38866550197745203</v>
      </c>
      <c r="K32" s="140">
        <v>45689</v>
      </c>
      <c r="L32" s="17">
        <v>925.66</v>
      </c>
      <c r="M32" s="99">
        <f t="shared" si="3"/>
        <v>1.2953030303031028</v>
      </c>
      <c r="N32" s="99">
        <f t="shared" si="4"/>
        <v>1.2367019427012533</v>
      </c>
    </row>
    <row r="33" spans="1:14" x14ac:dyDescent="0.3">
      <c r="A33" s="123">
        <v>45717</v>
      </c>
      <c r="B33" s="167">
        <v>7.23</v>
      </c>
      <c r="C33" s="99">
        <f t="shared" si="5"/>
        <v>1.8369204598970326</v>
      </c>
      <c r="D33" s="99">
        <f t="shared" si="0"/>
        <v>0.58674356838524011</v>
      </c>
      <c r="F33" s="140">
        <v>45717</v>
      </c>
      <c r="G33" s="17">
        <v>7.62</v>
      </c>
      <c r="H33" s="125">
        <f t="shared" si="1"/>
        <v>-3.5316511627906992</v>
      </c>
      <c r="I33" s="125">
        <f t="shared" si="2"/>
        <v>-0.27150428852721964</v>
      </c>
      <c r="K33" s="140">
        <v>45717</v>
      </c>
      <c r="L33" s="17">
        <v>925.35</v>
      </c>
      <c r="M33" s="99">
        <f t="shared" si="3"/>
        <v>0.98530303030315736</v>
      </c>
      <c r="N33" s="99">
        <f t="shared" si="4"/>
        <v>0.94072672048038808</v>
      </c>
    </row>
    <row r="34" spans="1:14" x14ac:dyDescent="0.3">
      <c r="A34" s="123">
        <v>45748</v>
      </c>
      <c r="B34" s="167">
        <v>6.97</v>
      </c>
      <c r="C34" s="99">
        <f t="shared" si="5"/>
        <v>1.5769204598970319</v>
      </c>
      <c r="D34" s="99">
        <f t="shared" si="0"/>
        <v>0.50369515605022031</v>
      </c>
      <c r="F34" s="140">
        <v>45748</v>
      </c>
      <c r="G34" s="17">
        <v>20.32</v>
      </c>
      <c r="H34" s="125">
        <f t="shared" si="1"/>
        <v>9.1683488372093009</v>
      </c>
      <c r="I34" s="125">
        <f t="shared" si="2"/>
        <v>0.70483915689138399</v>
      </c>
      <c r="K34" s="140">
        <v>45748</v>
      </c>
      <c r="L34" s="17">
        <f>AVERAGE(L32:L33)</f>
        <v>925.505</v>
      </c>
      <c r="M34" s="99">
        <f t="shared" si="3"/>
        <v>1.1403030303031301</v>
      </c>
      <c r="N34" s="99">
        <f t="shared" si="4"/>
        <v>1.0887143315908208</v>
      </c>
    </row>
    <row r="35" spans="1:14" x14ac:dyDescent="0.3">
      <c r="A35" s="123">
        <v>45778</v>
      </c>
      <c r="B35" s="167">
        <v>7.25</v>
      </c>
      <c r="C35" s="99">
        <f t="shared" si="5"/>
        <v>1.8569204598970321</v>
      </c>
      <c r="D35" s="99">
        <f t="shared" si="0"/>
        <v>0.59313190779562608</v>
      </c>
      <c r="F35" s="140">
        <v>45778</v>
      </c>
      <c r="G35" s="17">
        <v>0</v>
      </c>
      <c r="H35" s="125">
        <f t="shared" si="1"/>
        <v>-11.151651162790699</v>
      </c>
      <c r="I35" s="125">
        <f t="shared" si="2"/>
        <v>-0.85731035577838177</v>
      </c>
      <c r="K35" s="140">
        <v>45778</v>
      </c>
      <c r="L35" s="17">
        <v>924.46</v>
      </c>
      <c r="M35" s="99">
        <f t="shared" si="3"/>
        <v>9.5303030303170999E-2</v>
      </c>
      <c r="N35" s="99">
        <f t="shared" si="4"/>
        <v>9.0991405071960837E-2</v>
      </c>
    </row>
    <row r="36" spans="1:14" x14ac:dyDescent="0.3">
      <c r="A36" s="123">
        <v>45809</v>
      </c>
      <c r="B36" s="167">
        <v>6.0023</v>
      </c>
      <c r="C36" s="99">
        <f t="shared" si="5"/>
        <v>0.60922045989703211</v>
      </c>
      <c r="D36" s="99">
        <f t="shared" si="0"/>
        <v>0.19459535367868822</v>
      </c>
      <c r="F36" s="140">
        <v>45809</v>
      </c>
      <c r="G36" s="17">
        <v>5.3339999999999996</v>
      </c>
      <c r="H36" s="125">
        <f t="shared" si="1"/>
        <v>-5.8176511627906997</v>
      </c>
      <c r="I36" s="125">
        <f t="shared" si="2"/>
        <v>-0.44724610870256831</v>
      </c>
      <c r="K36" s="140">
        <v>45809</v>
      </c>
      <c r="L36" s="17">
        <v>924.17</v>
      </c>
      <c r="M36" s="99">
        <f t="shared" si="3"/>
        <v>-0.19469696969690631</v>
      </c>
      <c r="N36" s="99">
        <f t="shared" si="4"/>
        <v>-0.1858886415218744</v>
      </c>
    </row>
    <row r="37" spans="1:14" x14ac:dyDescent="0.3">
      <c r="A37" s="123">
        <v>45839</v>
      </c>
      <c r="B37" s="167">
        <v>4.7805999999999997</v>
      </c>
      <c r="C37" s="99">
        <f t="shared" si="5"/>
        <v>-0.61247954010296812</v>
      </c>
      <c r="D37" s="99">
        <f t="shared" si="0"/>
        <v>-0.19563635920474773</v>
      </c>
      <c r="F37" s="140">
        <v>45839</v>
      </c>
      <c r="G37" s="17">
        <v>3.302</v>
      </c>
      <c r="H37" s="125">
        <f t="shared" si="1"/>
        <v>-7.8496511627906997</v>
      </c>
      <c r="I37" s="125">
        <f t="shared" si="2"/>
        <v>-0.60346105996954491</v>
      </c>
      <c r="K37" s="140">
        <v>45839</v>
      </c>
      <c r="L37" s="17">
        <v>923.89</v>
      </c>
      <c r="M37" s="99">
        <f t="shared" si="3"/>
        <v>-0.47469696969687902</v>
      </c>
      <c r="N37" s="99">
        <f t="shared" si="4"/>
        <v>-0.45322110030203178</v>
      </c>
    </row>
    <row r="38" spans="1:14" x14ac:dyDescent="0.3">
      <c r="A38" s="123">
        <v>45870</v>
      </c>
      <c r="B38" s="167">
        <v>2.4119999999999999</v>
      </c>
      <c r="C38" s="99">
        <f t="shared" si="5"/>
        <v>-2.9810795401029679</v>
      </c>
      <c r="D38" s="99">
        <f t="shared" si="0"/>
        <v>-0.95220739557677536</v>
      </c>
      <c r="F38" s="140">
        <v>45870</v>
      </c>
      <c r="G38" s="17">
        <v>2.286</v>
      </c>
      <c r="H38" s="125">
        <f t="shared" si="1"/>
        <v>-8.8656511627906998</v>
      </c>
      <c r="I38" s="125">
        <f t="shared" si="2"/>
        <v>-0.68156853560303321</v>
      </c>
      <c r="K38" s="140">
        <v>45870</v>
      </c>
      <c r="L38" s="17">
        <v>923.82</v>
      </c>
      <c r="M38" s="99">
        <f t="shared" si="3"/>
        <v>-0.54469696969681536</v>
      </c>
      <c r="N38" s="99">
        <f t="shared" si="4"/>
        <v>-0.52005421499701687</v>
      </c>
    </row>
    <row r="39" spans="1:14" x14ac:dyDescent="0.3">
      <c r="A39" s="123">
        <v>45901</v>
      </c>
      <c r="B39" s="167">
        <v>0.90900000000000003</v>
      </c>
      <c r="C39" s="99">
        <f t="shared" si="5"/>
        <v>-4.4840795401029681</v>
      </c>
      <c r="D39" s="99">
        <f t="shared" si="0"/>
        <v>-1.4322911022672919</v>
      </c>
      <c r="F39" s="140">
        <v>45901</v>
      </c>
      <c r="G39" s="17">
        <v>1.27</v>
      </c>
      <c r="H39" s="125">
        <f t="shared" si="1"/>
        <v>-9.8816511627906998</v>
      </c>
      <c r="I39" s="125">
        <f t="shared" si="2"/>
        <v>-0.75967601123652151</v>
      </c>
      <c r="K39" s="140">
        <v>45901</v>
      </c>
      <c r="L39" s="168">
        <v>923.45</v>
      </c>
      <c r="M39" s="99">
        <f t="shared" si="3"/>
        <v>-0.91469696969681991</v>
      </c>
      <c r="N39" s="99">
        <f t="shared" si="4"/>
        <v>-0.87331496409940645</v>
      </c>
    </row>
    <row r="40" spans="1:14" x14ac:dyDescent="0.3">
      <c r="A40" s="123">
        <v>45931</v>
      </c>
      <c r="B40" s="167">
        <v>1.766</v>
      </c>
      <c r="C40" s="99">
        <f t="shared" si="5"/>
        <v>-3.6270795401029678</v>
      </c>
      <c r="D40" s="99">
        <f t="shared" si="0"/>
        <v>-1.1585507585322468</v>
      </c>
      <c r="F40" s="140">
        <v>45931</v>
      </c>
      <c r="G40" s="17">
        <v>1.524</v>
      </c>
      <c r="H40" s="125">
        <f t="shared" si="1"/>
        <v>-9.6276511627906984</v>
      </c>
      <c r="I40" s="125">
        <f t="shared" si="2"/>
        <v>-0.74014914232814932</v>
      </c>
      <c r="K40" s="140">
        <v>45931</v>
      </c>
      <c r="L40" s="168">
        <v>923.49</v>
      </c>
      <c r="M40" s="99">
        <f t="shared" si="3"/>
        <v>-0.87469696969685629</v>
      </c>
      <c r="N40" s="99">
        <f t="shared" si="4"/>
        <v>-0.83512461284512929</v>
      </c>
    </row>
    <row r="41" spans="1:14" x14ac:dyDescent="0.3">
      <c r="A41" s="123">
        <v>45962</v>
      </c>
      <c r="B41" s="167">
        <v>2.2309999999999999</v>
      </c>
      <c r="C41" s="99">
        <f t="shared" si="5"/>
        <v>-3.162079540102968</v>
      </c>
      <c r="D41" s="99">
        <f t="shared" si="0"/>
        <v>-1.0100218672407697</v>
      </c>
      <c r="F41" s="140">
        <v>45962</v>
      </c>
      <c r="G41" s="17">
        <v>19.812000000000001</v>
      </c>
      <c r="H41" s="125">
        <f t="shared" si="1"/>
        <v>8.6603488372093018</v>
      </c>
      <c r="I41" s="125">
        <f t="shared" si="2"/>
        <v>0.66578541907463995</v>
      </c>
      <c r="K41" s="140">
        <v>45962</v>
      </c>
      <c r="L41" s="168">
        <v>923.53</v>
      </c>
      <c r="M41" s="99">
        <f t="shared" si="3"/>
        <v>-0.83469696969689267</v>
      </c>
      <c r="N41" s="99">
        <f t="shared" si="4"/>
        <v>-0.79693426159085212</v>
      </c>
    </row>
    <row r="42" spans="1:14" x14ac:dyDescent="0.3">
      <c r="A42" s="123">
        <v>45992</v>
      </c>
      <c r="B42" s="167">
        <v>4.7739000000000003</v>
      </c>
      <c r="C42" s="99">
        <f t="shared" si="5"/>
        <v>-0.61917954010296761</v>
      </c>
      <c r="D42" s="99">
        <f t="shared" si="0"/>
        <v>-0.19777645290722692</v>
      </c>
      <c r="F42" s="140">
        <v>45992</v>
      </c>
      <c r="G42" s="17">
        <v>20.32</v>
      </c>
      <c r="H42" s="125">
        <f t="shared" si="1"/>
        <v>9.1683488372093009</v>
      </c>
      <c r="I42" s="125">
        <f t="shared" si="2"/>
        <v>0.70483915689138399</v>
      </c>
      <c r="K42" s="140">
        <v>45992</v>
      </c>
      <c r="L42" s="168">
        <v>925.68</v>
      </c>
      <c r="M42" s="99">
        <f t="shared" si="3"/>
        <v>1.3153030303030846</v>
      </c>
      <c r="N42" s="99">
        <f t="shared" si="4"/>
        <v>1.2557971183283918</v>
      </c>
    </row>
    <row r="43" spans="1:14" x14ac:dyDescent="0.3">
      <c r="A43" s="123">
        <v>46023</v>
      </c>
      <c r="B43" s="167">
        <v>8.2506000000000004</v>
      </c>
      <c r="C43" s="99">
        <f t="shared" si="5"/>
        <v>2.8575204598970325</v>
      </c>
      <c r="D43" s="99">
        <f t="shared" si="0"/>
        <v>0.91274052849724352</v>
      </c>
      <c r="F43" s="140">
        <v>46023</v>
      </c>
      <c r="G43" s="17">
        <v>30.734000000000002</v>
      </c>
      <c r="H43" s="125">
        <f t="shared" si="1"/>
        <v>19.582348837209302</v>
      </c>
      <c r="I43" s="125">
        <f t="shared" si="2"/>
        <v>1.5054407821346392</v>
      </c>
      <c r="K43" s="140">
        <v>46023</v>
      </c>
      <c r="L43" s="168">
        <v>927.22</v>
      </c>
      <c r="M43" s="99">
        <f t="shared" si="3"/>
        <v>2.8553030303031619</v>
      </c>
      <c r="N43" s="99">
        <f t="shared" si="4"/>
        <v>2.7261256416194746</v>
      </c>
    </row>
    <row r="44" spans="1:14" x14ac:dyDescent="0.3">
      <c r="A44" s="123">
        <v>46054</v>
      </c>
      <c r="B44" s="167">
        <v>8.8195999999999994</v>
      </c>
      <c r="C44" s="99">
        <f t="shared" si="5"/>
        <v>3.4265204598970316</v>
      </c>
      <c r="D44" s="99">
        <f t="shared" si="0"/>
        <v>1.0944887847227283</v>
      </c>
      <c r="F44" s="140">
        <v>46054</v>
      </c>
      <c r="G44" s="17">
        <v>5.6639999999999997</v>
      </c>
      <c r="H44" s="125">
        <f t="shared" si="1"/>
        <v>-5.4876511627906996</v>
      </c>
      <c r="I44" s="125">
        <f t="shared" si="2"/>
        <v>-0.42187655460901402</v>
      </c>
      <c r="K44" s="140">
        <v>46054</v>
      </c>
      <c r="L44" s="168">
        <v>925.91</v>
      </c>
      <c r="M44" s="99">
        <f t="shared" si="3"/>
        <v>1.5453030303031028</v>
      </c>
      <c r="N44" s="99">
        <f t="shared" si="4"/>
        <v>1.4753916380407028</v>
      </c>
    </row>
    <row r="45" spans="1:14" x14ac:dyDescent="0.3">
      <c r="A45" s="123">
        <v>46082</v>
      </c>
      <c r="B45" s="167">
        <v>8.1364999999999998</v>
      </c>
      <c r="C45" s="99">
        <f t="shared" si="5"/>
        <v>2.743420459897032</v>
      </c>
      <c r="D45" s="99">
        <f t="shared" si="0"/>
        <v>0.87629505216099057</v>
      </c>
      <c r="F45" s="140">
        <v>46082</v>
      </c>
      <c r="G45" s="17">
        <v>25.841999999999999</v>
      </c>
      <c r="H45" s="125">
        <f t="shared" si="1"/>
        <v>14.690348837209299</v>
      </c>
      <c r="I45" s="125">
        <f t="shared" si="2"/>
        <v>1.1293563620568587</v>
      </c>
      <c r="K45" s="140">
        <v>46082</v>
      </c>
      <c r="L45" s="168">
        <v>925.27</v>
      </c>
      <c r="M45" s="99">
        <f t="shared" si="3"/>
        <v>0.90530303030311643</v>
      </c>
      <c r="N45" s="99">
        <f t="shared" si="4"/>
        <v>0.86434601797172517</v>
      </c>
    </row>
    <row r="46" spans="1:14" x14ac:dyDescent="0.3">
      <c r="A46" s="123">
        <v>46113</v>
      </c>
      <c r="B46" s="167">
        <v>8.6959999999999997</v>
      </c>
      <c r="C46" s="99">
        <f t="shared" si="5"/>
        <v>3.3029204598970319</v>
      </c>
      <c r="D46" s="99">
        <f t="shared" si="0"/>
        <v>1.0550088471665422</v>
      </c>
      <c r="F46" s="140">
        <v>46113</v>
      </c>
      <c r="G46" s="17">
        <v>37.17</v>
      </c>
      <c r="H46" s="125">
        <f t="shared" si="1"/>
        <v>26.018348837209302</v>
      </c>
      <c r="I46" s="125">
        <f t="shared" si="2"/>
        <v>2.0002239643955946</v>
      </c>
      <c r="K46" s="140">
        <v>46113</v>
      </c>
      <c r="L46" s="168">
        <v>924.67</v>
      </c>
      <c r="M46" s="99">
        <f t="shared" si="3"/>
        <v>0.30530303030309369</v>
      </c>
      <c r="N46" s="99">
        <f t="shared" si="4"/>
        <v>0.29149074915702461</v>
      </c>
    </row>
    <row r="47" spans="1:14" x14ac:dyDescent="0.3">
      <c r="A47" s="123">
        <v>46143</v>
      </c>
      <c r="B47" s="167">
        <v>9.722608696</v>
      </c>
      <c r="C47" s="99">
        <f t="shared" si="5"/>
        <v>4.3295291558970321</v>
      </c>
      <c r="D47" s="99">
        <f t="shared" si="0"/>
        <v>1.3829250867516372</v>
      </c>
      <c r="F47" s="140">
        <v>46143</v>
      </c>
      <c r="G47" s="169"/>
      <c r="H47" s="170"/>
      <c r="I47" s="170"/>
      <c r="K47" s="140">
        <v>46143</v>
      </c>
      <c r="L47" s="168">
        <v>925</v>
      </c>
      <c r="M47" s="99">
        <f t="shared" si="3"/>
        <v>0.63530303030313462</v>
      </c>
      <c r="N47" s="99">
        <f t="shared" si="4"/>
        <v>0.60656114700513697</v>
      </c>
    </row>
    <row r="48" spans="1:14" x14ac:dyDescent="0.3">
      <c r="A48" s="171"/>
      <c r="B48" s="167"/>
    </row>
    <row r="49" spans="1:2" x14ac:dyDescent="0.3">
      <c r="A49" s="171"/>
      <c r="B49" s="167"/>
    </row>
    <row r="50" spans="1:2" x14ac:dyDescent="0.3">
      <c r="A50" s="171"/>
      <c r="B50" s="167"/>
    </row>
    <row r="51" spans="1:2" x14ac:dyDescent="0.3">
      <c r="A51" s="171"/>
      <c r="B51" s="167"/>
    </row>
    <row r="52" spans="1:2" x14ac:dyDescent="0.3">
      <c r="A52" s="171"/>
      <c r="B52" s="167"/>
    </row>
    <row r="53" spans="1:2" x14ac:dyDescent="0.3">
      <c r="A53" s="171"/>
      <c r="B53" s="167"/>
    </row>
    <row r="54" spans="1:2" x14ac:dyDescent="0.3">
      <c r="A54" s="171"/>
      <c r="B54" s="167"/>
    </row>
    <row r="55" spans="1:2" x14ac:dyDescent="0.3">
      <c r="A55" s="171"/>
      <c r="B55" s="167"/>
    </row>
    <row r="56" spans="1:2" x14ac:dyDescent="0.3">
      <c r="A56" s="171"/>
      <c r="B56" s="167"/>
    </row>
    <row r="57" spans="1:2" x14ac:dyDescent="0.3">
      <c r="A57" s="171"/>
      <c r="B57" s="167"/>
    </row>
    <row r="58" spans="1:2" x14ac:dyDescent="0.3">
      <c r="A58" s="171"/>
      <c r="B58" s="167"/>
    </row>
    <row r="59" spans="1:2" x14ac:dyDescent="0.3">
      <c r="A59" s="171"/>
      <c r="B59" s="167"/>
    </row>
    <row r="60" spans="1:2" x14ac:dyDescent="0.3">
      <c r="A60" s="171"/>
      <c r="B60" s="167"/>
    </row>
    <row r="61" spans="1:2" x14ac:dyDescent="0.3">
      <c r="A61" s="171"/>
      <c r="B61" s="167"/>
    </row>
    <row r="62" spans="1:2" x14ac:dyDescent="0.3">
      <c r="A62" s="171"/>
      <c r="B62" s="167"/>
    </row>
    <row r="63" spans="1:2" x14ac:dyDescent="0.3">
      <c r="A63" s="171"/>
      <c r="B63" s="167"/>
    </row>
    <row r="64" spans="1:2" x14ac:dyDescent="0.3">
      <c r="A64" s="171"/>
      <c r="B64" s="167"/>
    </row>
    <row r="65" spans="1:2" x14ac:dyDescent="0.3">
      <c r="A65" s="171"/>
      <c r="B65" s="167"/>
    </row>
    <row r="66" spans="1:2" x14ac:dyDescent="0.3">
      <c r="A66" s="171"/>
      <c r="B66" s="167"/>
    </row>
    <row r="67" spans="1:2" x14ac:dyDescent="0.3">
      <c r="A67" s="171"/>
      <c r="B67" s="167"/>
    </row>
    <row r="68" spans="1:2" x14ac:dyDescent="0.3">
      <c r="A68" s="171"/>
      <c r="B68" s="167"/>
    </row>
    <row r="69" spans="1:2" x14ac:dyDescent="0.3">
      <c r="A69" s="171"/>
      <c r="B69" s="167"/>
    </row>
    <row r="70" spans="1:2" x14ac:dyDescent="0.3">
      <c r="A70" s="171"/>
      <c r="B70" s="167"/>
    </row>
    <row r="71" spans="1:2" x14ac:dyDescent="0.3">
      <c r="A71" s="171"/>
      <c r="B71" s="167"/>
    </row>
    <row r="72" spans="1:2" x14ac:dyDescent="0.3">
      <c r="A72" s="171"/>
      <c r="B72" s="167"/>
    </row>
    <row r="73" spans="1:2" x14ac:dyDescent="0.3">
      <c r="A73" s="171"/>
      <c r="B73" s="167"/>
    </row>
    <row r="74" spans="1:2" x14ac:dyDescent="0.3">
      <c r="A74" s="171"/>
      <c r="B74" s="167"/>
    </row>
    <row r="75" spans="1:2" x14ac:dyDescent="0.3">
      <c r="A75" s="171"/>
      <c r="B75" s="167"/>
    </row>
    <row r="76" spans="1:2" x14ac:dyDescent="0.3">
      <c r="A76" s="171"/>
      <c r="B76" s="167"/>
    </row>
    <row r="77" spans="1:2" x14ac:dyDescent="0.3">
      <c r="A77" s="171"/>
      <c r="B77" s="167"/>
    </row>
    <row r="78" spans="1:2" x14ac:dyDescent="0.3">
      <c r="A78" s="171"/>
      <c r="B78" s="167"/>
    </row>
    <row r="79" spans="1:2" x14ac:dyDescent="0.3">
      <c r="A79" s="171"/>
      <c r="B79" s="167"/>
    </row>
    <row r="80" spans="1:2" x14ac:dyDescent="0.3">
      <c r="A80" s="171"/>
      <c r="B80" s="167"/>
    </row>
    <row r="81" spans="1:2" x14ac:dyDescent="0.3">
      <c r="A81" s="171"/>
      <c r="B81" s="167"/>
    </row>
    <row r="82" spans="1:2" x14ac:dyDescent="0.3">
      <c r="A82" s="171"/>
      <c r="B82" s="167"/>
    </row>
    <row r="83" spans="1:2" x14ac:dyDescent="0.3">
      <c r="A83" s="171"/>
      <c r="B83" s="167"/>
    </row>
    <row r="84" spans="1:2" x14ac:dyDescent="0.3">
      <c r="A84" s="171"/>
      <c r="B84" s="167"/>
    </row>
    <row r="85" spans="1:2" x14ac:dyDescent="0.3">
      <c r="A85" s="171"/>
      <c r="B85" s="167"/>
    </row>
    <row r="86" spans="1:2" x14ac:dyDescent="0.3">
      <c r="A86" s="171"/>
      <c r="B86" s="167"/>
    </row>
    <row r="87" spans="1:2" x14ac:dyDescent="0.3">
      <c r="A87" s="171"/>
      <c r="B87" s="167"/>
    </row>
    <row r="88" spans="1:2" x14ac:dyDescent="0.3">
      <c r="A88" s="171"/>
      <c r="B88" s="167"/>
    </row>
    <row r="89" spans="1:2" x14ac:dyDescent="0.3">
      <c r="A89" s="171"/>
      <c r="B89" s="167"/>
    </row>
    <row r="90" spans="1:2" x14ac:dyDescent="0.3">
      <c r="A90" s="171"/>
      <c r="B90" s="167"/>
    </row>
    <row r="91" spans="1:2" x14ac:dyDescent="0.3">
      <c r="A91" s="171"/>
      <c r="B91" s="167"/>
    </row>
    <row r="92" spans="1:2" x14ac:dyDescent="0.3">
      <c r="A92" s="171"/>
      <c r="B92" s="167"/>
    </row>
    <row r="93" spans="1:2" x14ac:dyDescent="0.3">
      <c r="A93" s="171"/>
      <c r="B93" s="167"/>
    </row>
    <row r="94" spans="1:2" x14ac:dyDescent="0.3">
      <c r="A94" s="171"/>
      <c r="B94" s="167"/>
    </row>
    <row r="95" spans="1:2" x14ac:dyDescent="0.3">
      <c r="A95" s="171"/>
      <c r="B95" s="167"/>
    </row>
    <row r="96" spans="1:2" x14ac:dyDescent="0.3">
      <c r="A96" s="171"/>
      <c r="B96" s="167"/>
    </row>
    <row r="97" spans="1:2" x14ac:dyDescent="0.3">
      <c r="A97" s="171"/>
      <c r="B97" s="167"/>
    </row>
    <row r="98" spans="1:2" x14ac:dyDescent="0.3">
      <c r="A98" s="171"/>
      <c r="B98" s="167"/>
    </row>
    <row r="99" spans="1:2" x14ac:dyDescent="0.3">
      <c r="A99" s="171"/>
      <c r="B99" s="167"/>
    </row>
    <row r="100" spans="1:2" x14ac:dyDescent="0.3">
      <c r="A100" s="171"/>
      <c r="B100" s="167"/>
    </row>
    <row r="101" spans="1:2" x14ac:dyDescent="0.3">
      <c r="A101" s="171"/>
      <c r="B101" s="167"/>
    </row>
    <row r="102" spans="1:2" x14ac:dyDescent="0.3">
      <c r="A102" s="171"/>
      <c r="B102" s="167"/>
    </row>
    <row r="103" spans="1:2" x14ac:dyDescent="0.3">
      <c r="A103" s="171"/>
      <c r="B103" s="167"/>
    </row>
    <row r="104" spans="1:2" x14ac:dyDescent="0.3">
      <c r="A104" s="171"/>
      <c r="B104" s="167"/>
    </row>
    <row r="105" spans="1:2" x14ac:dyDescent="0.3">
      <c r="A105" s="171"/>
      <c r="B105" s="167"/>
    </row>
    <row r="106" spans="1:2" x14ac:dyDescent="0.3">
      <c r="A106" s="171"/>
      <c r="B106" s="167"/>
    </row>
    <row r="107" spans="1:2" x14ac:dyDescent="0.3">
      <c r="A107" s="171"/>
      <c r="B107" s="167"/>
    </row>
    <row r="108" spans="1:2" x14ac:dyDescent="0.3">
      <c r="A108" s="171"/>
      <c r="B108" s="167"/>
    </row>
    <row r="109" spans="1:2" x14ac:dyDescent="0.3">
      <c r="A109" s="171"/>
      <c r="B109" s="167"/>
    </row>
    <row r="110" spans="1:2" x14ac:dyDescent="0.3">
      <c r="A110" s="171"/>
      <c r="B110" s="167"/>
    </row>
    <row r="111" spans="1:2" x14ac:dyDescent="0.3">
      <c r="A111" s="171"/>
      <c r="B111" s="167"/>
    </row>
    <row r="112" spans="1:2" x14ac:dyDescent="0.3">
      <c r="A112" s="171"/>
      <c r="B112" s="167"/>
    </row>
    <row r="113" spans="1:2" x14ac:dyDescent="0.3">
      <c r="A113" s="171"/>
      <c r="B113" s="167"/>
    </row>
    <row r="114" spans="1:2" x14ac:dyDescent="0.3">
      <c r="A114" s="171"/>
      <c r="B114" s="167"/>
    </row>
    <row r="115" spans="1:2" x14ac:dyDescent="0.3">
      <c r="A115" s="171"/>
      <c r="B115" s="167"/>
    </row>
    <row r="116" spans="1:2" x14ac:dyDescent="0.3">
      <c r="A116" s="171"/>
      <c r="B116" s="167"/>
    </row>
    <row r="117" spans="1:2" x14ac:dyDescent="0.3">
      <c r="A117" s="171"/>
      <c r="B117" s="167"/>
    </row>
    <row r="118" spans="1:2" x14ac:dyDescent="0.3">
      <c r="A118" s="171"/>
      <c r="B118" s="167"/>
    </row>
    <row r="119" spans="1:2" x14ac:dyDescent="0.3">
      <c r="A119" s="171"/>
      <c r="B119" s="167"/>
    </row>
    <row r="120" spans="1:2" x14ac:dyDescent="0.3">
      <c r="A120" s="171"/>
      <c r="B120" s="167"/>
    </row>
    <row r="121" spans="1:2" x14ac:dyDescent="0.3">
      <c r="A121" s="171"/>
      <c r="B121" s="167"/>
    </row>
    <row r="122" spans="1:2" x14ac:dyDescent="0.3">
      <c r="A122" s="171"/>
      <c r="B122" s="167"/>
    </row>
    <row r="123" spans="1:2" x14ac:dyDescent="0.3">
      <c r="A123" s="171"/>
      <c r="B123" s="167"/>
    </row>
    <row r="124" spans="1:2" x14ac:dyDescent="0.3">
      <c r="A124" s="171"/>
      <c r="B124" s="167"/>
    </row>
    <row r="125" spans="1:2" x14ac:dyDescent="0.3">
      <c r="A125" s="171"/>
      <c r="B125" s="167"/>
    </row>
    <row r="126" spans="1:2" x14ac:dyDescent="0.3">
      <c r="A126" s="171"/>
      <c r="B126" s="167"/>
    </row>
    <row r="127" spans="1:2" x14ac:dyDescent="0.3">
      <c r="A127" s="171"/>
      <c r="B127" s="167"/>
    </row>
    <row r="128" spans="1:2" x14ac:dyDescent="0.3">
      <c r="A128" s="171"/>
      <c r="B128" s="167"/>
    </row>
    <row r="129" spans="1:2" x14ac:dyDescent="0.3">
      <c r="A129" s="171"/>
      <c r="B129" s="167"/>
    </row>
    <row r="130" spans="1:2" x14ac:dyDescent="0.3">
      <c r="A130" s="171"/>
      <c r="B130" s="167"/>
    </row>
    <row r="131" spans="1:2" x14ac:dyDescent="0.3">
      <c r="A131" s="171"/>
      <c r="B131" s="167"/>
    </row>
    <row r="132" spans="1:2" x14ac:dyDescent="0.3">
      <c r="A132" s="171"/>
      <c r="B132" s="167"/>
    </row>
    <row r="133" spans="1:2" x14ac:dyDescent="0.3">
      <c r="A133" s="171"/>
      <c r="B133" s="167"/>
    </row>
    <row r="134" spans="1:2" x14ac:dyDescent="0.3">
      <c r="A134" s="171"/>
      <c r="B134" s="167"/>
    </row>
    <row r="135" spans="1:2" x14ac:dyDescent="0.3">
      <c r="A135" s="171"/>
      <c r="B135" s="167"/>
    </row>
    <row r="136" spans="1:2" x14ac:dyDescent="0.3">
      <c r="A136" s="171"/>
      <c r="B136" s="167"/>
    </row>
    <row r="137" spans="1:2" x14ac:dyDescent="0.3">
      <c r="A137" s="171"/>
      <c r="B137" s="167"/>
    </row>
    <row r="138" spans="1:2" x14ac:dyDescent="0.3">
      <c r="A138" s="171"/>
      <c r="B138" s="167"/>
    </row>
    <row r="139" spans="1:2" x14ac:dyDescent="0.3">
      <c r="A139" s="171"/>
      <c r="B139" s="167"/>
    </row>
    <row r="140" spans="1:2" x14ac:dyDescent="0.3">
      <c r="A140" s="171"/>
      <c r="B140" s="167"/>
    </row>
    <row r="141" spans="1:2" x14ac:dyDescent="0.3">
      <c r="A141" s="171"/>
      <c r="B141" s="167"/>
    </row>
    <row r="142" spans="1:2" x14ac:dyDescent="0.3">
      <c r="A142" s="171"/>
      <c r="B142" s="167"/>
    </row>
    <row r="143" spans="1:2" x14ac:dyDescent="0.3">
      <c r="A143" s="171"/>
      <c r="B143" s="167"/>
    </row>
    <row r="144" spans="1:2" x14ac:dyDescent="0.3">
      <c r="A144" s="171"/>
      <c r="B144" s="167"/>
    </row>
    <row r="145" spans="1:2" x14ac:dyDescent="0.3">
      <c r="A145" s="171"/>
      <c r="B145" s="167"/>
    </row>
    <row r="146" spans="1:2" x14ac:dyDescent="0.3">
      <c r="A146" s="171"/>
      <c r="B146" s="167"/>
    </row>
    <row r="147" spans="1:2" x14ac:dyDescent="0.3">
      <c r="A147" s="171"/>
      <c r="B147" s="167"/>
    </row>
    <row r="148" spans="1:2" x14ac:dyDescent="0.3">
      <c r="A148" s="171"/>
      <c r="B148" s="167"/>
    </row>
    <row r="149" spans="1:2" x14ac:dyDescent="0.3">
      <c r="A149" s="171"/>
      <c r="B149" s="167"/>
    </row>
    <row r="150" spans="1:2" x14ac:dyDescent="0.3">
      <c r="A150" s="171"/>
      <c r="B150" s="167"/>
    </row>
    <row r="151" spans="1:2" x14ac:dyDescent="0.3">
      <c r="A151" s="171"/>
      <c r="B151" s="167"/>
    </row>
    <row r="152" spans="1:2" x14ac:dyDescent="0.3">
      <c r="A152" s="171"/>
      <c r="B152" s="167"/>
    </row>
    <row r="153" spans="1:2" x14ac:dyDescent="0.3">
      <c r="A153" s="171"/>
      <c r="B153" s="167"/>
    </row>
    <row r="154" spans="1:2" x14ac:dyDescent="0.3">
      <c r="A154" s="171"/>
      <c r="B154" s="167"/>
    </row>
    <row r="155" spans="1:2" x14ac:dyDescent="0.3">
      <c r="A155" s="171"/>
      <c r="B155" s="167"/>
    </row>
    <row r="156" spans="1:2" x14ac:dyDescent="0.3">
      <c r="A156" s="171"/>
      <c r="B156" s="167"/>
    </row>
    <row r="157" spans="1:2" x14ac:dyDescent="0.3">
      <c r="A157" s="171"/>
      <c r="B157" s="167"/>
    </row>
    <row r="158" spans="1:2" x14ac:dyDescent="0.3">
      <c r="A158" s="171"/>
      <c r="B158" s="167"/>
    </row>
    <row r="159" spans="1:2" x14ac:dyDescent="0.3">
      <c r="A159" s="171"/>
      <c r="B159" s="167"/>
    </row>
    <row r="160" spans="1:2" x14ac:dyDescent="0.3">
      <c r="A160" s="171"/>
      <c r="B160" s="167"/>
    </row>
    <row r="161" spans="1:2" x14ac:dyDescent="0.3">
      <c r="A161" s="171"/>
      <c r="B161" s="167"/>
    </row>
    <row r="162" spans="1:2" x14ac:dyDescent="0.3">
      <c r="A162" s="171"/>
      <c r="B162" s="167"/>
    </row>
    <row r="163" spans="1:2" x14ac:dyDescent="0.3">
      <c r="A163" s="171"/>
      <c r="B163" s="167"/>
    </row>
    <row r="164" spans="1:2" x14ac:dyDescent="0.3">
      <c r="A164" s="171"/>
      <c r="B164" s="167"/>
    </row>
    <row r="165" spans="1:2" x14ac:dyDescent="0.3">
      <c r="A165" s="171"/>
      <c r="B165" s="167"/>
    </row>
    <row r="166" spans="1:2" x14ac:dyDescent="0.3">
      <c r="A166" s="171"/>
      <c r="B166" s="167"/>
    </row>
    <row r="167" spans="1:2" x14ac:dyDescent="0.3">
      <c r="A167" s="171"/>
      <c r="B167" s="167"/>
    </row>
    <row r="168" spans="1:2" x14ac:dyDescent="0.3">
      <c r="A168" s="171"/>
      <c r="B168" s="167"/>
    </row>
    <row r="169" spans="1:2" x14ac:dyDescent="0.3">
      <c r="A169" s="171"/>
      <c r="B169" s="167"/>
    </row>
    <row r="170" spans="1:2" x14ac:dyDescent="0.3">
      <c r="A170" s="171"/>
      <c r="B170" s="167"/>
    </row>
    <row r="171" spans="1:2" x14ac:dyDescent="0.3">
      <c r="A171" s="171"/>
      <c r="B171" s="167"/>
    </row>
    <row r="172" spans="1:2" x14ac:dyDescent="0.3">
      <c r="A172" s="171"/>
      <c r="B172" s="167"/>
    </row>
    <row r="173" spans="1:2" x14ac:dyDescent="0.3">
      <c r="A173" s="171"/>
      <c r="B173" s="167"/>
    </row>
    <row r="174" spans="1:2" x14ac:dyDescent="0.3">
      <c r="A174" s="171"/>
      <c r="B174" s="167"/>
    </row>
    <row r="175" spans="1:2" x14ac:dyDescent="0.3">
      <c r="A175" s="171"/>
      <c r="B175" s="167"/>
    </row>
    <row r="176" spans="1:2" x14ac:dyDescent="0.3">
      <c r="A176" s="171"/>
      <c r="B176" s="167"/>
    </row>
    <row r="177" spans="1:2" x14ac:dyDescent="0.3">
      <c r="A177" s="171"/>
      <c r="B177" s="167"/>
    </row>
    <row r="178" spans="1:2" x14ac:dyDescent="0.3">
      <c r="A178" s="171"/>
      <c r="B178" s="167"/>
    </row>
    <row r="179" spans="1:2" x14ac:dyDescent="0.3">
      <c r="A179" s="171"/>
      <c r="B179" s="167"/>
    </row>
    <row r="180" spans="1:2" x14ac:dyDescent="0.3">
      <c r="A180" s="171"/>
      <c r="B180" s="167"/>
    </row>
    <row r="181" spans="1:2" x14ac:dyDescent="0.3">
      <c r="A181" s="171"/>
      <c r="B181" s="167"/>
    </row>
    <row r="182" spans="1:2" x14ac:dyDescent="0.3">
      <c r="A182" s="171"/>
      <c r="B182" s="167"/>
    </row>
    <row r="183" spans="1:2" x14ac:dyDescent="0.3">
      <c r="A183" s="171"/>
      <c r="B183" s="167"/>
    </row>
    <row r="184" spans="1:2" x14ac:dyDescent="0.3">
      <c r="A184" s="171"/>
      <c r="B184" s="167"/>
    </row>
    <row r="185" spans="1:2" x14ac:dyDescent="0.3">
      <c r="A185" s="171"/>
      <c r="B185" s="167"/>
    </row>
    <row r="186" spans="1:2" x14ac:dyDescent="0.3">
      <c r="A186" s="171"/>
      <c r="B186" s="167"/>
    </row>
    <row r="187" spans="1:2" x14ac:dyDescent="0.3">
      <c r="A187" s="171"/>
      <c r="B187" s="167"/>
    </row>
    <row r="188" spans="1:2" x14ac:dyDescent="0.3">
      <c r="A188" s="171"/>
      <c r="B188" s="167"/>
    </row>
    <row r="189" spans="1:2" x14ac:dyDescent="0.3">
      <c r="A189" s="171"/>
      <c r="B189" s="167"/>
    </row>
    <row r="190" spans="1:2" x14ac:dyDescent="0.3">
      <c r="A190" s="171"/>
      <c r="B190" s="167"/>
    </row>
    <row r="191" spans="1:2" x14ac:dyDescent="0.3">
      <c r="A191" s="171"/>
      <c r="B191" s="167"/>
    </row>
    <row r="192" spans="1:2" x14ac:dyDescent="0.3">
      <c r="A192" s="171"/>
      <c r="B192" s="167"/>
    </row>
    <row r="193" spans="1:2" x14ac:dyDescent="0.3">
      <c r="A193" s="171"/>
      <c r="B193" s="167"/>
    </row>
    <row r="194" spans="1:2" x14ac:dyDescent="0.3">
      <c r="A194" s="171"/>
      <c r="B194" s="167"/>
    </row>
    <row r="195" spans="1:2" x14ac:dyDescent="0.3">
      <c r="A195" s="171"/>
      <c r="B195" s="167"/>
    </row>
    <row r="196" spans="1:2" x14ac:dyDescent="0.3">
      <c r="A196" s="171"/>
      <c r="B196" s="167"/>
    </row>
    <row r="197" spans="1:2" x14ac:dyDescent="0.3">
      <c r="A197" s="171"/>
      <c r="B197" s="167"/>
    </row>
    <row r="198" spans="1:2" x14ac:dyDescent="0.3">
      <c r="A198" s="171"/>
      <c r="B198" s="167"/>
    </row>
    <row r="199" spans="1:2" x14ac:dyDescent="0.3">
      <c r="A199" s="171"/>
      <c r="B199" s="167"/>
    </row>
    <row r="200" spans="1:2" x14ac:dyDescent="0.3">
      <c r="A200" s="171"/>
      <c r="B200" s="167"/>
    </row>
    <row r="201" spans="1:2" x14ac:dyDescent="0.3">
      <c r="A201" s="171"/>
      <c r="B201" s="167"/>
    </row>
    <row r="202" spans="1:2" x14ac:dyDescent="0.3">
      <c r="A202" s="171"/>
      <c r="B202" s="167"/>
    </row>
    <row r="203" spans="1:2" x14ac:dyDescent="0.3">
      <c r="A203" s="171"/>
      <c r="B203" s="167"/>
    </row>
    <row r="204" spans="1:2" x14ac:dyDescent="0.3">
      <c r="A204" s="171"/>
      <c r="B204" s="167"/>
    </row>
    <row r="205" spans="1:2" x14ac:dyDescent="0.3">
      <c r="A205" s="171"/>
      <c r="B205" s="167"/>
    </row>
    <row r="206" spans="1:2" x14ac:dyDescent="0.3">
      <c r="A206" s="171"/>
      <c r="B206" s="167"/>
    </row>
    <row r="207" spans="1:2" x14ac:dyDescent="0.3">
      <c r="A207" s="171"/>
      <c r="B207" s="167"/>
    </row>
    <row r="208" spans="1:2" x14ac:dyDescent="0.3">
      <c r="A208" s="171"/>
      <c r="B208" s="167"/>
    </row>
    <row r="209" spans="1:2" x14ac:dyDescent="0.3">
      <c r="A209" s="171"/>
      <c r="B209" s="167"/>
    </row>
    <row r="210" spans="1:2" x14ac:dyDescent="0.3">
      <c r="A210" s="171"/>
      <c r="B210" s="167"/>
    </row>
    <row r="211" spans="1:2" x14ac:dyDescent="0.3">
      <c r="A211" s="171"/>
      <c r="B211" s="167"/>
    </row>
    <row r="212" spans="1:2" x14ac:dyDescent="0.3">
      <c r="A212" s="171"/>
      <c r="B212" s="167"/>
    </row>
    <row r="213" spans="1:2" x14ac:dyDescent="0.3">
      <c r="A213" s="171"/>
      <c r="B213" s="167"/>
    </row>
    <row r="214" spans="1:2" x14ac:dyDescent="0.3">
      <c r="A214" s="171"/>
      <c r="B214" s="167"/>
    </row>
    <row r="215" spans="1:2" x14ac:dyDescent="0.3">
      <c r="A215" s="171"/>
      <c r="B215" s="167"/>
    </row>
    <row r="216" spans="1:2" x14ac:dyDescent="0.3">
      <c r="A216" s="171"/>
      <c r="B216" s="167"/>
    </row>
    <row r="217" spans="1:2" x14ac:dyDescent="0.3">
      <c r="A217" s="171"/>
      <c r="B217" s="167"/>
    </row>
    <row r="218" spans="1:2" x14ac:dyDescent="0.3">
      <c r="A218" s="171"/>
      <c r="B218" s="167"/>
    </row>
    <row r="219" spans="1:2" x14ac:dyDescent="0.3">
      <c r="A219" s="171"/>
      <c r="B219" s="167"/>
    </row>
    <row r="220" spans="1:2" x14ac:dyDescent="0.3">
      <c r="A220" s="171"/>
      <c r="B220" s="167"/>
    </row>
    <row r="221" spans="1:2" x14ac:dyDescent="0.3">
      <c r="A221" s="171"/>
      <c r="B221" s="167"/>
    </row>
    <row r="222" spans="1:2" x14ac:dyDescent="0.3">
      <c r="A222" s="171"/>
      <c r="B222" s="167"/>
    </row>
    <row r="223" spans="1:2" x14ac:dyDescent="0.3">
      <c r="A223" s="171"/>
      <c r="B223" s="167"/>
    </row>
    <row r="224" spans="1:2" x14ac:dyDescent="0.3">
      <c r="A224" s="171"/>
      <c r="B224" s="167"/>
    </row>
    <row r="225" spans="1:2" x14ac:dyDescent="0.3">
      <c r="A225" s="171"/>
      <c r="B225" s="167"/>
    </row>
    <row r="226" spans="1:2" x14ac:dyDescent="0.3">
      <c r="A226" s="171"/>
      <c r="B226" s="167"/>
    </row>
    <row r="227" spans="1:2" x14ac:dyDescent="0.3">
      <c r="A227" s="171"/>
      <c r="B227" s="167"/>
    </row>
    <row r="228" spans="1:2" x14ac:dyDescent="0.3">
      <c r="A228" s="171"/>
      <c r="B228" s="167"/>
    </row>
    <row r="229" spans="1:2" x14ac:dyDescent="0.3">
      <c r="A229" s="171"/>
      <c r="B229" s="167"/>
    </row>
    <row r="230" spans="1:2" x14ac:dyDescent="0.3">
      <c r="A230" s="171"/>
      <c r="B230" s="167"/>
    </row>
    <row r="231" spans="1:2" x14ac:dyDescent="0.3">
      <c r="A231" s="171"/>
      <c r="B231" s="167"/>
    </row>
    <row r="232" spans="1:2" x14ac:dyDescent="0.3">
      <c r="A232" s="171"/>
      <c r="B232" s="167"/>
    </row>
    <row r="233" spans="1:2" x14ac:dyDescent="0.3">
      <c r="A233" s="171"/>
      <c r="B233" s="167"/>
    </row>
    <row r="234" spans="1:2" x14ac:dyDescent="0.3">
      <c r="A234" s="171"/>
      <c r="B234" s="167"/>
    </row>
    <row r="235" spans="1:2" x14ac:dyDescent="0.3">
      <c r="A235" s="171"/>
      <c r="B235" s="167"/>
    </row>
    <row r="236" spans="1:2" x14ac:dyDescent="0.3">
      <c r="A236" s="171"/>
      <c r="B236" s="167"/>
    </row>
    <row r="237" spans="1:2" x14ac:dyDescent="0.3">
      <c r="A237" s="171"/>
      <c r="B237" s="167"/>
    </row>
    <row r="238" spans="1:2" x14ac:dyDescent="0.3">
      <c r="A238" s="171"/>
      <c r="B238" s="167"/>
    </row>
    <row r="239" spans="1:2" x14ac:dyDescent="0.3">
      <c r="A239" s="171"/>
      <c r="B239" s="167"/>
    </row>
    <row r="240" spans="1:2" x14ac:dyDescent="0.3">
      <c r="A240" s="171"/>
      <c r="B240" s="167"/>
    </row>
    <row r="241" spans="1:2" x14ac:dyDescent="0.3">
      <c r="A241" s="171"/>
      <c r="B241" s="167"/>
    </row>
    <row r="242" spans="1:2" x14ac:dyDescent="0.3">
      <c r="A242" s="171"/>
      <c r="B242" s="167"/>
    </row>
    <row r="243" spans="1:2" x14ac:dyDescent="0.3">
      <c r="A243" s="171"/>
      <c r="B243" s="167"/>
    </row>
    <row r="244" spans="1:2" x14ac:dyDescent="0.3">
      <c r="A244" s="171"/>
      <c r="B244" s="167"/>
    </row>
    <row r="245" spans="1:2" x14ac:dyDescent="0.3">
      <c r="A245" s="171"/>
      <c r="B245" s="167"/>
    </row>
    <row r="246" spans="1:2" x14ac:dyDescent="0.3">
      <c r="A246" s="171"/>
      <c r="B246" s="167"/>
    </row>
    <row r="247" spans="1:2" x14ac:dyDescent="0.3">
      <c r="A247" s="171"/>
      <c r="B247" s="167"/>
    </row>
    <row r="248" spans="1:2" x14ac:dyDescent="0.3">
      <c r="A248" s="171"/>
      <c r="B248" s="167"/>
    </row>
    <row r="249" spans="1:2" x14ac:dyDescent="0.3">
      <c r="A249" s="171"/>
      <c r="B249" s="167"/>
    </row>
    <row r="250" spans="1:2" x14ac:dyDescent="0.3">
      <c r="A250" s="171"/>
      <c r="B250" s="167"/>
    </row>
    <row r="251" spans="1:2" x14ac:dyDescent="0.3">
      <c r="A251" s="171"/>
      <c r="B251" s="167"/>
    </row>
    <row r="252" spans="1:2" x14ac:dyDescent="0.3">
      <c r="A252" s="171"/>
      <c r="B252" s="167"/>
    </row>
    <row r="253" spans="1:2" x14ac:dyDescent="0.3">
      <c r="A253" s="171"/>
      <c r="B253" s="167"/>
    </row>
    <row r="254" spans="1:2" x14ac:dyDescent="0.3">
      <c r="A254" s="171"/>
      <c r="B254" s="167"/>
    </row>
    <row r="255" spans="1:2" x14ac:dyDescent="0.3">
      <c r="A255" s="171"/>
      <c r="B255" s="167"/>
    </row>
    <row r="256" spans="1:2" x14ac:dyDescent="0.3">
      <c r="A256" s="171"/>
      <c r="B256" s="167"/>
    </row>
    <row r="257" spans="1:2" x14ac:dyDescent="0.3">
      <c r="A257" s="171"/>
      <c r="B257" s="167"/>
    </row>
    <row r="258" spans="1:2" x14ac:dyDescent="0.3">
      <c r="A258" s="171"/>
      <c r="B258" s="167"/>
    </row>
    <row r="259" spans="1:2" x14ac:dyDescent="0.3">
      <c r="A259" s="171"/>
      <c r="B259" s="167"/>
    </row>
    <row r="260" spans="1:2" x14ac:dyDescent="0.3">
      <c r="A260" s="171"/>
      <c r="B260" s="167"/>
    </row>
    <row r="261" spans="1:2" x14ac:dyDescent="0.3">
      <c r="A261" s="171"/>
      <c r="B261" s="167"/>
    </row>
    <row r="262" spans="1:2" x14ac:dyDescent="0.3">
      <c r="A262" s="171"/>
      <c r="B262" s="167"/>
    </row>
    <row r="263" spans="1:2" x14ac:dyDescent="0.3">
      <c r="A263" s="171"/>
      <c r="B263" s="167"/>
    </row>
    <row r="264" spans="1:2" x14ac:dyDescent="0.3">
      <c r="A264" s="171"/>
      <c r="B264" s="167"/>
    </row>
    <row r="265" spans="1:2" x14ac:dyDescent="0.3">
      <c r="A265" s="171"/>
      <c r="B265" s="167"/>
    </row>
    <row r="266" spans="1:2" x14ac:dyDescent="0.3">
      <c r="A266" s="171"/>
      <c r="B266" s="167"/>
    </row>
    <row r="267" spans="1:2" x14ac:dyDescent="0.3">
      <c r="A267" s="171"/>
      <c r="B267" s="167"/>
    </row>
    <row r="268" spans="1:2" x14ac:dyDescent="0.3">
      <c r="A268" s="171"/>
      <c r="B268" s="167"/>
    </row>
    <row r="269" spans="1:2" x14ac:dyDescent="0.3">
      <c r="A269" s="171"/>
      <c r="B269" s="167"/>
    </row>
    <row r="270" spans="1:2" x14ac:dyDescent="0.3">
      <c r="A270" s="171"/>
      <c r="B270" s="167"/>
    </row>
    <row r="271" spans="1:2" x14ac:dyDescent="0.3">
      <c r="A271" s="171"/>
      <c r="B271" s="167"/>
    </row>
    <row r="272" spans="1:2" x14ac:dyDescent="0.3">
      <c r="A272" s="171"/>
      <c r="B272" s="167"/>
    </row>
    <row r="273" spans="1:2" x14ac:dyDescent="0.3">
      <c r="A273" s="171"/>
      <c r="B273" s="167"/>
    </row>
    <row r="274" spans="1:2" x14ac:dyDescent="0.3">
      <c r="A274" s="171"/>
      <c r="B274" s="167"/>
    </row>
    <row r="275" spans="1:2" x14ac:dyDescent="0.3">
      <c r="A275" s="171"/>
      <c r="B275" s="167"/>
    </row>
    <row r="276" spans="1:2" x14ac:dyDescent="0.3">
      <c r="A276" s="171"/>
      <c r="B276" s="167"/>
    </row>
    <row r="277" spans="1:2" x14ac:dyDescent="0.3">
      <c r="A277" s="171"/>
      <c r="B277" s="167"/>
    </row>
    <row r="278" spans="1:2" x14ac:dyDescent="0.3">
      <c r="A278" s="171"/>
      <c r="B278" s="167"/>
    </row>
    <row r="279" spans="1:2" x14ac:dyDescent="0.3">
      <c r="A279" s="171"/>
      <c r="B279" s="167"/>
    </row>
    <row r="280" spans="1:2" x14ac:dyDescent="0.3">
      <c r="A280" s="171"/>
      <c r="B280" s="167"/>
    </row>
    <row r="281" spans="1:2" x14ac:dyDescent="0.3">
      <c r="A281" s="171"/>
      <c r="B281" s="167"/>
    </row>
    <row r="282" spans="1:2" x14ac:dyDescent="0.3">
      <c r="A282" s="171"/>
      <c r="B282" s="167"/>
    </row>
    <row r="283" spans="1:2" x14ac:dyDescent="0.3">
      <c r="A283" s="171"/>
      <c r="B283" s="167"/>
    </row>
    <row r="284" spans="1:2" x14ac:dyDescent="0.3">
      <c r="A284" s="171"/>
      <c r="B284" s="167"/>
    </row>
    <row r="285" spans="1:2" x14ac:dyDescent="0.3">
      <c r="A285" s="171"/>
      <c r="B285" s="167"/>
    </row>
    <row r="286" spans="1:2" x14ac:dyDescent="0.3">
      <c r="A286" s="171"/>
      <c r="B286" s="167"/>
    </row>
    <row r="287" spans="1:2" x14ac:dyDescent="0.3">
      <c r="A287" s="171"/>
      <c r="B287" s="167"/>
    </row>
    <row r="288" spans="1:2" x14ac:dyDescent="0.3">
      <c r="A288" s="171"/>
      <c r="B288" s="167"/>
    </row>
    <row r="289" spans="1:2" x14ac:dyDescent="0.3">
      <c r="A289" s="171"/>
      <c r="B289" s="167"/>
    </row>
    <row r="290" spans="1:2" x14ac:dyDescent="0.3">
      <c r="A290" s="171"/>
      <c r="B290" s="167"/>
    </row>
    <row r="291" spans="1:2" x14ac:dyDescent="0.3">
      <c r="A291" s="171"/>
      <c r="B291" s="167"/>
    </row>
    <row r="292" spans="1:2" x14ac:dyDescent="0.3">
      <c r="A292" s="171"/>
      <c r="B292" s="167"/>
    </row>
    <row r="293" spans="1:2" x14ac:dyDescent="0.3">
      <c r="A293" s="171"/>
      <c r="B293" s="167"/>
    </row>
    <row r="294" spans="1:2" x14ac:dyDescent="0.3">
      <c r="A294" s="171"/>
      <c r="B294" s="167"/>
    </row>
    <row r="295" spans="1:2" x14ac:dyDescent="0.3">
      <c r="A295" s="171"/>
      <c r="B295" s="167"/>
    </row>
    <row r="296" spans="1:2" x14ac:dyDescent="0.3">
      <c r="A296" s="171"/>
      <c r="B296" s="167"/>
    </row>
    <row r="297" spans="1:2" x14ac:dyDescent="0.3">
      <c r="A297" s="171"/>
      <c r="B297" s="167"/>
    </row>
    <row r="298" spans="1:2" x14ac:dyDescent="0.3">
      <c r="A298" s="171"/>
      <c r="B298" s="167"/>
    </row>
    <row r="299" spans="1:2" x14ac:dyDescent="0.3">
      <c r="A299" s="171"/>
      <c r="B299" s="167"/>
    </row>
    <row r="300" spans="1:2" x14ac:dyDescent="0.3">
      <c r="A300" s="171"/>
      <c r="B300" s="167"/>
    </row>
    <row r="301" spans="1:2" x14ac:dyDescent="0.3">
      <c r="A301" s="171"/>
      <c r="B301" s="167"/>
    </row>
    <row r="302" spans="1:2" x14ac:dyDescent="0.3">
      <c r="A302" s="171"/>
      <c r="B302" s="167"/>
    </row>
    <row r="303" spans="1:2" x14ac:dyDescent="0.3">
      <c r="A303" s="171"/>
      <c r="B303" s="167"/>
    </row>
    <row r="304" spans="1:2" x14ac:dyDescent="0.3">
      <c r="A304" s="171"/>
      <c r="B304" s="167"/>
    </row>
    <row r="305" spans="1:2" x14ac:dyDescent="0.3">
      <c r="A305" s="171"/>
      <c r="B305" s="167"/>
    </row>
    <row r="306" spans="1:2" x14ac:dyDescent="0.3">
      <c r="A306" s="171"/>
      <c r="B306" s="167"/>
    </row>
    <row r="307" spans="1:2" x14ac:dyDescent="0.3">
      <c r="A307" s="171"/>
      <c r="B307" s="167"/>
    </row>
    <row r="308" spans="1:2" x14ac:dyDescent="0.3">
      <c r="A308" s="171"/>
      <c r="B308" s="167"/>
    </row>
    <row r="309" spans="1:2" x14ac:dyDescent="0.3">
      <c r="A309" s="171"/>
      <c r="B309" s="167"/>
    </row>
    <row r="310" spans="1:2" x14ac:dyDescent="0.3">
      <c r="A310" s="171"/>
      <c r="B310" s="167"/>
    </row>
    <row r="311" spans="1:2" x14ac:dyDescent="0.3">
      <c r="A311" s="171"/>
      <c r="B311" s="167"/>
    </row>
    <row r="312" spans="1:2" x14ac:dyDescent="0.3">
      <c r="A312" s="171"/>
      <c r="B312" s="167"/>
    </row>
    <row r="313" spans="1:2" x14ac:dyDescent="0.3">
      <c r="A313" s="171"/>
      <c r="B313" s="167"/>
    </row>
    <row r="314" spans="1:2" x14ac:dyDescent="0.3">
      <c r="A314" s="171"/>
      <c r="B314" s="167"/>
    </row>
    <row r="315" spans="1:2" x14ac:dyDescent="0.3">
      <c r="A315" s="171"/>
      <c r="B315" s="167"/>
    </row>
    <row r="316" spans="1:2" x14ac:dyDescent="0.3">
      <c r="A316" s="171"/>
      <c r="B316" s="167"/>
    </row>
    <row r="317" spans="1:2" x14ac:dyDescent="0.3">
      <c r="A317" s="171"/>
      <c r="B317" s="167"/>
    </row>
    <row r="318" spans="1:2" x14ac:dyDescent="0.3">
      <c r="A318" s="171"/>
      <c r="B318" s="167"/>
    </row>
    <row r="319" spans="1:2" x14ac:dyDescent="0.3">
      <c r="A319" s="171"/>
      <c r="B319" s="167"/>
    </row>
    <row r="320" spans="1:2" x14ac:dyDescent="0.3">
      <c r="A320" s="171"/>
      <c r="B320" s="167"/>
    </row>
    <row r="321" spans="1:2" x14ac:dyDescent="0.3">
      <c r="A321" s="171"/>
      <c r="B321" s="167"/>
    </row>
    <row r="322" spans="1:2" x14ac:dyDescent="0.3">
      <c r="A322" s="171"/>
      <c r="B322" s="167"/>
    </row>
    <row r="323" spans="1:2" x14ac:dyDescent="0.3">
      <c r="A323" s="171"/>
      <c r="B323" s="167"/>
    </row>
    <row r="324" spans="1:2" x14ac:dyDescent="0.3">
      <c r="A324" s="171"/>
      <c r="B324" s="167"/>
    </row>
    <row r="325" spans="1:2" x14ac:dyDescent="0.3">
      <c r="A325" s="171"/>
      <c r="B325" s="167"/>
    </row>
    <row r="326" spans="1:2" x14ac:dyDescent="0.3">
      <c r="A326" s="171"/>
      <c r="B326" s="167"/>
    </row>
    <row r="327" spans="1:2" x14ac:dyDescent="0.3">
      <c r="A327" s="171"/>
      <c r="B327" s="167"/>
    </row>
    <row r="328" spans="1:2" x14ac:dyDescent="0.3">
      <c r="A328" s="171"/>
      <c r="B328" s="167"/>
    </row>
    <row r="329" spans="1:2" x14ac:dyDescent="0.3">
      <c r="A329" s="171"/>
      <c r="B329" s="167"/>
    </row>
    <row r="330" spans="1:2" x14ac:dyDescent="0.3">
      <c r="A330" s="171"/>
      <c r="B330" s="167"/>
    </row>
    <row r="331" spans="1:2" x14ac:dyDescent="0.3">
      <c r="A331" s="171"/>
      <c r="B331" s="167"/>
    </row>
    <row r="332" spans="1:2" x14ac:dyDescent="0.3">
      <c r="A332" s="171"/>
      <c r="B332" s="167"/>
    </row>
    <row r="333" spans="1:2" x14ac:dyDescent="0.3">
      <c r="A333" s="171"/>
      <c r="B333" s="167"/>
    </row>
    <row r="334" spans="1:2" x14ac:dyDescent="0.3">
      <c r="A334" s="171"/>
      <c r="B334" s="167"/>
    </row>
    <row r="335" spans="1:2" x14ac:dyDescent="0.3">
      <c r="A335" s="171"/>
      <c r="B335" s="167"/>
    </row>
    <row r="336" spans="1:2" x14ac:dyDescent="0.3">
      <c r="A336" s="171"/>
      <c r="B336" s="167"/>
    </row>
    <row r="337" spans="1:2" x14ac:dyDescent="0.3">
      <c r="A337" s="171"/>
      <c r="B337" s="167"/>
    </row>
    <row r="338" spans="1:2" x14ac:dyDescent="0.3">
      <c r="A338" s="171"/>
      <c r="B338" s="167"/>
    </row>
    <row r="339" spans="1:2" x14ac:dyDescent="0.3">
      <c r="A339" s="171"/>
      <c r="B339" s="167"/>
    </row>
    <row r="340" spans="1:2" x14ac:dyDescent="0.3">
      <c r="A340" s="171"/>
      <c r="B340" s="167"/>
    </row>
    <row r="341" spans="1:2" x14ac:dyDescent="0.3">
      <c r="A341" s="171"/>
      <c r="B341" s="167"/>
    </row>
    <row r="342" spans="1:2" x14ac:dyDescent="0.3">
      <c r="A342" s="171"/>
      <c r="B342" s="167"/>
    </row>
    <row r="343" spans="1:2" x14ac:dyDescent="0.3">
      <c r="A343" s="171"/>
      <c r="B343" s="167"/>
    </row>
    <row r="344" spans="1:2" x14ac:dyDescent="0.3">
      <c r="A344" s="171"/>
      <c r="B344" s="167"/>
    </row>
    <row r="345" spans="1:2" x14ac:dyDescent="0.3">
      <c r="A345" s="171"/>
      <c r="B345" s="167"/>
    </row>
    <row r="346" spans="1:2" x14ac:dyDescent="0.3">
      <c r="A346" s="171"/>
      <c r="B346" s="167"/>
    </row>
    <row r="347" spans="1:2" x14ac:dyDescent="0.3">
      <c r="A347" s="171"/>
      <c r="B347" s="167"/>
    </row>
    <row r="348" spans="1:2" x14ac:dyDescent="0.3">
      <c r="A348" s="171"/>
      <c r="B348" s="167"/>
    </row>
    <row r="349" spans="1:2" x14ac:dyDescent="0.3">
      <c r="A349" s="171"/>
      <c r="B349" s="167"/>
    </row>
    <row r="350" spans="1:2" x14ac:dyDescent="0.3">
      <c r="A350" s="171"/>
      <c r="B350" s="167"/>
    </row>
    <row r="351" spans="1:2" x14ac:dyDescent="0.3">
      <c r="A351" s="171"/>
      <c r="B351" s="167"/>
    </row>
    <row r="352" spans="1:2" x14ac:dyDescent="0.3">
      <c r="A352" s="171"/>
      <c r="B352" s="167"/>
    </row>
    <row r="353" spans="1:2" x14ac:dyDescent="0.3">
      <c r="A353" s="171"/>
      <c r="B353" s="167"/>
    </row>
    <row r="354" spans="1:2" x14ac:dyDescent="0.3">
      <c r="A354" s="171"/>
      <c r="B354" s="167"/>
    </row>
    <row r="355" spans="1:2" x14ac:dyDescent="0.3">
      <c r="A355" s="171"/>
      <c r="B355" s="167"/>
    </row>
    <row r="356" spans="1:2" x14ac:dyDescent="0.3">
      <c r="A356" s="171"/>
      <c r="B356" s="167"/>
    </row>
    <row r="357" spans="1:2" x14ac:dyDescent="0.3">
      <c r="A357" s="171"/>
      <c r="B357" s="167"/>
    </row>
    <row r="358" spans="1:2" x14ac:dyDescent="0.3">
      <c r="A358" s="171"/>
      <c r="B358" s="167"/>
    </row>
    <row r="359" spans="1:2" x14ac:dyDescent="0.3">
      <c r="A359" s="171"/>
      <c r="B359" s="167"/>
    </row>
    <row r="360" spans="1:2" x14ac:dyDescent="0.3">
      <c r="A360" s="171"/>
      <c r="B360" s="167"/>
    </row>
    <row r="361" spans="1:2" x14ac:dyDescent="0.3">
      <c r="A361" s="171"/>
      <c r="B361" s="167"/>
    </row>
    <row r="362" spans="1:2" x14ac:dyDescent="0.3">
      <c r="A362" s="171"/>
      <c r="B362" s="167"/>
    </row>
    <row r="363" spans="1:2" x14ac:dyDescent="0.3">
      <c r="A363" s="171"/>
      <c r="B363" s="167"/>
    </row>
    <row r="364" spans="1:2" x14ac:dyDescent="0.3">
      <c r="A364" s="171"/>
      <c r="B364" s="167"/>
    </row>
    <row r="365" spans="1:2" x14ac:dyDescent="0.3">
      <c r="A365" s="171"/>
      <c r="B365" s="167"/>
    </row>
    <row r="366" spans="1:2" x14ac:dyDescent="0.3">
      <c r="A366" s="171"/>
      <c r="B366" s="167"/>
    </row>
    <row r="367" spans="1:2" x14ac:dyDescent="0.3">
      <c r="A367" s="171"/>
      <c r="B367" s="167"/>
    </row>
    <row r="368" spans="1:2" x14ac:dyDescent="0.3">
      <c r="A368" s="171"/>
      <c r="B368" s="167"/>
    </row>
    <row r="369" spans="1:2" x14ac:dyDescent="0.3">
      <c r="A369" s="171"/>
      <c r="B369" s="167"/>
    </row>
    <row r="370" spans="1:2" x14ac:dyDescent="0.3">
      <c r="A370" s="171"/>
      <c r="B370" s="167"/>
    </row>
    <row r="371" spans="1:2" x14ac:dyDescent="0.3">
      <c r="A371" s="171"/>
      <c r="B371" s="167"/>
    </row>
    <row r="372" spans="1:2" x14ac:dyDescent="0.3">
      <c r="A372" s="171"/>
      <c r="B372" s="167"/>
    </row>
    <row r="373" spans="1:2" x14ac:dyDescent="0.3">
      <c r="A373" s="171"/>
      <c r="B373" s="167"/>
    </row>
    <row r="374" spans="1:2" x14ac:dyDescent="0.3">
      <c r="A374" s="171"/>
      <c r="B374" s="167"/>
    </row>
    <row r="375" spans="1:2" x14ac:dyDescent="0.3">
      <c r="A375" s="171"/>
      <c r="B375" s="167"/>
    </row>
    <row r="376" spans="1:2" x14ac:dyDescent="0.3">
      <c r="A376" s="171"/>
      <c r="B376" s="167"/>
    </row>
    <row r="377" spans="1:2" x14ac:dyDescent="0.3">
      <c r="A377" s="171"/>
      <c r="B377" s="167"/>
    </row>
    <row r="378" spans="1:2" x14ac:dyDescent="0.3">
      <c r="A378" s="171"/>
      <c r="B378" s="167"/>
    </row>
    <row r="379" spans="1:2" x14ac:dyDescent="0.3">
      <c r="A379" s="171"/>
      <c r="B379" s="167"/>
    </row>
    <row r="380" spans="1:2" x14ac:dyDescent="0.3">
      <c r="A380" s="171"/>
      <c r="B380" s="167"/>
    </row>
    <row r="381" spans="1:2" x14ac:dyDescent="0.3">
      <c r="A381" s="171"/>
      <c r="B381" s="167"/>
    </row>
    <row r="382" spans="1:2" x14ac:dyDescent="0.3">
      <c r="A382" s="171"/>
      <c r="B382" s="167"/>
    </row>
    <row r="383" spans="1:2" x14ac:dyDescent="0.3">
      <c r="A383" s="171"/>
      <c r="B383" s="167"/>
    </row>
    <row r="384" spans="1:2" x14ac:dyDescent="0.3">
      <c r="A384" s="171"/>
      <c r="B384" s="167"/>
    </row>
    <row r="385" spans="1:2" x14ac:dyDescent="0.3">
      <c r="A385" s="171"/>
      <c r="B385" s="167"/>
    </row>
    <row r="386" spans="1:2" x14ac:dyDescent="0.3">
      <c r="A386" s="171"/>
      <c r="B386" s="167"/>
    </row>
    <row r="387" spans="1:2" x14ac:dyDescent="0.3">
      <c r="A387" s="171"/>
      <c r="B387" s="167"/>
    </row>
    <row r="388" spans="1:2" x14ac:dyDescent="0.3">
      <c r="A388" s="171"/>
      <c r="B388" s="167"/>
    </row>
    <row r="389" spans="1:2" x14ac:dyDescent="0.3">
      <c r="A389" s="171"/>
      <c r="B389" s="167"/>
    </row>
    <row r="390" spans="1:2" x14ac:dyDescent="0.3">
      <c r="A390" s="171"/>
      <c r="B390" s="167"/>
    </row>
    <row r="391" spans="1:2" x14ac:dyDescent="0.3">
      <c r="A391" s="171"/>
      <c r="B391" s="167"/>
    </row>
    <row r="392" spans="1:2" x14ac:dyDescent="0.3">
      <c r="A392" s="171"/>
      <c r="B392" s="167"/>
    </row>
    <row r="393" spans="1:2" x14ac:dyDescent="0.3">
      <c r="A393" s="171"/>
      <c r="B393" s="167"/>
    </row>
    <row r="394" spans="1:2" x14ac:dyDescent="0.3">
      <c r="A394" s="171"/>
      <c r="B394" s="167"/>
    </row>
    <row r="395" spans="1:2" x14ac:dyDescent="0.3">
      <c r="A395" s="171"/>
      <c r="B395" s="167"/>
    </row>
    <row r="396" spans="1:2" x14ac:dyDescent="0.3">
      <c r="A396" s="171"/>
      <c r="B396" s="167"/>
    </row>
    <row r="397" spans="1:2" x14ac:dyDescent="0.3">
      <c r="A397" s="171"/>
      <c r="B397" s="167"/>
    </row>
    <row r="398" spans="1:2" x14ac:dyDescent="0.3">
      <c r="A398" s="171"/>
      <c r="B398" s="167"/>
    </row>
    <row r="399" spans="1:2" x14ac:dyDescent="0.3">
      <c r="A399" s="171"/>
      <c r="B399" s="167"/>
    </row>
    <row r="400" spans="1:2" x14ac:dyDescent="0.3">
      <c r="A400" s="171"/>
      <c r="B400" s="167"/>
    </row>
    <row r="401" spans="1:2" x14ac:dyDescent="0.3">
      <c r="A401" s="171"/>
      <c r="B401" s="167"/>
    </row>
    <row r="402" spans="1:2" x14ac:dyDescent="0.3">
      <c r="A402" s="171"/>
      <c r="B402" s="167"/>
    </row>
    <row r="403" spans="1:2" x14ac:dyDescent="0.3">
      <c r="A403" s="171"/>
      <c r="B403" s="167"/>
    </row>
    <row r="404" spans="1:2" x14ac:dyDescent="0.3">
      <c r="A404" s="171"/>
      <c r="B404" s="167"/>
    </row>
    <row r="405" spans="1:2" x14ac:dyDescent="0.3">
      <c r="A405" s="171"/>
      <c r="B405" s="167"/>
    </row>
    <row r="406" spans="1:2" x14ac:dyDescent="0.3">
      <c r="A406" s="171"/>
      <c r="B406" s="167"/>
    </row>
    <row r="407" spans="1:2" x14ac:dyDescent="0.3">
      <c r="A407" s="171"/>
      <c r="B407" s="167"/>
    </row>
    <row r="408" spans="1:2" x14ac:dyDescent="0.3">
      <c r="A408" s="171"/>
      <c r="B408" s="167"/>
    </row>
    <row r="409" spans="1:2" x14ac:dyDescent="0.3">
      <c r="A409" s="171"/>
      <c r="B409" s="167"/>
    </row>
    <row r="410" spans="1:2" x14ac:dyDescent="0.3">
      <c r="A410" s="171"/>
      <c r="B410" s="167"/>
    </row>
    <row r="411" spans="1:2" x14ac:dyDescent="0.3">
      <c r="A411" s="171"/>
      <c r="B411" s="167"/>
    </row>
    <row r="412" spans="1:2" x14ac:dyDescent="0.3">
      <c r="A412" s="171"/>
      <c r="B412" s="167"/>
    </row>
    <row r="413" spans="1:2" x14ac:dyDescent="0.3">
      <c r="A413" s="171"/>
      <c r="B413" s="167"/>
    </row>
    <row r="414" spans="1:2" x14ac:dyDescent="0.3">
      <c r="A414" s="171"/>
      <c r="B414" s="167"/>
    </row>
    <row r="415" spans="1:2" x14ac:dyDescent="0.3">
      <c r="A415" s="171"/>
      <c r="B415" s="167"/>
    </row>
    <row r="416" spans="1:2" x14ac:dyDescent="0.3">
      <c r="A416" s="171"/>
      <c r="B416" s="167"/>
    </row>
    <row r="417" spans="1:2" x14ac:dyDescent="0.3">
      <c r="A417" s="171"/>
      <c r="B417" s="167"/>
    </row>
    <row r="418" spans="1:2" x14ac:dyDescent="0.3">
      <c r="A418" s="171"/>
      <c r="B418" s="167"/>
    </row>
    <row r="419" spans="1:2" x14ac:dyDescent="0.3">
      <c r="A419" s="171"/>
      <c r="B419" s="167"/>
    </row>
    <row r="420" spans="1:2" x14ac:dyDescent="0.3">
      <c r="A420" s="171"/>
      <c r="B420" s="167"/>
    </row>
    <row r="421" spans="1:2" x14ac:dyDescent="0.3">
      <c r="A421" s="171"/>
      <c r="B421" s="167"/>
    </row>
    <row r="422" spans="1:2" x14ac:dyDescent="0.3">
      <c r="A422" s="171"/>
      <c r="B422" s="167"/>
    </row>
    <row r="423" spans="1:2" x14ac:dyDescent="0.3">
      <c r="A423" s="171"/>
      <c r="B423" s="167"/>
    </row>
    <row r="424" spans="1:2" x14ac:dyDescent="0.3">
      <c r="A424" s="171"/>
      <c r="B424" s="167"/>
    </row>
    <row r="425" spans="1:2" x14ac:dyDescent="0.3">
      <c r="A425" s="171"/>
      <c r="B425" s="167"/>
    </row>
    <row r="426" spans="1:2" x14ac:dyDescent="0.3">
      <c r="A426" s="171"/>
      <c r="B426" s="167"/>
    </row>
    <row r="427" spans="1:2" x14ac:dyDescent="0.3">
      <c r="A427" s="171"/>
      <c r="B427" s="167"/>
    </row>
    <row r="428" spans="1:2" x14ac:dyDescent="0.3">
      <c r="A428" s="171"/>
      <c r="B428" s="167"/>
    </row>
    <row r="429" spans="1:2" x14ac:dyDescent="0.3">
      <c r="A429" s="171"/>
      <c r="B429" s="167"/>
    </row>
    <row r="430" spans="1:2" x14ac:dyDescent="0.3">
      <c r="A430" s="171"/>
      <c r="B430" s="167"/>
    </row>
    <row r="431" spans="1:2" x14ac:dyDescent="0.3">
      <c r="A431" s="171"/>
      <c r="B431" s="167"/>
    </row>
    <row r="432" spans="1:2" x14ac:dyDescent="0.3">
      <c r="A432" s="171"/>
      <c r="B432" s="167"/>
    </row>
    <row r="433" spans="1:2" x14ac:dyDescent="0.3">
      <c r="A433" s="171"/>
      <c r="B433" s="167"/>
    </row>
    <row r="434" spans="1:2" x14ac:dyDescent="0.3">
      <c r="A434" s="171"/>
      <c r="B434" s="167"/>
    </row>
    <row r="435" spans="1:2" x14ac:dyDescent="0.3">
      <c r="A435" s="171"/>
      <c r="B435" s="167"/>
    </row>
    <row r="436" spans="1:2" x14ac:dyDescent="0.3">
      <c r="A436" s="171"/>
      <c r="B436" s="167"/>
    </row>
    <row r="437" spans="1:2" x14ac:dyDescent="0.3">
      <c r="A437" s="171"/>
      <c r="B437" s="167"/>
    </row>
    <row r="438" spans="1:2" x14ac:dyDescent="0.3">
      <c r="A438" s="171"/>
      <c r="B438" s="167"/>
    </row>
    <row r="439" spans="1:2" x14ac:dyDescent="0.3">
      <c r="A439" s="171"/>
      <c r="B439" s="167"/>
    </row>
    <row r="440" spans="1:2" x14ac:dyDescent="0.3">
      <c r="A440" s="171"/>
      <c r="B440" s="167"/>
    </row>
    <row r="441" spans="1:2" x14ac:dyDescent="0.3">
      <c r="A441" s="171"/>
      <c r="B441" s="167"/>
    </row>
    <row r="442" spans="1:2" x14ac:dyDescent="0.3">
      <c r="A442" s="171"/>
      <c r="B442" s="167"/>
    </row>
    <row r="443" spans="1:2" x14ac:dyDescent="0.3">
      <c r="A443" s="171"/>
      <c r="B443" s="167"/>
    </row>
    <row r="444" spans="1:2" x14ac:dyDescent="0.3">
      <c r="A444" s="171"/>
      <c r="B444" s="167"/>
    </row>
    <row r="445" spans="1:2" x14ac:dyDescent="0.3">
      <c r="A445" s="171"/>
      <c r="B445" s="167"/>
    </row>
    <row r="446" spans="1:2" x14ac:dyDescent="0.3">
      <c r="A446" s="171"/>
      <c r="B446" s="167"/>
    </row>
    <row r="447" spans="1:2" x14ac:dyDescent="0.3">
      <c r="A447" s="171"/>
      <c r="B447" s="167"/>
    </row>
    <row r="448" spans="1:2" x14ac:dyDescent="0.3">
      <c r="A448" s="171"/>
      <c r="B448" s="167"/>
    </row>
    <row r="449" spans="1:2" x14ac:dyDescent="0.3">
      <c r="A449" s="171"/>
      <c r="B449" s="167"/>
    </row>
    <row r="450" spans="1:2" x14ac:dyDescent="0.3">
      <c r="A450" s="171"/>
      <c r="B450" s="167"/>
    </row>
    <row r="451" spans="1:2" x14ac:dyDescent="0.3">
      <c r="A451" s="171"/>
      <c r="B451" s="167"/>
    </row>
    <row r="452" spans="1:2" x14ac:dyDescent="0.3">
      <c r="A452" s="171"/>
      <c r="B452" s="167"/>
    </row>
    <row r="453" spans="1:2" x14ac:dyDescent="0.3">
      <c r="A453" s="171"/>
      <c r="B453" s="167"/>
    </row>
    <row r="454" spans="1:2" x14ac:dyDescent="0.3">
      <c r="A454" s="171"/>
      <c r="B454" s="167"/>
    </row>
    <row r="455" spans="1:2" x14ac:dyDescent="0.3">
      <c r="A455" s="171"/>
      <c r="B455" s="167"/>
    </row>
    <row r="456" spans="1:2" x14ac:dyDescent="0.3">
      <c r="A456" s="171"/>
      <c r="B456" s="167"/>
    </row>
    <row r="457" spans="1:2" x14ac:dyDescent="0.3">
      <c r="A457" s="171"/>
      <c r="B457" s="167"/>
    </row>
    <row r="458" spans="1:2" x14ac:dyDescent="0.3">
      <c r="A458" s="171"/>
      <c r="B458" s="167"/>
    </row>
    <row r="459" spans="1:2" x14ac:dyDescent="0.3">
      <c r="A459" s="171"/>
      <c r="B459" s="167"/>
    </row>
    <row r="460" spans="1:2" x14ac:dyDescent="0.3">
      <c r="A460" s="171"/>
      <c r="B460" s="167"/>
    </row>
    <row r="461" spans="1:2" x14ac:dyDescent="0.3">
      <c r="A461" s="171"/>
      <c r="B461" s="167"/>
    </row>
    <row r="462" spans="1:2" x14ac:dyDescent="0.3">
      <c r="A462" s="171"/>
      <c r="B462" s="167"/>
    </row>
    <row r="463" spans="1:2" x14ac:dyDescent="0.3">
      <c r="A463" s="171"/>
      <c r="B463" s="167"/>
    </row>
    <row r="464" spans="1:2" x14ac:dyDescent="0.3">
      <c r="A464" s="171"/>
      <c r="B464" s="167"/>
    </row>
    <row r="465" spans="1:2" x14ac:dyDescent="0.3">
      <c r="A465" s="171"/>
      <c r="B465" s="167"/>
    </row>
    <row r="466" spans="1:2" x14ac:dyDescent="0.3">
      <c r="A466" s="171"/>
      <c r="B466" s="167"/>
    </row>
    <row r="467" spans="1:2" x14ac:dyDescent="0.3">
      <c r="A467" s="171"/>
      <c r="B467" s="167"/>
    </row>
    <row r="468" spans="1:2" x14ac:dyDescent="0.3">
      <c r="A468" s="171"/>
      <c r="B468" s="167"/>
    </row>
    <row r="469" spans="1:2" x14ac:dyDescent="0.3">
      <c r="A469" s="171"/>
      <c r="B469" s="167"/>
    </row>
    <row r="470" spans="1:2" x14ac:dyDescent="0.3">
      <c r="A470" s="171"/>
      <c r="B470" s="167"/>
    </row>
    <row r="471" spans="1:2" x14ac:dyDescent="0.3">
      <c r="A471" s="171"/>
      <c r="B471" s="167"/>
    </row>
    <row r="472" spans="1:2" x14ac:dyDescent="0.3">
      <c r="A472" s="171"/>
      <c r="B472" s="167"/>
    </row>
    <row r="473" spans="1:2" x14ac:dyDescent="0.3">
      <c r="A473" s="171"/>
      <c r="B473" s="167"/>
    </row>
    <row r="474" spans="1:2" x14ac:dyDescent="0.3">
      <c r="A474" s="171"/>
      <c r="B474" s="167"/>
    </row>
    <row r="475" spans="1:2" x14ac:dyDescent="0.3">
      <c r="A475" s="171"/>
      <c r="B475" s="167"/>
    </row>
    <row r="476" spans="1:2" x14ac:dyDescent="0.3">
      <c r="A476" s="171"/>
      <c r="B476" s="167"/>
    </row>
    <row r="477" spans="1:2" x14ac:dyDescent="0.3">
      <c r="A477" s="171"/>
      <c r="B477" s="167"/>
    </row>
    <row r="478" spans="1:2" x14ac:dyDescent="0.3">
      <c r="A478" s="171"/>
      <c r="B478" s="167"/>
    </row>
    <row r="479" spans="1:2" x14ac:dyDescent="0.3">
      <c r="A479" s="171"/>
      <c r="B479" s="167"/>
    </row>
    <row r="480" spans="1:2" x14ac:dyDescent="0.3">
      <c r="A480" s="171"/>
      <c r="B480" s="167"/>
    </row>
    <row r="481" spans="1:2" x14ac:dyDescent="0.3">
      <c r="A481" s="171"/>
      <c r="B481" s="167"/>
    </row>
    <row r="482" spans="1:2" x14ac:dyDescent="0.3">
      <c r="A482" s="171"/>
      <c r="B482" s="167"/>
    </row>
    <row r="483" spans="1:2" x14ac:dyDescent="0.3">
      <c r="A483" s="171"/>
      <c r="B483" s="167"/>
    </row>
    <row r="484" spans="1:2" x14ac:dyDescent="0.3">
      <c r="A484" s="171"/>
      <c r="B484" s="167"/>
    </row>
    <row r="485" spans="1:2" x14ac:dyDescent="0.3">
      <c r="A485" s="171"/>
      <c r="B485" s="167"/>
    </row>
    <row r="486" spans="1:2" x14ac:dyDescent="0.3">
      <c r="A486" s="171"/>
      <c r="B486" s="167"/>
    </row>
    <row r="487" spans="1:2" x14ac:dyDescent="0.3">
      <c r="A487" s="171"/>
      <c r="B487" s="167"/>
    </row>
    <row r="488" spans="1:2" x14ac:dyDescent="0.3">
      <c r="A488" s="171"/>
      <c r="B488" s="167"/>
    </row>
    <row r="489" spans="1:2" x14ac:dyDescent="0.3">
      <c r="A489" s="171"/>
      <c r="B489" s="167"/>
    </row>
    <row r="490" spans="1:2" x14ac:dyDescent="0.3">
      <c r="A490" s="171"/>
      <c r="B490" s="167"/>
    </row>
    <row r="491" spans="1:2" x14ac:dyDescent="0.3">
      <c r="A491" s="171"/>
      <c r="B491" s="167"/>
    </row>
    <row r="492" spans="1:2" x14ac:dyDescent="0.3">
      <c r="A492" s="171"/>
      <c r="B492" s="172"/>
    </row>
    <row r="493" spans="1:2" x14ac:dyDescent="0.3">
      <c r="A493" s="171"/>
      <c r="B493" s="172"/>
    </row>
    <row r="494" spans="1:2" x14ac:dyDescent="0.3">
      <c r="A494" s="171"/>
      <c r="B494" s="172"/>
    </row>
    <row r="495" spans="1:2" x14ac:dyDescent="0.3">
      <c r="A495" s="171"/>
      <c r="B495" s="172"/>
    </row>
    <row r="496" spans="1:2" x14ac:dyDescent="0.3">
      <c r="A496" s="171"/>
      <c r="B496" s="172"/>
    </row>
    <row r="497" spans="1:2" x14ac:dyDescent="0.3">
      <c r="A497" s="171"/>
      <c r="B497" s="172"/>
    </row>
    <row r="498" spans="1:2" x14ac:dyDescent="0.3">
      <c r="A498" s="171"/>
      <c r="B498" s="172"/>
    </row>
    <row r="499" spans="1:2" x14ac:dyDescent="0.3">
      <c r="A499" s="171"/>
      <c r="B499" s="172"/>
    </row>
    <row r="500" spans="1:2" x14ac:dyDescent="0.3">
      <c r="A500" s="171"/>
      <c r="B500" s="172"/>
    </row>
    <row r="501" spans="1:2" x14ac:dyDescent="0.3">
      <c r="A501" s="171"/>
      <c r="B501" s="172"/>
    </row>
    <row r="502" spans="1:2" x14ac:dyDescent="0.3">
      <c r="A502" s="171"/>
      <c r="B502" s="172"/>
    </row>
    <row r="503" spans="1:2" x14ac:dyDescent="0.3">
      <c r="A503" s="171"/>
      <c r="B503" s="172"/>
    </row>
    <row r="504" spans="1:2" x14ac:dyDescent="0.3">
      <c r="A504" s="171"/>
      <c r="B504" s="172"/>
    </row>
    <row r="505" spans="1:2" x14ac:dyDescent="0.3">
      <c r="A505" s="171"/>
      <c r="B505" s="172"/>
    </row>
    <row r="506" spans="1:2" x14ac:dyDescent="0.3">
      <c r="A506" s="171"/>
      <c r="B506" s="172"/>
    </row>
    <row r="507" spans="1:2" x14ac:dyDescent="0.3">
      <c r="A507" s="171"/>
      <c r="B507" s="172"/>
    </row>
    <row r="508" spans="1:2" x14ac:dyDescent="0.3">
      <c r="A508" s="171"/>
      <c r="B508" s="172"/>
    </row>
    <row r="509" spans="1:2" x14ac:dyDescent="0.3">
      <c r="A509" s="171"/>
      <c r="B509" s="172"/>
    </row>
    <row r="510" spans="1:2" x14ac:dyDescent="0.3">
      <c r="A510" s="171"/>
      <c r="B510" s="172"/>
    </row>
    <row r="511" spans="1:2" x14ac:dyDescent="0.3">
      <c r="A511" s="171"/>
      <c r="B511" s="172"/>
    </row>
    <row r="512" spans="1:2" x14ac:dyDescent="0.3">
      <c r="A512" s="171"/>
      <c r="B512" s="172"/>
    </row>
    <row r="513" spans="1:2" x14ac:dyDescent="0.3">
      <c r="A513" s="171"/>
      <c r="B513" s="172"/>
    </row>
    <row r="514" spans="1:2" x14ac:dyDescent="0.3">
      <c r="A514" s="171"/>
      <c r="B514" s="172"/>
    </row>
    <row r="515" spans="1:2" x14ac:dyDescent="0.3">
      <c r="A515" s="171"/>
      <c r="B515" s="172"/>
    </row>
    <row r="516" spans="1:2" x14ac:dyDescent="0.3">
      <c r="A516" s="171"/>
      <c r="B516" s="172"/>
    </row>
    <row r="517" spans="1:2" x14ac:dyDescent="0.3">
      <c r="A517" s="171"/>
      <c r="B517" s="172"/>
    </row>
    <row r="518" spans="1:2" x14ac:dyDescent="0.3">
      <c r="A518" s="171"/>
      <c r="B518" s="172"/>
    </row>
    <row r="519" spans="1:2" x14ac:dyDescent="0.3">
      <c r="A519" s="171"/>
      <c r="B519" s="172"/>
    </row>
    <row r="520" spans="1:2" x14ac:dyDescent="0.3">
      <c r="A520" s="171"/>
      <c r="B520" s="172"/>
    </row>
    <row r="521" spans="1:2" x14ac:dyDescent="0.3">
      <c r="A521" s="171"/>
      <c r="B521" s="167"/>
    </row>
    <row r="522" spans="1:2" x14ac:dyDescent="0.3">
      <c r="A522" s="171"/>
      <c r="B522" s="167"/>
    </row>
    <row r="523" spans="1:2" x14ac:dyDescent="0.3">
      <c r="A523" s="171"/>
      <c r="B523" s="167"/>
    </row>
    <row r="524" spans="1:2" x14ac:dyDescent="0.3">
      <c r="A524" s="171"/>
      <c r="B524" s="167"/>
    </row>
    <row r="525" spans="1:2" x14ac:dyDescent="0.3">
      <c r="A525" s="171"/>
      <c r="B525" s="167"/>
    </row>
    <row r="526" spans="1:2" x14ac:dyDescent="0.3">
      <c r="A526" s="171"/>
      <c r="B526" s="167"/>
    </row>
    <row r="527" spans="1:2" x14ac:dyDescent="0.3">
      <c r="A527" s="171"/>
      <c r="B527" s="167"/>
    </row>
    <row r="528" spans="1:2" x14ac:dyDescent="0.3">
      <c r="A528" s="171"/>
      <c r="B528" s="167"/>
    </row>
    <row r="529" spans="1:2" x14ac:dyDescent="0.3">
      <c r="A529" s="171"/>
      <c r="B529" s="167"/>
    </row>
    <row r="530" spans="1:2" x14ac:dyDescent="0.3">
      <c r="A530" s="171"/>
      <c r="B530" s="167"/>
    </row>
    <row r="531" spans="1:2" x14ac:dyDescent="0.3">
      <c r="A531" s="171"/>
      <c r="B531" s="167"/>
    </row>
    <row r="532" spans="1:2" x14ac:dyDescent="0.3">
      <c r="A532" s="171"/>
      <c r="B532" s="167"/>
    </row>
    <row r="533" spans="1:2" x14ac:dyDescent="0.3">
      <c r="A533" s="171"/>
      <c r="B533" s="167"/>
    </row>
    <row r="534" spans="1:2" x14ac:dyDescent="0.3">
      <c r="A534" s="171"/>
      <c r="B534" s="167"/>
    </row>
    <row r="535" spans="1:2" x14ac:dyDescent="0.3">
      <c r="A535" s="171"/>
      <c r="B535" s="167"/>
    </row>
    <row r="536" spans="1:2" x14ac:dyDescent="0.3">
      <c r="A536" s="171"/>
      <c r="B536" s="167"/>
    </row>
    <row r="537" spans="1:2" x14ac:dyDescent="0.3">
      <c r="A537" s="171"/>
      <c r="B537" s="167"/>
    </row>
    <row r="538" spans="1:2" x14ac:dyDescent="0.3">
      <c r="A538" s="171"/>
      <c r="B538" s="167"/>
    </row>
    <row r="539" spans="1:2" x14ac:dyDescent="0.3">
      <c r="A539" s="171"/>
      <c r="B539" s="167"/>
    </row>
    <row r="540" spans="1:2" x14ac:dyDescent="0.3">
      <c r="A540" s="171"/>
      <c r="B540" s="167"/>
    </row>
    <row r="541" spans="1:2" x14ac:dyDescent="0.3">
      <c r="A541" s="171"/>
      <c r="B541" s="167"/>
    </row>
    <row r="542" spans="1:2" x14ac:dyDescent="0.3">
      <c r="A542" s="171"/>
      <c r="B542" s="167"/>
    </row>
    <row r="543" spans="1:2" x14ac:dyDescent="0.3">
      <c r="A543" s="171"/>
      <c r="B543" s="167"/>
    </row>
    <row r="544" spans="1:2" x14ac:dyDescent="0.3">
      <c r="A544" s="171"/>
      <c r="B544" s="167"/>
    </row>
    <row r="545" spans="1:2" x14ac:dyDescent="0.3">
      <c r="A545" s="171"/>
      <c r="B545" s="167"/>
    </row>
    <row r="546" spans="1:2" x14ac:dyDescent="0.3">
      <c r="A546" s="171"/>
      <c r="B546" s="167"/>
    </row>
    <row r="547" spans="1:2" x14ac:dyDescent="0.3">
      <c r="A547" s="171"/>
      <c r="B547" s="167"/>
    </row>
    <row r="548" spans="1:2" x14ac:dyDescent="0.3">
      <c r="A548" s="171"/>
      <c r="B548" s="167"/>
    </row>
    <row r="549" spans="1:2" x14ac:dyDescent="0.3">
      <c r="A549" s="171"/>
      <c r="B549" s="167"/>
    </row>
    <row r="550" spans="1:2" x14ac:dyDescent="0.3">
      <c r="A550" s="171"/>
      <c r="B550" s="167"/>
    </row>
    <row r="551" spans="1:2" x14ac:dyDescent="0.3">
      <c r="A551" s="171"/>
      <c r="B551" s="167"/>
    </row>
    <row r="552" spans="1:2" x14ac:dyDescent="0.3">
      <c r="A552" s="171"/>
      <c r="B552" s="167"/>
    </row>
    <row r="553" spans="1:2" x14ac:dyDescent="0.3">
      <c r="A553" s="171"/>
      <c r="B553" s="167"/>
    </row>
    <row r="554" spans="1:2" x14ac:dyDescent="0.3">
      <c r="A554" s="171"/>
      <c r="B554" s="167"/>
    </row>
    <row r="555" spans="1:2" x14ac:dyDescent="0.3">
      <c r="A555" s="171"/>
      <c r="B555" s="167"/>
    </row>
    <row r="556" spans="1:2" x14ac:dyDescent="0.3">
      <c r="A556" s="171"/>
      <c r="B556" s="167"/>
    </row>
    <row r="557" spans="1:2" x14ac:dyDescent="0.3">
      <c r="A557" s="171"/>
      <c r="B557" s="167"/>
    </row>
    <row r="558" spans="1:2" x14ac:dyDescent="0.3">
      <c r="A558" s="171"/>
      <c r="B558" s="167"/>
    </row>
    <row r="559" spans="1:2" x14ac:dyDescent="0.3">
      <c r="A559" s="171"/>
      <c r="B559" s="167"/>
    </row>
    <row r="560" spans="1:2" x14ac:dyDescent="0.3">
      <c r="A560" s="171"/>
      <c r="B560" s="167"/>
    </row>
    <row r="561" spans="1:2" x14ac:dyDescent="0.3">
      <c r="A561" s="171"/>
      <c r="B561" s="167"/>
    </row>
    <row r="562" spans="1:2" x14ac:dyDescent="0.3">
      <c r="A562" s="171"/>
      <c r="B562" s="167"/>
    </row>
    <row r="563" spans="1:2" x14ac:dyDescent="0.3">
      <c r="A563" s="171"/>
      <c r="B563" s="167"/>
    </row>
    <row r="564" spans="1:2" x14ac:dyDescent="0.3">
      <c r="A564" s="171"/>
      <c r="B564" s="167"/>
    </row>
    <row r="565" spans="1:2" x14ac:dyDescent="0.3">
      <c r="A565" s="171"/>
      <c r="B565" s="167"/>
    </row>
    <row r="566" spans="1:2" x14ac:dyDescent="0.3">
      <c r="A566" s="171"/>
      <c r="B566" s="167"/>
    </row>
    <row r="567" spans="1:2" x14ac:dyDescent="0.3">
      <c r="A567" s="171"/>
      <c r="B567" s="167"/>
    </row>
    <row r="568" spans="1:2" x14ac:dyDescent="0.3">
      <c r="A568" s="171"/>
      <c r="B568" s="167"/>
    </row>
    <row r="569" spans="1:2" x14ac:dyDescent="0.3">
      <c r="A569" s="171"/>
      <c r="B569" s="167"/>
    </row>
    <row r="570" spans="1:2" x14ac:dyDescent="0.3">
      <c r="A570" s="171"/>
      <c r="B570" s="167"/>
    </row>
    <row r="571" spans="1:2" x14ac:dyDescent="0.3">
      <c r="A571" s="171"/>
      <c r="B571" s="167"/>
    </row>
    <row r="572" spans="1:2" x14ac:dyDescent="0.3">
      <c r="A572" s="171"/>
      <c r="B572" s="167"/>
    </row>
    <row r="573" spans="1:2" x14ac:dyDescent="0.3">
      <c r="A573" s="171"/>
      <c r="B573" s="167"/>
    </row>
    <row r="574" spans="1:2" x14ac:dyDescent="0.3">
      <c r="A574" s="171"/>
      <c r="B574" s="167"/>
    </row>
    <row r="575" spans="1:2" x14ac:dyDescent="0.3">
      <c r="A575" s="171"/>
      <c r="B575" s="167"/>
    </row>
    <row r="576" spans="1:2" x14ac:dyDescent="0.3">
      <c r="A576" s="171"/>
      <c r="B576" s="167"/>
    </row>
    <row r="577" spans="1:2" x14ac:dyDescent="0.3">
      <c r="A577" s="171"/>
      <c r="B577" s="167"/>
    </row>
    <row r="578" spans="1:2" x14ac:dyDescent="0.3">
      <c r="A578" s="171"/>
      <c r="B578" s="167"/>
    </row>
    <row r="579" spans="1:2" x14ac:dyDescent="0.3">
      <c r="A579" s="171"/>
      <c r="B579" s="167"/>
    </row>
    <row r="580" spans="1:2" x14ac:dyDescent="0.3">
      <c r="A580" s="171"/>
      <c r="B580" s="167"/>
    </row>
    <row r="581" spans="1:2" x14ac:dyDescent="0.3">
      <c r="A581" s="171"/>
      <c r="B581" s="167"/>
    </row>
    <row r="582" spans="1:2" x14ac:dyDescent="0.3">
      <c r="A582" s="171"/>
      <c r="B582" s="167"/>
    </row>
    <row r="583" spans="1:2" x14ac:dyDescent="0.3">
      <c r="A583" s="171"/>
      <c r="B583" s="167"/>
    </row>
    <row r="584" spans="1:2" x14ac:dyDescent="0.3">
      <c r="A584" s="171"/>
      <c r="B584" s="167"/>
    </row>
    <row r="585" spans="1:2" x14ac:dyDescent="0.3">
      <c r="A585" s="171"/>
      <c r="B585" s="167"/>
    </row>
    <row r="586" spans="1:2" x14ac:dyDescent="0.3">
      <c r="A586" s="171"/>
      <c r="B586" s="167"/>
    </row>
    <row r="587" spans="1:2" x14ac:dyDescent="0.3">
      <c r="A587" s="171"/>
      <c r="B587" s="167"/>
    </row>
    <row r="588" spans="1:2" x14ac:dyDescent="0.3">
      <c r="A588" s="171"/>
      <c r="B588" s="167"/>
    </row>
    <row r="589" spans="1:2" x14ac:dyDescent="0.3">
      <c r="A589" s="171"/>
      <c r="B589" s="167"/>
    </row>
    <row r="590" spans="1:2" x14ac:dyDescent="0.3">
      <c r="A590" s="171"/>
      <c r="B590" s="167"/>
    </row>
    <row r="591" spans="1:2" x14ac:dyDescent="0.3">
      <c r="A591" s="171"/>
      <c r="B591" s="167"/>
    </row>
    <row r="592" spans="1:2" x14ac:dyDescent="0.3">
      <c r="A592" s="171"/>
      <c r="B592" s="167"/>
    </row>
    <row r="593" spans="1:2" x14ac:dyDescent="0.3">
      <c r="A593" s="171"/>
      <c r="B593" s="167"/>
    </row>
    <row r="594" spans="1:2" x14ac:dyDescent="0.3">
      <c r="A594" s="171"/>
      <c r="B594" s="167"/>
    </row>
    <row r="595" spans="1:2" x14ac:dyDescent="0.3">
      <c r="A595" s="171"/>
      <c r="B595" s="167"/>
    </row>
    <row r="596" spans="1:2" x14ac:dyDescent="0.3">
      <c r="A596" s="171"/>
      <c r="B596" s="167"/>
    </row>
    <row r="597" spans="1:2" x14ac:dyDescent="0.3">
      <c r="A597" s="171"/>
      <c r="B597" s="167"/>
    </row>
    <row r="598" spans="1:2" x14ac:dyDescent="0.3">
      <c r="A598" s="171"/>
      <c r="B598" s="167"/>
    </row>
    <row r="599" spans="1:2" x14ac:dyDescent="0.3">
      <c r="A599" s="171"/>
      <c r="B599" s="167"/>
    </row>
    <row r="600" spans="1:2" x14ac:dyDescent="0.3">
      <c r="A600" s="171"/>
      <c r="B600" s="167"/>
    </row>
    <row r="601" spans="1:2" x14ac:dyDescent="0.3">
      <c r="A601" s="171"/>
      <c r="B601" s="167"/>
    </row>
    <row r="602" spans="1:2" x14ac:dyDescent="0.3">
      <c r="A602" s="171"/>
      <c r="B602" s="167"/>
    </row>
    <row r="603" spans="1:2" x14ac:dyDescent="0.3">
      <c r="A603" s="171"/>
      <c r="B603" s="167"/>
    </row>
    <row r="604" spans="1:2" x14ac:dyDescent="0.3">
      <c r="A604" s="171"/>
      <c r="B604" s="167"/>
    </row>
    <row r="605" spans="1:2" x14ac:dyDescent="0.3">
      <c r="A605" s="171"/>
      <c r="B605" s="167"/>
    </row>
    <row r="606" spans="1:2" x14ac:dyDescent="0.3">
      <c r="A606" s="171"/>
      <c r="B606" s="167"/>
    </row>
    <row r="607" spans="1:2" x14ac:dyDescent="0.3">
      <c r="A607" s="171"/>
      <c r="B607" s="167"/>
    </row>
    <row r="608" spans="1:2" x14ac:dyDescent="0.3">
      <c r="A608" s="171"/>
      <c r="B608" s="167"/>
    </row>
    <row r="609" spans="1:2" x14ac:dyDescent="0.3">
      <c r="A609" s="171"/>
      <c r="B609" s="167"/>
    </row>
    <row r="610" spans="1:2" x14ac:dyDescent="0.3">
      <c r="A610" s="171"/>
      <c r="B610" s="167"/>
    </row>
    <row r="611" spans="1:2" x14ac:dyDescent="0.3">
      <c r="A611" s="171"/>
      <c r="B611" s="167"/>
    </row>
    <row r="612" spans="1:2" x14ac:dyDescent="0.3">
      <c r="A612" s="171"/>
      <c r="B612" s="167"/>
    </row>
    <row r="613" spans="1:2" x14ac:dyDescent="0.3">
      <c r="A613" s="171"/>
      <c r="B613" s="173"/>
    </row>
    <row r="614" spans="1:2" x14ac:dyDescent="0.3">
      <c r="A614" s="171"/>
      <c r="B614" s="173"/>
    </row>
    <row r="615" spans="1:2" x14ac:dyDescent="0.3">
      <c r="A615" s="171"/>
      <c r="B615" s="173"/>
    </row>
    <row r="616" spans="1:2" x14ac:dyDescent="0.3">
      <c r="A616" s="171"/>
      <c r="B616" s="173"/>
    </row>
    <row r="617" spans="1:2" x14ac:dyDescent="0.3">
      <c r="A617" s="171"/>
      <c r="B617" s="173"/>
    </row>
    <row r="618" spans="1:2" x14ac:dyDescent="0.3">
      <c r="A618" s="171"/>
      <c r="B618" s="173"/>
    </row>
    <row r="619" spans="1:2" x14ac:dyDescent="0.3">
      <c r="A619" s="171"/>
      <c r="B619" s="173"/>
    </row>
    <row r="620" spans="1:2" x14ac:dyDescent="0.3">
      <c r="A620" s="171"/>
      <c r="B620" s="173"/>
    </row>
    <row r="621" spans="1:2" x14ac:dyDescent="0.3">
      <c r="A621" s="171"/>
      <c r="B621" s="173"/>
    </row>
    <row r="622" spans="1:2" x14ac:dyDescent="0.3">
      <c r="A622" s="171"/>
      <c r="B622" s="173"/>
    </row>
    <row r="623" spans="1:2" x14ac:dyDescent="0.3">
      <c r="A623" s="171"/>
      <c r="B623" s="173"/>
    </row>
    <row r="624" spans="1:2" x14ac:dyDescent="0.3">
      <c r="A624" s="171"/>
      <c r="B624" s="173"/>
    </row>
    <row r="625" spans="1:2" x14ac:dyDescent="0.3">
      <c r="A625" s="171"/>
      <c r="B625" s="173"/>
    </row>
    <row r="626" spans="1:2" x14ac:dyDescent="0.3">
      <c r="A626" s="171"/>
      <c r="B626" s="173"/>
    </row>
    <row r="627" spans="1:2" x14ac:dyDescent="0.3">
      <c r="A627" s="171"/>
      <c r="B627" s="173"/>
    </row>
    <row r="628" spans="1:2" x14ac:dyDescent="0.3">
      <c r="A628" s="171"/>
      <c r="B628" s="173"/>
    </row>
    <row r="629" spans="1:2" x14ac:dyDescent="0.3">
      <c r="A629" s="171"/>
      <c r="B629" s="173"/>
    </row>
    <row r="630" spans="1:2" x14ac:dyDescent="0.3">
      <c r="A630" s="171"/>
      <c r="B630" s="173"/>
    </row>
    <row r="631" spans="1:2" x14ac:dyDescent="0.3">
      <c r="A631" s="171"/>
      <c r="B631" s="173"/>
    </row>
    <row r="632" spans="1:2" x14ac:dyDescent="0.3">
      <c r="A632" s="171"/>
      <c r="B632" s="173"/>
    </row>
    <row r="633" spans="1:2" x14ac:dyDescent="0.3">
      <c r="A633" s="171"/>
      <c r="B633" s="173"/>
    </row>
    <row r="634" spans="1:2" x14ac:dyDescent="0.3">
      <c r="A634" s="171"/>
      <c r="B634" s="173"/>
    </row>
    <row r="635" spans="1:2" x14ac:dyDescent="0.3">
      <c r="A635" s="171"/>
      <c r="B635" s="173"/>
    </row>
    <row r="636" spans="1:2" x14ac:dyDescent="0.3">
      <c r="A636" s="171"/>
      <c r="B636" s="173"/>
    </row>
    <row r="637" spans="1:2" x14ac:dyDescent="0.3">
      <c r="A637" s="171"/>
      <c r="B637" s="173"/>
    </row>
    <row r="638" spans="1:2" x14ac:dyDescent="0.3">
      <c r="A638" s="171"/>
      <c r="B638" s="173"/>
    </row>
    <row r="639" spans="1:2" x14ac:dyDescent="0.3">
      <c r="A639" s="171"/>
      <c r="B639" s="173"/>
    </row>
    <row r="640" spans="1:2" x14ac:dyDescent="0.3">
      <c r="A640" s="171"/>
      <c r="B640" s="173"/>
    </row>
    <row r="641" spans="1:2" x14ac:dyDescent="0.3">
      <c r="A641" s="171"/>
      <c r="B641" s="173"/>
    </row>
    <row r="642" spans="1:2" x14ac:dyDescent="0.3">
      <c r="A642" s="171"/>
      <c r="B642" s="173"/>
    </row>
  </sheetData>
  <mergeCells count="3">
    <mergeCell ref="A1:D1"/>
    <mergeCell ref="F1:I1"/>
    <mergeCell ref="K1:N1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297967-3957-47c4-b77d-75b12fad423d" xsi:nil="true"/>
    <lcf76f155ced4ddcb4097134ff3c332f xmlns="d5b8b9a1-cb52-44e3-8b4c-48902e4d881c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7c45bcf40b9e13c7cce7e675b5220526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2a9debc468e3824d6c603edddebfc736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93CA3BF-027C-4F3A-962A-10D561FC2E6E}">
  <ds:schemaRefs>
    <ds:schemaRef ds:uri="http://schemas.microsoft.com/office/2006/metadata/properties"/>
    <ds:schemaRef ds:uri="http://schemas.microsoft.com/office/infopath/2007/PartnerControls"/>
    <ds:schemaRef ds:uri="7d297967-3957-47c4-b77d-75b12fad423d"/>
    <ds:schemaRef ds:uri="d5b8b9a1-cb52-44e3-8b4c-48902e4d881c"/>
  </ds:schemaRefs>
</ds:datastoreItem>
</file>

<file path=customXml/itemProps4.xml><?xml version="1.0" encoding="utf-8"?>
<ds:datastoreItem xmlns:ds="http://schemas.openxmlformats.org/officeDocument/2006/customXml" ds:itemID="{0CED14EC-0DD6-4D0E-9E9B-DC43F38082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Crocodile (Main)</vt:lpstr>
      <vt:lpstr>Sabie (Main)</vt:lpstr>
      <vt:lpstr>Sand workbook (Main)</vt:lpstr>
      <vt:lpstr>Assegai (Main)</vt:lpstr>
      <vt:lpstr>Ngwempisi (Main)</vt:lpstr>
      <vt:lpstr>Lower Komati (Main)</vt:lpstr>
      <vt:lpstr>Upper Komati (Main)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Sebonelo Mathonsi</cp:lastModifiedBy>
  <cp:revision/>
  <dcterms:created xsi:type="dcterms:W3CDTF">2024-06-21T06:56:18Z</dcterms:created>
  <dcterms:modified xsi:type="dcterms:W3CDTF">2026-07-03T12:04:07Z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0x01010099DF787B78BADE49A4F802AF803BF942</vt:lpwstr>
  </property>
  <property fmtid="{D5CDD505-2E9C-101B-9397-08002B2CF9AE}" pid="3" name="MediaServiceImageTags">
    <vt:lpwstr/>
  </property>
</Properties>
</file>