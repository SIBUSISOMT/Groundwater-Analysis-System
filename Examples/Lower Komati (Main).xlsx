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busi\OneDrive\Desktop\Groundwater-Analysis-System\Examples\"/>
    </mc:Choice>
  </mc:AlternateContent>
  <xr:revisionPtr revIDLastSave="0" documentId="13_ncr:1_{8245D024-D9B7-4826-BB41-D3B725CDE27D}" xr6:coauthVersionLast="47" xr6:coauthVersionMax="47" xr10:uidLastSave="{00000000-0000-0000-0000-000000000000}"/>
  <bookViews>
    <workbookView xWindow="-108" yWindow="-108" windowWidth="23256" windowHeight="12456" xr2:uid="{CAC6A23A-ABFB-4F7C-A645-D659136DC523}"/>
  </bookViews>
  <sheets>
    <sheet name="Lower Komati Monthly (Main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G2" i="1" s="1"/>
  <c r="B19" i="1"/>
  <c r="L18" i="1"/>
  <c r="L8" i="1"/>
  <c r="L6" i="1"/>
  <c r="H30" i="1" l="1"/>
  <c r="H16" i="1"/>
  <c r="H7" i="1"/>
  <c r="H40" i="1"/>
  <c r="H25" i="1"/>
  <c r="H12" i="1"/>
  <c r="H39" i="1"/>
  <c r="H35" i="1"/>
  <c r="H21" i="1"/>
  <c r="H44" i="1"/>
  <c r="H36" i="1"/>
  <c r="H43" i="1"/>
  <c r="M18" i="1"/>
  <c r="M8" i="1"/>
  <c r="D2" i="1"/>
  <c r="H34" i="1"/>
  <c r="B2" i="1"/>
  <c r="C19" i="1" s="1"/>
  <c r="D19" i="1" s="1"/>
  <c r="L2" i="1"/>
  <c r="M31" i="1" s="1"/>
  <c r="M36" i="1"/>
  <c r="M40" i="1"/>
  <c r="H6" i="1"/>
  <c r="H9" i="1"/>
  <c r="C12" i="1"/>
  <c r="H17" i="1"/>
  <c r="H22" i="1"/>
  <c r="I2" i="1"/>
  <c r="H8" i="1"/>
  <c r="C37" i="1"/>
  <c r="H38" i="1"/>
  <c r="C41" i="1"/>
  <c r="H42" i="1"/>
  <c r="M43" i="1"/>
  <c r="N43" i="1" s="1"/>
  <c r="M22" i="1"/>
  <c r="M26" i="1"/>
  <c r="N2" i="1"/>
  <c r="N31" i="1" s="1"/>
  <c r="C7" i="1"/>
  <c r="M34" i="1"/>
  <c r="N34" i="1" s="1"/>
  <c r="H37" i="1"/>
  <c r="M38" i="1"/>
  <c r="C40" i="1"/>
  <c r="H41" i="1"/>
  <c r="M42" i="1"/>
  <c r="C44" i="1"/>
  <c r="M9" i="1"/>
  <c r="N9" i="1" s="1"/>
  <c r="H29" i="1"/>
  <c r="C32" i="1"/>
  <c r="H33" i="1"/>
  <c r="C4" i="1"/>
  <c r="H5" i="1"/>
  <c r="C10" i="1"/>
  <c r="H11" i="1"/>
  <c r="H15" i="1"/>
  <c r="M16" i="1"/>
  <c r="C18" i="1"/>
  <c r="H20" i="1"/>
  <c r="M21" i="1"/>
  <c r="N21" i="1" s="1"/>
  <c r="C23" i="1"/>
  <c r="H24" i="1"/>
  <c r="C27" i="1"/>
  <c r="H28" i="1"/>
  <c r="M29" i="1"/>
  <c r="C31" i="1"/>
  <c r="H32" i="1"/>
  <c r="M33" i="1"/>
  <c r="N33" i="1" s="1"/>
  <c r="M41" i="1"/>
  <c r="H4" i="1"/>
  <c r="M5" i="1"/>
  <c r="C6" i="1"/>
  <c r="C9" i="1"/>
  <c r="H10" i="1"/>
  <c r="M11" i="1"/>
  <c r="N11" i="1" s="1"/>
  <c r="H14" i="1"/>
  <c r="M15" i="1"/>
  <c r="C17" i="1"/>
  <c r="H18" i="1"/>
  <c r="H19" i="1"/>
  <c r="M20" i="1"/>
  <c r="N20" i="1" s="1"/>
  <c r="C22" i="1"/>
  <c r="D22" i="1" s="1"/>
  <c r="H23" i="1"/>
  <c r="M24" i="1"/>
  <c r="C26" i="1"/>
  <c r="H27" i="1"/>
  <c r="M28" i="1"/>
  <c r="C30" i="1"/>
  <c r="H31" i="1"/>
  <c r="M32" i="1"/>
  <c r="N32" i="1" s="1"/>
  <c r="C34" i="1"/>
  <c r="M44" i="1"/>
  <c r="M7" i="1"/>
  <c r="M10" i="1"/>
  <c r="H13" i="1"/>
  <c r="C16" i="1"/>
  <c r="M19" i="1"/>
  <c r="N19" i="1" s="1"/>
  <c r="C21" i="1"/>
  <c r="D21" i="1" s="1"/>
  <c r="M23" i="1"/>
  <c r="C25" i="1"/>
  <c r="H26" i="1"/>
  <c r="M27" i="1"/>
  <c r="C29" i="1"/>
  <c r="D23" i="1" l="1"/>
  <c r="I32" i="1"/>
  <c r="D41" i="1"/>
  <c r="I17" i="1"/>
  <c r="N18" i="1"/>
  <c r="I12" i="1"/>
  <c r="I39" i="1"/>
  <c r="I19" i="1"/>
  <c r="N42" i="1"/>
  <c r="D29" i="1"/>
  <c r="I13" i="1"/>
  <c r="N28" i="1"/>
  <c r="I18" i="1"/>
  <c r="D6" i="1"/>
  <c r="N29" i="1"/>
  <c r="D18" i="1"/>
  <c r="D4" i="1"/>
  <c r="I41" i="1"/>
  <c r="M30" i="1"/>
  <c r="N30" i="1" s="1"/>
  <c r="M39" i="1"/>
  <c r="N39" i="1" s="1"/>
  <c r="M14" i="1"/>
  <c r="I25" i="1"/>
  <c r="D44" i="1"/>
  <c r="I22" i="1"/>
  <c r="D30" i="1"/>
  <c r="D31" i="1"/>
  <c r="I27" i="1"/>
  <c r="D17" i="1"/>
  <c r="I28" i="1"/>
  <c r="I33" i="1"/>
  <c r="D40" i="1"/>
  <c r="I38" i="1"/>
  <c r="D12" i="1"/>
  <c r="I43" i="1"/>
  <c r="I40" i="1"/>
  <c r="D10" i="1"/>
  <c r="D9" i="1"/>
  <c r="I26" i="1"/>
  <c r="D27" i="1"/>
  <c r="I15" i="1"/>
  <c r="D32" i="1"/>
  <c r="D37" i="1"/>
  <c r="I9" i="1"/>
  <c r="C33" i="1"/>
  <c r="D33" i="1" s="1"/>
  <c r="C43" i="1"/>
  <c r="D43" i="1" s="1"/>
  <c r="C35" i="1"/>
  <c r="D35" i="1" s="1"/>
  <c r="C5" i="1"/>
  <c r="D5" i="1" s="1"/>
  <c r="C15" i="1"/>
  <c r="D15" i="1" s="1"/>
  <c r="C42" i="1"/>
  <c r="D42" i="1" s="1"/>
  <c r="C24" i="1"/>
  <c r="D24" i="1" s="1"/>
  <c r="C11" i="1"/>
  <c r="D11" i="1" s="1"/>
  <c r="C39" i="1"/>
  <c r="D39" i="1" s="1"/>
  <c r="C38" i="1"/>
  <c r="D38" i="1" s="1"/>
  <c r="C20" i="1"/>
  <c r="D20" i="1" s="1"/>
  <c r="C8" i="1"/>
  <c r="D8" i="1" s="1"/>
  <c r="I36" i="1"/>
  <c r="I7" i="1"/>
  <c r="I11" i="1"/>
  <c r="I35" i="1"/>
  <c r="I10" i="1"/>
  <c r="I42" i="1"/>
  <c r="D16" i="1"/>
  <c r="I5" i="1"/>
  <c r="D26" i="1"/>
  <c r="D25" i="1"/>
  <c r="N44" i="1"/>
  <c r="N24" i="1"/>
  <c r="I14" i="1"/>
  <c r="N41" i="1"/>
  <c r="M25" i="1"/>
  <c r="N25" i="1" s="1"/>
  <c r="C14" i="1"/>
  <c r="D14" i="1" s="1"/>
  <c r="I29" i="1"/>
  <c r="I37" i="1"/>
  <c r="M17" i="1"/>
  <c r="N17" i="1" s="1"/>
  <c r="M35" i="1"/>
  <c r="N35" i="1" s="1"/>
  <c r="I6" i="1"/>
  <c r="M6" i="1"/>
  <c r="N6" i="1" s="1"/>
  <c r="I44" i="1"/>
  <c r="I16" i="1"/>
  <c r="I31" i="1"/>
  <c r="D7" i="1"/>
  <c r="I20" i="1"/>
  <c r="I4" i="1"/>
  <c r="N23" i="1"/>
  <c r="D34" i="1"/>
  <c r="I23" i="1"/>
  <c r="C13" i="1"/>
  <c r="D13" i="1" s="1"/>
  <c r="M37" i="1"/>
  <c r="N37" i="1" s="1"/>
  <c r="I24" i="1"/>
  <c r="M12" i="1"/>
  <c r="N12" i="1" s="1"/>
  <c r="C28" i="1"/>
  <c r="D28" i="1" s="1"/>
  <c r="C36" i="1"/>
  <c r="D36" i="1" s="1"/>
  <c r="M13" i="1"/>
  <c r="N13" i="1" s="1"/>
  <c r="I8" i="1"/>
  <c r="M4" i="1"/>
  <c r="N4" i="1" s="1"/>
  <c r="I34" i="1"/>
  <c r="I21" i="1"/>
  <c r="I30" i="1"/>
  <c r="N40" i="1"/>
  <c r="N36" i="1"/>
  <c r="N27" i="1"/>
  <c r="N10" i="1"/>
  <c r="N5" i="1"/>
  <c r="N16" i="1"/>
  <c r="N26" i="1"/>
  <c r="N14" i="1"/>
  <c r="N8" i="1"/>
  <c r="N7" i="1"/>
  <c r="N15" i="1"/>
  <c r="N38" i="1"/>
  <c r="N22" i="1"/>
</calcChain>
</file>

<file path=xl/sharedStrings.xml><?xml version="1.0" encoding="utf-8"?>
<sst xmlns="http://schemas.openxmlformats.org/spreadsheetml/2006/main" count="21" uniqueCount="12">
  <si>
    <t>Baseflow</t>
  </si>
  <si>
    <t>Groundwater levels</t>
  </si>
  <si>
    <t>Recharge</t>
  </si>
  <si>
    <t>Average</t>
  </si>
  <si>
    <t>St Dev</t>
  </si>
  <si>
    <t>Average GWL</t>
  </si>
  <si>
    <t>Average Recharge</t>
  </si>
  <si>
    <t>Date</t>
  </si>
  <si>
    <t>Xi - Xm</t>
  </si>
  <si>
    <t>SDI</t>
  </si>
  <si>
    <t>GWL</t>
  </si>
  <si>
    <t>Recharge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</si>
</sst>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164" fontId="1" fillId="3" borderId="1" xfId="0" applyNumberFormat="1" applyFont="1" applyFill="1" applyBorder="1"/>
    <xf numFmtId="2" fontId="1" fillId="3" borderId="1" xfId="0" applyNumberFormat="1" applyFont="1" applyFill="1" applyBorder="1"/>
    <xf numFmtId="165" fontId="1" fillId="3" borderId="1" xfId="0" applyNumberFormat="1" applyFont="1" applyFill="1" applyBorder="1"/>
    <xf numFmtId="0" fontId="2" fillId="4" borderId="1" xfId="0" applyFont="1" applyFill="1" applyBorder="1"/>
    <xf numFmtId="164" fontId="2" fillId="4" borderId="1" xfId="0" applyNumberFormat="1" applyFont="1" applyFill="1" applyBorder="1"/>
    <xf numFmtId="164" fontId="1" fillId="4" borderId="1" xfId="0" applyNumberFormat="1" applyFont="1" applyFill="1" applyBorder="1"/>
    <xf numFmtId="0" fontId="1" fillId="0" borderId="0" xfId="0" applyFont="1"/>
    <xf numFmtId="0" fontId="1" fillId="4" borderId="1" xfId="0" applyFont="1" applyFill="1" applyBorder="1"/>
    <xf numFmtId="165" fontId="1" fillId="4" borderId="1" xfId="0" applyNumberFormat="1" applyFont="1" applyFill="1" applyBorder="1"/>
    <xf numFmtId="17" fontId="0" fillId="0" borderId="1" xfId="0" applyNumberFormat="1" applyBorder="1" applyAlignment="1">
      <alignment horizontal="center"/>
    </xf>
    <xf numFmtId="164" fontId="3" fillId="0" borderId="1" xfId="0" applyNumberFormat="1" applyFont="1" applyBorder="1"/>
    <xf numFmtId="164" fontId="0" fillId="0" borderId="1" xfId="0" applyNumberFormat="1" applyBorder="1"/>
    <xf numFmtId="2" fontId="3" fillId="0" borderId="0" xfId="0" applyNumberFormat="1" applyFont="1"/>
    <xf numFmtId="0" fontId="0" fillId="0" borderId="1" xfId="0" applyBorder="1"/>
    <xf numFmtId="165" fontId="0" fillId="0" borderId="1" xfId="0" applyNumberFormat="1" applyBorder="1"/>
    <xf numFmtId="0" fontId="3" fillId="0" borderId="0" xfId="0" applyFont="1"/>
    <xf numFmtId="0" fontId="3" fillId="0" borderId="1" xfId="0" applyFont="1" applyBorder="1"/>
    <xf numFmtId="0" fontId="1" fillId="0" borderId="1" xfId="0" applyFont="1" applyBorder="1"/>
    <xf numFmtId="0" fontId="0" fillId="0" borderId="0" xfId="0" applyFill="1" applyAlignment="1">
      <alignment horizontal="center"/>
    </xf>
    <xf numFmtId="164" fontId="3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Komati-Usuthu%20reporting_Recent%20Template%20stations%20(March%202026).xlsx" TargetMode="External"/><Relationship Id="rId2" Type="http://schemas.openxmlformats.org/officeDocument/2006/relationships/externalLinkPath" Target="file:///C:\Users\sbusi\Downloads\Komati-Usuthu%20reporting_Recent%20Template%20stations%20(March%202026).xlsx" TargetMode="External"/><Relationship Id="rId1" Type="http://schemas.openxmlformats.org/officeDocument/2006/relationships/externalLinkPath" Target="/Users/sbusi/Downloads/Komati-Usuthu%20reporting_Recent%20Template%20stations%20(March%2020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ssegai (Main)"/>
      <sheetName val="Assegai"/>
      <sheetName val="Ngwempisi (Main)"/>
      <sheetName val="Ngwempisi"/>
      <sheetName val="Upper Komati (Main)"/>
      <sheetName val="Upper Komati"/>
      <sheetName val="Lower Komati Monthly (Main)"/>
      <sheetName val="Lower Komati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G4">
            <v>231.05666669999999</v>
          </cell>
          <cell r="L4">
            <v>0.76200000000000001</v>
          </cell>
        </row>
        <row r="5">
          <cell r="G5">
            <v>231.21333329999999</v>
          </cell>
          <cell r="L5">
            <v>1.524</v>
          </cell>
        </row>
        <row r="6">
          <cell r="G6">
            <v>231.56666670000001</v>
          </cell>
          <cell r="L6">
            <v>3.302</v>
          </cell>
        </row>
        <row r="7">
          <cell r="G7">
            <v>231.7066667</v>
          </cell>
          <cell r="L7">
            <v>5.08</v>
          </cell>
        </row>
        <row r="8">
          <cell r="G8">
            <v>232.8666667</v>
          </cell>
          <cell r="L8">
            <v>4.3179999999999996</v>
          </cell>
        </row>
        <row r="9">
          <cell r="G9">
            <v>233.6166667</v>
          </cell>
          <cell r="L9">
            <v>3.556</v>
          </cell>
        </row>
        <row r="10">
          <cell r="G10">
            <v>232.47333330000001</v>
          </cell>
          <cell r="L10">
            <v>5.5880000000000001</v>
          </cell>
        </row>
        <row r="11">
          <cell r="G11">
            <v>232.1733333</v>
          </cell>
          <cell r="L11">
            <v>5.08</v>
          </cell>
        </row>
        <row r="12">
          <cell r="G12">
            <v>231.8966667</v>
          </cell>
          <cell r="L12">
            <v>2.794</v>
          </cell>
        </row>
        <row r="16">
          <cell r="F16">
            <v>45200</v>
          </cell>
          <cell r="G16">
            <v>230.99</v>
          </cell>
          <cell r="L16">
            <v>0.254</v>
          </cell>
        </row>
        <row r="17">
          <cell r="F17">
            <v>45231</v>
          </cell>
          <cell r="G17">
            <v>231.01</v>
          </cell>
          <cell r="L17">
            <v>2.794</v>
          </cell>
        </row>
        <row r="18">
          <cell r="F18">
            <v>45261</v>
          </cell>
          <cell r="G18">
            <v>231.57</v>
          </cell>
          <cell r="L18">
            <v>2.286</v>
          </cell>
        </row>
        <row r="19">
          <cell r="F19">
            <v>45292</v>
          </cell>
          <cell r="G19">
            <v>231.99</v>
          </cell>
          <cell r="L19">
            <v>1.778</v>
          </cell>
        </row>
        <row r="20">
          <cell r="F20">
            <v>45323</v>
          </cell>
          <cell r="G20">
            <v>231.95</v>
          </cell>
          <cell r="L20">
            <v>3.556</v>
          </cell>
        </row>
        <row r="21">
          <cell r="F21">
            <v>45352</v>
          </cell>
          <cell r="G21">
            <v>231.87</v>
          </cell>
          <cell r="L21">
            <v>5.5880000000000001</v>
          </cell>
        </row>
        <row r="22">
          <cell r="F22">
            <v>45383</v>
          </cell>
          <cell r="G22">
            <v>231.96</v>
          </cell>
          <cell r="L22">
            <v>5.3339999999999996</v>
          </cell>
        </row>
        <row r="23">
          <cell r="F23">
            <v>45413</v>
          </cell>
          <cell r="G23">
            <v>231.71</v>
          </cell>
          <cell r="L23">
            <v>0.71</v>
          </cell>
        </row>
        <row r="24">
          <cell r="F24">
            <v>45444</v>
          </cell>
          <cell r="G24">
            <v>231.71</v>
          </cell>
          <cell r="L24">
            <v>1.016</v>
          </cell>
        </row>
        <row r="25">
          <cell r="F25">
            <v>45474</v>
          </cell>
          <cell r="G25">
            <v>231.38</v>
          </cell>
          <cell r="L25">
            <v>0.50800000000000001</v>
          </cell>
        </row>
        <row r="26">
          <cell r="F26">
            <v>45505</v>
          </cell>
          <cell r="G26">
            <v>231.16</v>
          </cell>
          <cell r="L26">
            <v>0</v>
          </cell>
        </row>
        <row r="27">
          <cell r="F27">
            <v>45536</v>
          </cell>
          <cell r="G27">
            <v>231.04</v>
          </cell>
          <cell r="L27">
            <v>0.76200000000000001</v>
          </cell>
        </row>
        <row r="28">
          <cell r="F28">
            <v>45566</v>
          </cell>
          <cell r="G28">
            <v>230.69</v>
          </cell>
          <cell r="L28">
            <v>0.50800000000000001</v>
          </cell>
        </row>
        <row r="29">
          <cell r="F29">
            <v>45597</v>
          </cell>
          <cell r="G29">
            <v>230.89</v>
          </cell>
          <cell r="L29">
            <v>0.50800000000000001</v>
          </cell>
        </row>
        <row r="30">
          <cell r="F30">
            <v>45627</v>
          </cell>
          <cell r="G30">
            <v>230.85</v>
          </cell>
          <cell r="L30">
            <v>9.1440000000000001</v>
          </cell>
        </row>
        <row r="31">
          <cell r="F31">
            <v>45658</v>
          </cell>
          <cell r="G31">
            <v>232.59</v>
          </cell>
          <cell r="L31">
            <v>12.446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50661-BB29-4731-90F2-BDA52BB3349E}">
  <dimension ref="A1:N44"/>
  <sheetViews>
    <sheetView tabSelected="1" topLeftCell="C46" zoomScaleNormal="100" workbookViewId="0">
      <selection activeCell="J61" sqref="J61"/>
    </sheetView>
  </sheetViews>
  <sheetFormatPr defaultRowHeight="14.4" x14ac:dyDescent="0.3"/>
  <cols>
    <col min="1" max="1" width="17.33203125" style="17" bestFit="1" customWidth="1"/>
    <col min="2" max="2" width="22.109375" style="15" customWidth="1"/>
    <col min="3" max="3" width="19.88671875" style="15" customWidth="1"/>
    <col min="4" max="4" width="20.109375" style="15" customWidth="1"/>
    <col min="5" max="5" width="18.88671875" customWidth="1"/>
    <col min="6" max="6" width="17.33203125" style="17" bestFit="1" customWidth="1"/>
    <col min="7" max="7" width="22.109375" style="17" customWidth="1"/>
    <col min="8" max="8" width="19.88671875" style="17" customWidth="1"/>
    <col min="9" max="9" width="20.109375" style="18" customWidth="1"/>
    <col min="10" max="10" width="18.88671875" bestFit="1" customWidth="1"/>
    <col min="11" max="11" width="23.33203125" style="21" customWidth="1"/>
    <col min="12" max="12" width="24" style="17" customWidth="1"/>
    <col min="13" max="13" width="19.33203125" style="17" customWidth="1"/>
    <col min="14" max="14" width="18.109375" style="17" customWidth="1"/>
  </cols>
  <sheetData>
    <row r="1" spans="1:14" x14ac:dyDescent="0.3">
      <c r="A1" s="1" t="s">
        <v>0</v>
      </c>
      <c r="B1" s="1"/>
      <c r="C1" s="1"/>
      <c r="D1" s="1"/>
      <c r="F1" s="1" t="s">
        <v>1</v>
      </c>
      <c r="G1" s="1"/>
      <c r="H1" s="1"/>
      <c r="I1" s="1"/>
      <c r="K1" s="2" t="s">
        <v>2</v>
      </c>
      <c r="L1" s="2"/>
      <c r="M1" s="2"/>
      <c r="N1" s="2"/>
    </row>
    <row r="2" spans="1:14" x14ac:dyDescent="0.3">
      <c r="A2" s="3" t="s">
        <v>3</v>
      </c>
      <c r="B2" s="4">
        <f>AVERAGE(B4:B380)</f>
        <v>15.76252636585366</v>
      </c>
      <c r="C2" s="4" t="s">
        <v>4</v>
      </c>
      <c r="D2" s="4">
        <f>_xlfn.STDEV.S(B4:B300)</f>
        <v>24.866941282828101</v>
      </c>
      <c r="F2" s="3" t="s">
        <v>5</v>
      </c>
      <c r="G2" s="5">
        <f>AVERAGE(G4:G100)</f>
        <v>231.57861788780491</v>
      </c>
      <c r="H2" s="3" t="s">
        <v>4</v>
      </c>
      <c r="I2" s="6">
        <f>_xlfn.STDEV.S(G4:G100)</f>
        <v>0.93155604060209385</v>
      </c>
      <c r="K2" s="3" t="s">
        <v>6</v>
      </c>
      <c r="L2" s="3">
        <f>AVERAGE(L4:L100)</f>
        <v>5.1840487804878057</v>
      </c>
      <c r="M2" s="3" t="s">
        <v>4</v>
      </c>
      <c r="N2" s="3">
        <f>_xlfn.STDEV.S(L4:L100)</f>
        <v>10.645685327754196</v>
      </c>
    </row>
    <row r="3" spans="1:14" s="10" customFormat="1" x14ac:dyDescent="0.3">
      <c r="A3" s="7" t="s">
        <v>7</v>
      </c>
      <c r="B3" s="8" t="s">
        <v>0</v>
      </c>
      <c r="C3" s="9" t="s">
        <v>8</v>
      </c>
      <c r="D3" s="9" t="s">
        <v>9</v>
      </c>
      <c r="F3" s="7" t="s">
        <v>7</v>
      </c>
      <c r="G3" s="7" t="s">
        <v>10</v>
      </c>
      <c r="H3" s="11" t="s">
        <v>8</v>
      </c>
      <c r="I3" s="12" t="s">
        <v>9</v>
      </c>
      <c r="K3" s="11" t="s">
        <v>7</v>
      </c>
      <c r="L3" s="11" t="s">
        <v>11</v>
      </c>
      <c r="M3" s="11" t="s">
        <v>8</v>
      </c>
      <c r="N3" s="11" t="s">
        <v>9</v>
      </c>
    </row>
    <row r="4" spans="1:14" x14ac:dyDescent="0.3">
      <c r="A4" s="13">
        <v>44835</v>
      </c>
      <c r="B4" s="14">
        <v>2</v>
      </c>
      <c r="C4" s="15">
        <f>B4-$B$2</f>
        <v>-13.76252636585366</v>
      </c>
      <c r="D4" s="15">
        <f>C4/$D$2</f>
        <v>-0.55344669090272836</v>
      </c>
      <c r="F4" s="13">
        <v>44835</v>
      </c>
      <c r="G4" s="16">
        <v>231.05666669999999</v>
      </c>
      <c r="H4" s="17">
        <f>G4-$G$2</f>
        <v>-0.52195118780491612</v>
      </c>
      <c r="I4" s="18">
        <f>H4/$D$2</f>
        <v>-2.098976234625809E-2</v>
      </c>
      <c r="J4" s="19"/>
      <c r="K4" s="13">
        <v>44835</v>
      </c>
      <c r="L4" s="17">
        <v>0.76200000000000001</v>
      </c>
      <c r="M4" s="17">
        <f>L4-L$2</f>
        <v>-4.4220487804878061</v>
      </c>
      <c r="N4" s="17">
        <f t="shared" ref="N4:N44" si="0">M4/N$2</f>
        <v>-0.41538413397953383</v>
      </c>
    </row>
    <row r="5" spans="1:14" x14ac:dyDescent="0.3">
      <c r="A5" s="13">
        <v>44866</v>
      </c>
      <c r="B5" s="14">
        <v>4.1100000000000003</v>
      </c>
      <c r="C5" s="15">
        <f t="shared" ref="C5:C25" si="1">B5-$B$2</f>
        <v>-11.65252636585366</v>
      </c>
      <c r="D5" s="15">
        <f t="shared" ref="D5:D25" si="2">C5/$D$2</f>
        <v>-0.46859508104844111</v>
      </c>
      <c r="F5" s="13">
        <v>44866</v>
      </c>
      <c r="G5" s="16">
        <v>231.21333329999999</v>
      </c>
      <c r="H5" s="17">
        <f t="shared" ref="H5:H25" si="3">G5-$G$2</f>
        <v>-0.36528458780492201</v>
      </c>
      <c r="I5" s="18">
        <f t="shared" ref="I5:I25" si="4">H5/$D$2</f>
        <v>-1.4689566507207293E-2</v>
      </c>
      <c r="J5" s="19"/>
      <c r="K5" s="13">
        <v>44866</v>
      </c>
      <c r="L5" s="17">
        <v>1.524</v>
      </c>
      <c r="M5" s="17">
        <f t="shared" ref="M5:M44" si="5">L5-L$2</f>
        <v>-3.6600487804878057</v>
      </c>
      <c r="N5" s="17">
        <f t="shared" si="0"/>
        <v>-0.34380583943672949</v>
      </c>
    </row>
    <row r="6" spans="1:14" x14ac:dyDescent="0.3">
      <c r="A6" s="13">
        <v>44896</v>
      </c>
      <c r="B6" s="14">
        <v>15.94</v>
      </c>
      <c r="C6" s="15">
        <f t="shared" si="1"/>
        <v>0.17747363414633988</v>
      </c>
      <c r="D6" s="15">
        <f t="shared" si="2"/>
        <v>7.1369305990558046E-3</v>
      </c>
      <c r="F6" s="13">
        <v>44896</v>
      </c>
      <c r="G6" s="16">
        <v>231.56666670000001</v>
      </c>
      <c r="H6" s="17">
        <f t="shared" si="3"/>
        <v>-1.195118780489679E-2</v>
      </c>
      <c r="I6" s="18">
        <f t="shared" si="4"/>
        <v>-4.8060546204569592E-4</v>
      </c>
      <c r="J6" s="19"/>
      <c r="K6" s="13">
        <v>44896</v>
      </c>
      <c r="L6" s="17">
        <f>AVERAGE(L5,L7)</f>
        <v>3.302</v>
      </c>
      <c r="M6" s="17">
        <f t="shared" si="5"/>
        <v>-1.8820487804878057</v>
      </c>
      <c r="N6" s="17">
        <f t="shared" si="0"/>
        <v>-0.17678981883685274</v>
      </c>
    </row>
    <row r="7" spans="1:14" x14ac:dyDescent="0.3">
      <c r="A7" s="13">
        <v>44927</v>
      </c>
      <c r="B7" s="14">
        <v>31.26</v>
      </c>
      <c r="C7" s="15">
        <f t="shared" si="1"/>
        <v>15.497473634146342</v>
      </c>
      <c r="D7" s="15">
        <f t="shared" si="2"/>
        <v>0.62321591778753038</v>
      </c>
      <c r="F7" s="13">
        <v>44927</v>
      </c>
      <c r="G7" s="16">
        <v>231.7066667</v>
      </c>
      <c r="H7" s="17">
        <f t="shared" si="3"/>
        <v>0.12804881219508957</v>
      </c>
      <c r="I7" s="18">
        <f t="shared" si="4"/>
        <v>5.1493591728353754E-3</v>
      </c>
      <c r="J7" s="19"/>
      <c r="K7" s="13">
        <v>44927</v>
      </c>
      <c r="L7" s="17">
        <v>5.08</v>
      </c>
      <c r="M7" s="17">
        <f t="shared" si="5"/>
        <v>-0.10404878048780564</v>
      </c>
      <c r="N7" s="17">
        <f t="shared" si="0"/>
        <v>-9.773798236976038E-3</v>
      </c>
    </row>
    <row r="8" spans="1:14" x14ac:dyDescent="0.3">
      <c r="A8" s="13">
        <v>44958</v>
      </c>
      <c r="B8" s="14">
        <v>54.75</v>
      </c>
      <c r="C8" s="15">
        <f t="shared" si="1"/>
        <v>38.98747363414634</v>
      </c>
      <c r="D8" s="15">
        <f t="shared" si="2"/>
        <v>1.5678435554544536</v>
      </c>
      <c r="F8" s="13">
        <v>44958</v>
      </c>
      <c r="G8" s="16">
        <v>232.8666667</v>
      </c>
      <c r="H8" s="17">
        <f t="shared" si="3"/>
        <v>1.2880488121950862</v>
      </c>
      <c r="I8" s="18">
        <f t="shared" si="4"/>
        <v>5.1797637576140095E-2</v>
      </c>
      <c r="J8" s="19"/>
      <c r="K8" s="13">
        <v>44958</v>
      </c>
      <c r="L8" s="17">
        <f>AVERAGE(L7,L9)</f>
        <v>4.3179999999999996</v>
      </c>
      <c r="M8" s="17">
        <f t="shared" si="5"/>
        <v>-0.86604878048780609</v>
      </c>
      <c r="N8" s="17">
        <f t="shared" si="0"/>
        <v>-8.135209277978038E-2</v>
      </c>
    </row>
    <row r="9" spans="1:14" x14ac:dyDescent="0.3">
      <c r="A9" s="13">
        <v>44986</v>
      </c>
      <c r="B9" s="14">
        <v>56.74</v>
      </c>
      <c r="C9" s="15">
        <f t="shared" si="1"/>
        <v>40.977473634146342</v>
      </c>
      <c r="D9" s="15">
        <f t="shared" si="2"/>
        <v>1.6478694813359853</v>
      </c>
      <c r="F9" s="13">
        <v>44986</v>
      </c>
      <c r="G9" s="16">
        <v>233.6166667</v>
      </c>
      <c r="H9" s="17">
        <f t="shared" si="3"/>
        <v>2.0380488121950862</v>
      </c>
      <c r="I9" s="18">
        <f t="shared" si="4"/>
        <v>8.1958162405863053E-2</v>
      </c>
      <c r="J9" s="19"/>
      <c r="K9" s="13">
        <v>44986</v>
      </c>
      <c r="L9" s="17">
        <v>3.556</v>
      </c>
      <c r="M9" s="17">
        <f t="shared" si="5"/>
        <v>-1.6280487804878057</v>
      </c>
      <c r="N9" s="17">
        <f t="shared" si="0"/>
        <v>-0.15293038732258465</v>
      </c>
    </row>
    <row r="10" spans="1:14" x14ac:dyDescent="0.3">
      <c r="A10" s="13">
        <v>45017</v>
      </c>
      <c r="B10" s="14">
        <v>21.33</v>
      </c>
      <c r="C10" s="15">
        <f t="shared" si="1"/>
        <v>5.5674736341463387</v>
      </c>
      <c r="D10" s="15">
        <f t="shared" si="2"/>
        <v>0.22389056904199814</v>
      </c>
      <c r="F10" s="13">
        <v>45017</v>
      </c>
      <c r="G10" s="16">
        <v>232.47333330000001</v>
      </c>
      <c r="H10" s="17">
        <f t="shared" si="3"/>
        <v>0.89471541219509731</v>
      </c>
      <c r="I10" s="18">
        <f t="shared" si="4"/>
        <v>3.5980115206728065E-2</v>
      </c>
      <c r="J10" s="19"/>
      <c r="K10" s="13">
        <v>45017</v>
      </c>
      <c r="L10" s="17">
        <v>5.5880000000000001</v>
      </c>
      <c r="M10" s="17">
        <f t="shared" si="5"/>
        <v>0.40395121951219437</v>
      </c>
      <c r="N10" s="17">
        <f t="shared" si="0"/>
        <v>3.7945064791560165E-2</v>
      </c>
    </row>
    <row r="11" spans="1:14" x14ac:dyDescent="0.3">
      <c r="A11" s="13">
        <v>45047</v>
      </c>
      <c r="B11" s="14">
        <v>13.43</v>
      </c>
      <c r="C11" s="15">
        <f t="shared" si="1"/>
        <v>-2.3325263658536599</v>
      </c>
      <c r="D11" s="15">
        <f t="shared" si="2"/>
        <v>-9.3800292497750376E-2</v>
      </c>
      <c r="F11" s="13">
        <v>45047</v>
      </c>
      <c r="G11" s="16">
        <v>232.1733333</v>
      </c>
      <c r="H11" s="17">
        <f t="shared" si="3"/>
        <v>0.59471541219508595</v>
      </c>
      <c r="I11" s="18">
        <f t="shared" si="4"/>
        <v>2.3915905274838424E-2</v>
      </c>
      <c r="J11" s="19"/>
      <c r="K11" s="13">
        <v>45047</v>
      </c>
      <c r="L11" s="17">
        <v>5.08</v>
      </c>
      <c r="M11" s="17">
        <f t="shared" si="5"/>
        <v>-0.10404878048780564</v>
      </c>
      <c r="N11" s="17">
        <f t="shared" si="0"/>
        <v>-9.773798236976038E-3</v>
      </c>
    </row>
    <row r="12" spans="1:14" x14ac:dyDescent="0.3">
      <c r="A12" s="13">
        <v>45078</v>
      </c>
      <c r="B12" s="14">
        <v>9.34</v>
      </c>
      <c r="C12" s="15">
        <f t="shared" si="1"/>
        <v>-6.4225263658536598</v>
      </c>
      <c r="D12" s="15">
        <f t="shared" si="2"/>
        <v>-0.25827568790250627</v>
      </c>
      <c r="F12" s="13">
        <v>45078</v>
      </c>
      <c r="G12" s="16">
        <v>231.8966667</v>
      </c>
      <c r="H12" s="17">
        <f t="shared" si="3"/>
        <v>0.31804881219508729</v>
      </c>
      <c r="I12" s="18">
        <f t="shared" si="4"/>
        <v>1.2790025463031769E-2</v>
      </c>
      <c r="J12" s="19"/>
      <c r="K12" s="13">
        <v>45078</v>
      </c>
      <c r="L12" s="17">
        <v>2.794</v>
      </c>
      <c r="M12" s="17">
        <f t="shared" si="5"/>
        <v>-2.3900487804878057</v>
      </c>
      <c r="N12" s="17">
        <f t="shared" si="0"/>
        <v>-0.22450868186538894</v>
      </c>
    </row>
    <row r="13" spans="1:14" x14ac:dyDescent="0.3">
      <c r="A13" s="13">
        <v>45108</v>
      </c>
      <c r="B13" s="14">
        <v>5.2</v>
      </c>
      <c r="C13" s="15">
        <f t="shared" si="1"/>
        <v>-10.56252636585366</v>
      </c>
      <c r="D13" s="15">
        <f t="shared" si="2"/>
        <v>-0.42476178496257705</v>
      </c>
      <c r="F13" s="13">
        <v>45108</v>
      </c>
      <c r="G13" s="16">
        <v>231.49333329999999</v>
      </c>
      <c r="H13" s="17">
        <f t="shared" si="3"/>
        <v>-8.5284587804920875E-2</v>
      </c>
      <c r="I13" s="18">
        <f t="shared" si="4"/>
        <v>-3.429637237444006E-3</v>
      </c>
      <c r="J13" s="19"/>
      <c r="K13" s="13">
        <v>45108</v>
      </c>
      <c r="L13" s="17">
        <v>2.286</v>
      </c>
      <c r="M13" s="17">
        <f t="shared" si="5"/>
        <v>-2.8980487804878057</v>
      </c>
      <c r="N13" s="17">
        <f t="shared" si="0"/>
        <v>-0.27222754489392514</v>
      </c>
    </row>
    <row r="14" spans="1:14" x14ac:dyDescent="0.3">
      <c r="A14" s="13">
        <v>45139</v>
      </c>
      <c r="B14" s="14">
        <v>3.38</v>
      </c>
      <c r="C14" s="15">
        <f t="shared" si="1"/>
        <v>-12.382526365853661</v>
      </c>
      <c r="D14" s="15">
        <f t="shared" si="2"/>
        <v>-0.49795132521603813</v>
      </c>
      <c r="F14" s="13">
        <v>45139</v>
      </c>
      <c r="G14" s="19">
        <v>231.13</v>
      </c>
      <c r="H14" s="17">
        <f t="shared" si="3"/>
        <v>-0.44861788780491452</v>
      </c>
      <c r="I14" s="18">
        <f t="shared" si="4"/>
        <v>-1.8040734592263994E-2</v>
      </c>
      <c r="J14" s="19"/>
      <c r="K14" s="13">
        <v>45139</v>
      </c>
      <c r="L14" s="17">
        <v>0.50800000000000001</v>
      </c>
      <c r="M14" s="17">
        <f t="shared" si="5"/>
        <v>-4.6760487804878057</v>
      </c>
      <c r="N14" s="17">
        <f t="shared" si="0"/>
        <v>-0.43924356549380189</v>
      </c>
    </row>
    <row r="15" spans="1:14" x14ac:dyDescent="0.3">
      <c r="A15" s="13">
        <v>45170</v>
      </c>
      <c r="B15" s="23">
        <v>1.27</v>
      </c>
      <c r="C15" s="15">
        <f t="shared" si="1"/>
        <v>-14.49252636585366</v>
      </c>
      <c r="D15" s="15">
        <f t="shared" si="2"/>
        <v>-0.58280293507032543</v>
      </c>
      <c r="F15" s="13">
        <v>45170</v>
      </c>
      <c r="G15" s="19">
        <v>231.03</v>
      </c>
      <c r="H15" s="17">
        <f t="shared" si="3"/>
        <v>-0.54861788780490883</v>
      </c>
      <c r="I15" s="18">
        <f t="shared" si="4"/>
        <v>-2.2062137902893495E-2</v>
      </c>
      <c r="J15" s="19"/>
      <c r="K15" s="13">
        <v>45170</v>
      </c>
      <c r="L15" s="17">
        <v>1.016</v>
      </c>
      <c r="M15" s="17">
        <f t="shared" si="5"/>
        <v>-4.1680487804878057</v>
      </c>
      <c r="N15" s="17">
        <f t="shared" si="0"/>
        <v>-0.39152470246526566</v>
      </c>
    </row>
    <row r="16" spans="1:14" x14ac:dyDescent="0.3">
      <c r="A16" s="13">
        <v>45200</v>
      </c>
      <c r="B16" s="14">
        <v>1.57</v>
      </c>
      <c r="C16" s="15">
        <f t="shared" si="1"/>
        <v>-14.192526365853659</v>
      </c>
      <c r="D16" s="15">
        <f t="shared" si="2"/>
        <v>-0.57073872513843615</v>
      </c>
      <c r="F16" s="13">
        <v>45200</v>
      </c>
      <c r="G16" s="20">
        <v>230.99</v>
      </c>
      <c r="H16" s="17">
        <f t="shared" si="3"/>
        <v>-0.58861788780490087</v>
      </c>
      <c r="I16" s="18">
        <f t="shared" si="4"/>
        <v>-2.3670699227145067E-2</v>
      </c>
      <c r="K16" s="13">
        <v>45200</v>
      </c>
      <c r="L16" s="17">
        <v>0.254</v>
      </c>
      <c r="M16" s="17">
        <f t="shared" si="5"/>
        <v>-4.9300487804878053</v>
      </c>
      <c r="N16" s="17">
        <f t="shared" si="0"/>
        <v>-0.46310299700806995</v>
      </c>
    </row>
    <row r="17" spans="1:14" x14ac:dyDescent="0.3">
      <c r="A17" s="13">
        <v>45231</v>
      </c>
      <c r="B17" s="14">
        <v>4.33</v>
      </c>
      <c r="C17" s="15">
        <f t="shared" si="1"/>
        <v>-11.43252636585366</v>
      </c>
      <c r="D17" s="15">
        <f t="shared" si="2"/>
        <v>-0.45974799376505571</v>
      </c>
      <c r="F17" s="13">
        <v>45231</v>
      </c>
      <c r="G17" s="20">
        <v>231.01</v>
      </c>
      <c r="H17" s="17">
        <f t="shared" si="3"/>
        <v>-0.56861788780491906</v>
      </c>
      <c r="I17" s="18">
        <f t="shared" si="4"/>
        <v>-2.2866418565019853E-2</v>
      </c>
      <c r="K17" s="13">
        <v>45231</v>
      </c>
      <c r="L17" s="17">
        <v>2.794</v>
      </c>
      <c r="M17" s="17">
        <f t="shared" si="5"/>
        <v>-2.3900487804878057</v>
      </c>
      <c r="N17" s="17">
        <f t="shared" si="0"/>
        <v>-0.22450868186538894</v>
      </c>
    </row>
    <row r="18" spans="1:14" x14ac:dyDescent="0.3">
      <c r="A18" s="13">
        <v>45261</v>
      </c>
      <c r="B18" s="14">
        <v>7.3289999999999997</v>
      </c>
      <c r="C18" s="15">
        <f t="shared" si="1"/>
        <v>-8.433526365853659</v>
      </c>
      <c r="D18" s="15">
        <f t="shared" si="2"/>
        <v>-0.33914610847927007</v>
      </c>
      <c r="F18" s="13">
        <v>45261</v>
      </c>
      <c r="G18" s="20">
        <v>231.57</v>
      </c>
      <c r="H18" s="17">
        <f t="shared" si="3"/>
        <v>-8.6178878049167906E-3</v>
      </c>
      <c r="I18" s="18">
        <f t="shared" si="4"/>
        <v>-3.4656002549327946E-4</v>
      </c>
      <c r="K18" s="13">
        <v>45261</v>
      </c>
      <c r="L18" s="17">
        <f>AVERAGE(L17,L19)</f>
        <v>2.286</v>
      </c>
      <c r="M18" s="17">
        <f t="shared" si="5"/>
        <v>-2.8980487804878057</v>
      </c>
      <c r="N18" s="17">
        <f t="shared" si="0"/>
        <v>-0.27222754489392514</v>
      </c>
    </row>
    <row r="19" spans="1:14" x14ac:dyDescent="0.3">
      <c r="A19" s="13">
        <v>45292</v>
      </c>
      <c r="B19" s="14">
        <f>AVERAGE(B18,B20)</f>
        <v>9.4245000000000001</v>
      </c>
      <c r="C19" s="15">
        <f t="shared" si="1"/>
        <v>-6.3380263658536595</v>
      </c>
      <c r="D19" s="15">
        <f t="shared" si="2"/>
        <v>-0.25487760210502414</v>
      </c>
      <c r="F19" s="13">
        <v>45292</v>
      </c>
      <c r="G19" s="20">
        <v>231.99</v>
      </c>
      <c r="H19" s="17">
        <f t="shared" si="3"/>
        <v>0.41138211219509913</v>
      </c>
      <c r="I19" s="18">
        <f t="shared" si="4"/>
        <v>1.654333387915222E-2</v>
      </c>
      <c r="K19" s="13">
        <v>45292</v>
      </c>
      <c r="L19" s="17">
        <v>1.778</v>
      </c>
      <c r="M19" s="17">
        <f t="shared" si="5"/>
        <v>-3.4060487804878057</v>
      </c>
      <c r="N19" s="17">
        <f t="shared" si="0"/>
        <v>-0.31994640792246137</v>
      </c>
    </row>
    <row r="20" spans="1:14" x14ac:dyDescent="0.3">
      <c r="A20" s="13">
        <v>45323</v>
      </c>
      <c r="B20" s="14">
        <v>11.52</v>
      </c>
      <c r="C20" s="15">
        <f t="shared" si="1"/>
        <v>-4.2425263658536601</v>
      </c>
      <c r="D20" s="15">
        <f t="shared" si="2"/>
        <v>-0.1706090957307782</v>
      </c>
      <c r="F20" s="13">
        <v>45323</v>
      </c>
      <c r="G20" s="20">
        <v>231.95</v>
      </c>
      <c r="H20" s="17">
        <f t="shared" si="3"/>
        <v>0.37138211219507866</v>
      </c>
      <c r="I20" s="18">
        <f t="shared" si="4"/>
        <v>1.4934772554899507E-2</v>
      </c>
      <c r="K20" s="13">
        <v>45323</v>
      </c>
      <c r="L20" s="17">
        <v>3.556</v>
      </c>
      <c r="M20" s="17">
        <f t="shared" si="5"/>
        <v>-1.6280487804878057</v>
      </c>
      <c r="N20" s="17">
        <f t="shared" si="0"/>
        <v>-0.15293038732258465</v>
      </c>
    </row>
    <row r="21" spans="1:14" x14ac:dyDescent="0.3">
      <c r="A21" s="13">
        <v>45352</v>
      </c>
      <c r="B21" s="14">
        <v>7.33</v>
      </c>
      <c r="C21" s="15">
        <f t="shared" si="1"/>
        <v>-8.4325263658536596</v>
      </c>
      <c r="D21" s="15">
        <f t="shared" si="2"/>
        <v>-0.33910589444616379</v>
      </c>
      <c r="F21" s="13">
        <v>45352</v>
      </c>
      <c r="G21" s="20">
        <v>231.87</v>
      </c>
      <c r="H21" s="17">
        <f t="shared" si="3"/>
        <v>0.29138211219509458</v>
      </c>
      <c r="I21" s="18">
        <f t="shared" si="4"/>
        <v>1.1717649906396364E-2</v>
      </c>
      <c r="K21" s="13">
        <v>45352</v>
      </c>
      <c r="L21" s="17">
        <v>5.5880000000000001</v>
      </c>
      <c r="M21" s="17">
        <f t="shared" si="5"/>
        <v>0.40395121951219437</v>
      </c>
      <c r="N21" s="17">
        <f t="shared" si="0"/>
        <v>3.7945064791560165E-2</v>
      </c>
    </row>
    <row r="22" spans="1:14" x14ac:dyDescent="0.3">
      <c r="A22" s="13">
        <v>45383</v>
      </c>
      <c r="B22" s="14">
        <v>8.8699999999999992</v>
      </c>
      <c r="C22" s="15">
        <f t="shared" si="1"/>
        <v>-6.8925263658536604</v>
      </c>
      <c r="D22" s="15">
        <f t="shared" si="2"/>
        <v>-0.27717628346246603</v>
      </c>
      <c r="F22" s="13">
        <v>45383</v>
      </c>
      <c r="G22" s="20">
        <v>231.96</v>
      </c>
      <c r="H22" s="17">
        <f t="shared" si="3"/>
        <v>0.38138211219509799</v>
      </c>
      <c r="I22" s="18">
        <f t="shared" si="4"/>
        <v>1.5336912885963257E-2</v>
      </c>
      <c r="K22" s="13">
        <v>45383</v>
      </c>
      <c r="L22" s="17">
        <v>5.3339999999999996</v>
      </c>
      <c r="M22" s="17">
        <f t="shared" si="5"/>
        <v>0.14995121951219392</v>
      </c>
      <c r="N22" s="17">
        <f t="shared" si="0"/>
        <v>1.4085633277292021E-2</v>
      </c>
    </row>
    <row r="23" spans="1:14" x14ac:dyDescent="0.3">
      <c r="A23" s="13">
        <v>45413</v>
      </c>
      <c r="B23" s="14">
        <v>4.95</v>
      </c>
      <c r="C23" s="15">
        <f t="shared" si="1"/>
        <v>-10.81252636585366</v>
      </c>
      <c r="D23" s="15">
        <f t="shared" si="2"/>
        <v>-0.43481529323915141</v>
      </c>
      <c r="F23" s="13">
        <v>45413</v>
      </c>
      <c r="G23" s="20">
        <v>231.71</v>
      </c>
      <c r="H23" s="17">
        <f t="shared" si="3"/>
        <v>0.13138211219509799</v>
      </c>
      <c r="I23" s="18">
        <f t="shared" si="4"/>
        <v>5.2834046093889354E-3</v>
      </c>
      <c r="K23" s="13">
        <v>45413</v>
      </c>
      <c r="L23" s="17">
        <v>0.71</v>
      </c>
      <c r="M23" s="17">
        <f t="shared" si="5"/>
        <v>-4.4740487804878057</v>
      </c>
      <c r="N23" s="17">
        <f t="shared" si="0"/>
        <v>-0.42026874200607683</v>
      </c>
    </row>
    <row r="24" spans="1:14" x14ac:dyDescent="0.3">
      <c r="A24" s="13">
        <v>45444</v>
      </c>
      <c r="B24" s="14">
        <v>2.41</v>
      </c>
      <c r="C24" s="15">
        <f t="shared" si="1"/>
        <v>-13.352526365853659</v>
      </c>
      <c r="D24" s="15">
        <f t="shared" si="2"/>
        <v>-0.53695893732914646</v>
      </c>
      <c r="F24" s="13">
        <v>45444</v>
      </c>
      <c r="G24" s="17">
        <v>231.71</v>
      </c>
      <c r="H24" s="17">
        <f t="shared" si="3"/>
        <v>0.13138211219509799</v>
      </c>
      <c r="I24" s="18">
        <f t="shared" si="4"/>
        <v>5.2834046093889354E-3</v>
      </c>
      <c r="K24" s="13">
        <v>45444</v>
      </c>
      <c r="L24" s="17">
        <v>1.016</v>
      </c>
      <c r="M24" s="17">
        <f t="shared" si="5"/>
        <v>-4.1680487804878057</v>
      </c>
      <c r="N24" s="17">
        <f t="shared" si="0"/>
        <v>-0.39152470246526566</v>
      </c>
    </row>
    <row r="25" spans="1:14" x14ac:dyDescent="0.3">
      <c r="A25" s="13">
        <v>45474</v>
      </c>
      <c r="B25" s="15">
        <v>1.35</v>
      </c>
      <c r="C25" s="15">
        <f t="shared" si="1"/>
        <v>-14.41252636585366</v>
      </c>
      <c r="D25" s="15">
        <f t="shared" si="2"/>
        <v>-0.57958581242182161</v>
      </c>
      <c r="F25" s="13">
        <v>45474</v>
      </c>
      <c r="G25" s="17">
        <v>231.38</v>
      </c>
      <c r="H25" s="17">
        <f t="shared" si="3"/>
        <v>-0.19861788780491452</v>
      </c>
      <c r="I25" s="18">
        <f t="shared" si="4"/>
        <v>-7.9872263156896724E-3</v>
      </c>
      <c r="K25" s="13">
        <v>45474</v>
      </c>
      <c r="L25" s="17">
        <v>0.50800000000000001</v>
      </c>
      <c r="M25" s="17">
        <f t="shared" si="5"/>
        <v>-4.6760487804878057</v>
      </c>
      <c r="N25" s="17">
        <f t="shared" si="0"/>
        <v>-0.43924356549380189</v>
      </c>
    </row>
    <row r="26" spans="1:14" x14ac:dyDescent="0.3">
      <c r="A26" s="13">
        <v>45505</v>
      </c>
      <c r="B26" s="15">
        <v>4.32</v>
      </c>
      <c r="C26" s="15">
        <f>B26-$B$2</f>
        <v>-11.442526365853659</v>
      </c>
      <c r="D26" s="15">
        <f>C26/$D$2</f>
        <v>-0.46015013409611866</v>
      </c>
      <c r="F26" s="13">
        <v>45505</v>
      </c>
      <c r="G26" s="17">
        <v>231.16</v>
      </c>
      <c r="H26" s="17">
        <f>G26-$G$2</f>
        <v>-0.41861788780491338</v>
      </c>
      <c r="I26" s="18">
        <f>H26/$D$2</f>
        <v>-1.6834313599075029E-2</v>
      </c>
      <c r="K26" s="13">
        <v>45505</v>
      </c>
      <c r="L26" s="17">
        <v>0</v>
      </c>
      <c r="M26" s="17">
        <f t="shared" si="5"/>
        <v>-5.1840487804878057</v>
      </c>
      <c r="N26" s="17">
        <f t="shared" si="0"/>
        <v>-0.48696242852233806</v>
      </c>
    </row>
    <row r="27" spans="1:14" x14ac:dyDescent="0.3">
      <c r="A27" s="13">
        <v>45536</v>
      </c>
      <c r="B27" s="15">
        <v>1.2689999999999999</v>
      </c>
      <c r="C27" s="15">
        <f>B27-$B$2</f>
        <v>-14.493526365853659</v>
      </c>
      <c r="D27" s="15">
        <f>C27/$D$2</f>
        <v>-0.58284314910343171</v>
      </c>
      <c r="F27" s="13">
        <v>45536</v>
      </c>
      <c r="G27" s="17">
        <v>231.04</v>
      </c>
      <c r="H27" s="17">
        <f>G27-$G$2</f>
        <v>-0.53861788780491793</v>
      </c>
      <c r="I27" s="18">
        <f>H27/$D$2</f>
        <v>-2.1659997571830888E-2</v>
      </c>
      <c r="K27" s="13">
        <v>45536</v>
      </c>
      <c r="L27" s="17">
        <v>0.76200000000000001</v>
      </c>
      <c r="M27" s="17">
        <f t="shared" si="5"/>
        <v>-4.4220487804878061</v>
      </c>
      <c r="N27" s="17">
        <f t="shared" si="0"/>
        <v>-0.41538413397953383</v>
      </c>
    </row>
    <row r="28" spans="1:14" x14ac:dyDescent="0.3">
      <c r="A28" s="13">
        <v>45566</v>
      </c>
      <c r="B28" s="15">
        <v>1.0951610000000001</v>
      </c>
      <c r="C28" s="15">
        <f>B28-$B$2</f>
        <v>-14.667365365853659</v>
      </c>
      <c r="D28" s="15">
        <f>C28/$D$2</f>
        <v>-0.58983391640459726</v>
      </c>
      <c r="E28" s="22"/>
      <c r="F28" s="13">
        <v>45566</v>
      </c>
      <c r="G28" s="17">
        <v>230.69</v>
      </c>
      <c r="H28" s="17">
        <f>G28-$G$2</f>
        <v>-0.88861788780491224</v>
      </c>
      <c r="I28" s="18">
        <f>H28/$D$2</f>
        <v>-3.5734909159034711E-2</v>
      </c>
      <c r="J28" s="22"/>
      <c r="K28" s="13">
        <v>45566</v>
      </c>
      <c r="L28" s="17">
        <v>0.50800000000000001</v>
      </c>
      <c r="M28" s="17">
        <f t="shared" si="5"/>
        <v>-4.6760487804878057</v>
      </c>
      <c r="N28" s="17">
        <f t="shared" si="0"/>
        <v>-0.43924356549380189</v>
      </c>
    </row>
    <row r="29" spans="1:14" x14ac:dyDescent="0.3">
      <c r="A29" s="13">
        <v>45597</v>
      </c>
      <c r="B29" s="14">
        <v>2.2999999999999998</v>
      </c>
      <c r="C29" s="15">
        <f>B29-$B$2</f>
        <v>-13.462526365853659</v>
      </c>
      <c r="D29" s="15">
        <f>C29/$D$2</f>
        <v>-0.54138248097083919</v>
      </c>
      <c r="F29" s="13">
        <v>45597</v>
      </c>
      <c r="G29" s="17">
        <v>230.89</v>
      </c>
      <c r="H29" s="17">
        <f>G29-$G$2</f>
        <v>-0.68861788780492361</v>
      </c>
      <c r="I29" s="18">
        <f>H29/$D$2</f>
        <v>-2.7692102537775709E-2</v>
      </c>
      <c r="K29" s="13">
        <v>45597</v>
      </c>
      <c r="L29" s="17">
        <v>0.50800000000000001</v>
      </c>
      <c r="M29" s="17">
        <f t="shared" si="5"/>
        <v>-4.6760487804878057</v>
      </c>
      <c r="N29" s="17">
        <f t="shared" si="0"/>
        <v>-0.43924356549380189</v>
      </c>
    </row>
    <row r="30" spans="1:14" x14ac:dyDescent="0.3">
      <c r="A30" s="13">
        <v>45627</v>
      </c>
      <c r="B30" s="14">
        <v>1.9805999999999999</v>
      </c>
      <c r="C30" s="15">
        <f>B30-$B$2</f>
        <v>-13.781926365853661</v>
      </c>
      <c r="D30" s="15">
        <f>C30/$D$2</f>
        <v>-0.5542268431449906</v>
      </c>
      <c r="F30" s="13">
        <v>45627</v>
      </c>
      <c r="G30" s="17">
        <v>230.85</v>
      </c>
      <c r="H30" s="17">
        <f>G30-$G$2</f>
        <v>-0.72861788780491565</v>
      </c>
      <c r="I30" s="18">
        <f>H30/$D$2</f>
        <v>-2.9300663862027281E-2</v>
      </c>
      <c r="K30" s="13">
        <v>45627</v>
      </c>
      <c r="L30" s="17">
        <v>9.1440000000000001</v>
      </c>
      <c r="M30" s="17">
        <f t="shared" si="5"/>
        <v>3.9599512195121944</v>
      </c>
      <c r="N30" s="17">
        <f t="shared" si="0"/>
        <v>0.37197710599131362</v>
      </c>
    </row>
    <row r="31" spans="1:14" x14ac:dyDescent="0.3">
      <c r="A31" s="13">
        <v>45658</v>
      </c>
      <c r="B31" s="14">
        <v>29.300999999999998</v>
      </c>
      <c r="C31" s="15">
        <f t="shared" ref="C31:C44" si="6">B31-$B$2</f>
        <v>13.538473634146339</v>
      </c>
      <c r="D31" s="15">
        <f t="shared" ref="D31:D44" si="7">C31/$D$2</f>
        <v>0.54443662693229378</v>
      </c>
      <c r="F31" s="13">
        <v>45658</v>
      </c>
      <c r="G31" s="17">
        <v>232.59</v>
      </c>
      <c r="H31" s="17">
        <f t="shared" ref="H31:H44" si="8">G31-$G$2</f>
        <v>1.0113821121950934</v>
      </c>
      <c r="I31" s="18">
        <f t="shared" ref="I31:I44" si="9">H31/$D$2</f>
        <v>4.0671753742930368E-2</v>
      </c>
      <c r="K31" s="13">
        <v>45658</v>
      </c>
      <c r="L31" s="17">
        <v>12.446</v>
      </c>
      <c r="M31" s="17">
        <f t="shared" si="5"/>
        <v>7.261951219512194</v>
      </c>
      <c r="N31" s="17">
        <f t="shared" si="0"/>
        <v>0.68214971567679883</v>
      </c>
    </row>
    <row r="32" spans="1:14" x14ac:dyDescent="0.3">
      <c r="A32" s="13">
        <v>45689</v>
      </c>
      <c r="B32" s="14">
        <v>17.34</v>
      </c>
      <c r="C32" s="15">
        <f t="shared" si="6"/>
        <v>1.5774736341463402</v>
      </c>
      <c r="D32" s="15">
        <f t="shared" si="7"/>
        <v>6.3436576947872025E-2</v>
      </c>
      <c r="F32" s="13">
        <v>45689</v>
      </c>
      <c r="G32" s="17">
        <v>231.95</v>
      </c>
      <c r="H32" s="17">
        <f t="shared" si="8"/>
        <v>0.37138211219507866</v>
      </c>
      <c r="I32" s="18">
        <f t="shared" si="9"/>
        <v>1.4934772554899507E-2</v>
      </c>
      <c r="K32" s="13">
        <v>45689</v>
      </c>
      <c r="L32" s="17">
        <v>6.35</v>
      </c>
      <c r="M32" s="17">
        <f t="shared" si="5"/>
        <v>1.1659512195121939</v>
      </c>
      <c r="N32" s="17">
        <f t="shared" si="0"/>
        <v>0.10952335933436443</v>
      </c>
    </row>
    <row r="33" spans="1:14" x14ac:dyDescent="0.3">
      <c r="A33" s="13">
        <v>45717</v>
      </c>
      <c r="B33" s="14">
        <v>15.98</v>
      </c>
      <c r="C33" s="15">
        <f t="shared" si="6"/>
        <v>0.2174736341463408</v>
      </c>
      <c r="D33" s="15">
        <f t="shared" si="7"/>
        <v>8.7454919233077334E-3</v>
      </c>
      <c r="F33" s="13">
        <v>45717</v>
      </c>
      <c r="G33" s="17">
        <v>232.27</v>
      </c>
      <c r="H33" s="17">
        <f t="shared" si="8"/>
        <v>0.69138211219510026</v>
      </c>
      <c r="I33" s="18">
        <f t="shared" si="9"/>
        <v>2.7803263148915507E-2</v>
      </c>
      <c r="K33" s="13">
        <v>45717</v>
      </c>
      <c r="L33" s="17">
        <v>3.81</v>
      </c>
      <c r="M33" s="17">
        <f t="shared" si="5"/>
        <v>-1.3740487804878057</v>
      </c>
      <c r="N33" s="17">
        <f t="shared" si="0"/>
        <v>-0.12907095580831654</v>
      </c>
    </row>
    <row r="34" spans="1:14" x14ac:dyDescent="0.3">
      <c r="A34" s="13">
        <v>45748</v>
      </c>
      <c r="B34" s="14">
        <v>14.231999999999999</v>
      </c>
      <c r="C34" s="15">
        <f t="shared" si="6"/>
        <v>-1.5305263658536603</v>
      </c>
      <c r="D34" s="15">
        <f t="shared" si="7"/>
        <v>-6.1548637946499972E-2</v>
      </c>
      <c r="F34" s="13">
        <v>45748</v>
      </c>
      <c r="G34" s="17">
        <f>AVERAGE(G32:G33)</f>
        <v>232.11</v>
      </c>
      <c r="H34" s="17">
        <f t="shared" si="8"/>
        <v>0.53138211219510367</v>
      </c>
      <c r="I34" s="18">
        <f t="shared" si="9"/>
        <v>2.1369017851908079E-2</v>
      </c>
      <c r="K34" s="13">
        <v>45748</v>
      </c>
      <c r="L34" s="17">
        <v>9.9060000000000006</v>
      </c>
      <c r="M34" s="17">
        <f t="shared" si="5"/>
        <v>4.7219512195121949</v>
      </c>
      <c r="N34" s="17">
        <f t="shared" si="0"/>
        <v>0.44355540053411796</v>
      </c>
    </row>
    <row r="35" spans="1:14" x14ac:dyDescent="0.3">
      <c r="A35" s="13">
        <v>45778</v>
      </c>
      <c r="B35" s="14">
        <v>13.493</v>
      </c>
      <c r="C35" s="15">
        <f t="shared" si="6"/>
        <v>-2.2695263658536593</v>
      </c>
      <c r="D35" s="15">
        <f t="shared" si="7"/>
        <v>-9.1266808412053618E-2</v>
      </c>
      <c r="F35" s="13">
        <v>45778</v>
      </c>
      <c r="G35" s="17">
        <v>231.57</v>
      </c>
      <c r="H35" s="17">
        <f t="shared" si="8"/>
        <v>-8.6178878049167906E-3</v>
      </c>
      <c r="I35" s="18">
        <f t="shared" si="9"/>
        <v>-3.4656002549327946E-4</v>
      </c>
      <c r="K35" s="13">
        <v>45778</v>
      </c>
      <c r="L35" s="17">
        <v>0.76200000000000001</v>
      </c>
      <c r="M35" s="17">
        <f t="shared" si="5"/>
        <v>-4.4220487804878061</v>
      </c>
      <c r="N35" s="17">
        <f t="shared" si="0"/>
        <v>-0.41538413397953383</v>
      </c>
    </row>
    <row r="36" spans="1:14" x14ac:dyDescent="0.3">
      <c r="A36" s="13">
        <v>45809</v>
      </c>
      <c r="B36" s="14">
        <v>4.8360000000000003</v>
      </c>
      <c r="C36" s="15">
        <f t="shared" si="6"/>
        <v>-10.926526365853659</v>
      </c>
      <c r="D36" s="15">
        <f t="shared" si="7"/>
        <v>-0.43939969301326925</v>
      </c>
      <c r="F36" s="13">
        <v>45809</v>
      </c>
      <c r="G36" s="17">
        <v>230.71</v>
      </c>
      <c r="H36" s="17">
        <f t="shared" si="8"/>
        <v>-0.86861788780490201</v>
      </c>
      <c r="I36" s="18">
        <f t="shared" si="9"/>
        <v>-3.4930628496908353E-2</v>
      </c>
      <c r="K36" s="13">
        <v>45809</v>
      </c>
      <c r="L36" s="17">
        <v>1.524</v>
      </c>
      <c r="M36" s="17">
        <f t="shared" si="5"/>
        <v>-3.6600487804878057</v>
      </c>
      <c r="N36" s="17">
        <f t="shared" si="0"/>
        <v>-0.34380583943672949</v>
      </c>
    </row>
    <row r="37" spans="1:14" x14ac:dyDescent="0.3">
      <c r="A37" s="13">
        <v>45839</v>
      </c>
      <c r="B37" s="14">
        <v>1.895</v>
      </c>
      <c r="C37" s="15">
        <f t="shared" si="6"/>
        <v>-13.86752636585366</v>
      </c>
      <c r="D37" s="15">
        <f t="shared" si="7"/>
        <v>-0.55766916437888958</v>
      </c>
      <c r="F37" s="13">
        <v>45839</v>
      </c>
      <c r="G37" s="17">
        <v>230.6</v>
      </c>
      <c r="H37" s="17">
        <f t="shared" si="8"/>
        <v>-0.97861788780491565</v>
      </c>
      <c r="I37" s="18">
        <f t="shared" si="9"/>
        <v>-3.9354172138601602E-2</v>
      </c>
      <c r="K37" s="13">
        <v>45839</v>
      </c>
      <c r="L37" s="17">
        <v>0.76200000000000001</v>
      </c>
      <c r="M37" s="17">
        <f t="shared" si="5"/>
        <v>-4.4220487804878061</v>
      </c>
      <c r="N37" s="17">
        <f t="shared" si="0"/>
        <v>-0.41538413397953383</v>
      </c>
    </row>
    <row r="38" spans="1:14" x14ac:dyDescent="0.3">
      <c r="A38" s="13">
        <v>45870</v>
      </c>
      <c r="B38" s="14">
        <v>1.1839999999999999</v>
      </c>
      <c r="C38" s="15">
        <f t="shared" si="6"/>
        <v>-14.57852636585366</v>
      </c>
      <c r="D38" s="15">
        <f t="shared" si="7"/>
        <v>-0.58626134191746693</v>
      </c>
      <c r="F38" s="13">
        <v>45870</v>
      </c>
      <c r="G38" s="17">
        <v>230.52</v>
      </c>
      <c r="H38" s="17">
        <f t="shared" si="8"/>
        <v>-1.0586178878048997</v>
      </c>
      <c r="I38" s="18">
        <f t="shared" si="9"/>
        <v>-4.2571294787104745E-2</v>
      </c>
      <c r="K38" s="13">
        <v>45870</v>
      </c>
      <c r="L38" s="17">
        <v>0.254</v>
      </c>
      <c r="M38" s="17">
        <f t="shared" si="5"/>
        <v>-4.9300487804878053</v>
      </c>
      <c r="N38" s="17">
        <f t="shared" si="0"/>
        <v>-0.46310299700806995</v>
      </c>
    </row>
    <row r="39" spans="1:14" x14ac:dyDescent="0.3">
      <c r="A39" s="13">
        <v>45901</v>
      </c>
      <c r="B39" s="14">
        <v>0.93659999999999999</v>
      </c>
      <c r="C39" s="15">
        <f t="shared" si="6"/>
        <v>-14.825926365853659</v>
      </c>
      <c r="D39" s="15">
        <f t="shared" si="7"/>
        <v>-0.59621029370796486</v>
      </c>
      <c r="F39" s="13">
        <v>45901</v>
      </c>
      <c r="G39" s="17">
        <v>230.32</v>
      </c>
      <c r="H39" s="17">
        <f t="shared" si="8"/>
        <v>-1.2586178878049168</v>
      </c>
      <c r="I39" s="18">
        <f t="shared" si="9"/>
        <v>-5.0614101408364892E-2</v>
      </c>
      <c r="K39" s="13">
        <v>45901</v>
      </c>
      <c r="L39" s="17">
        <v>0.254</v>
      </c>
      <c r="M39" s="17">
        <f t="shared" si="5"/>
        <v>-4.9300487804878053</v>
      </c>
      <c r="N39" s="17">
        <f t="shared" si="0"/>
        <v>-0.46310299700806995</v>
      </c>
    </row>
    <row r="40" spans="1:14" x14ac:dyDescent="0.3">
      <c r="A40" s="13">
        <v>45931</v>
      </c>
      <c r="B40" s="14">
        <v>2.2909999999999999</v>
      </c>
      <c r="C40" s="15">
        <f t="shared" si="6"/>
        <v>-13.471526365853659</v>
      </c>
      <c r="D40" s="15">
        <f t="shared" si="7"/>
        <v>-0.5417444072687958</v>
      </c>
      <c r="F40" s="13">
        <v>45931</v>
      </c>
      <c r="G40" s="17">
        <v>230.49</v>
      </c>
      <c r="H40" s="17">
        <f t="shared" si="8"/>
        <v>-1.0886178878049009</v>
      </c>
      <c r="I40" s="18">
        <f t="shared" si="9"/>
        <v>-4.3777715780293713E-2</v>
      </c>
      <c r="K40" s="13">
        <v>45931</v>
      </c>
      <c r="L40" s="17">
        <v>1.016</v>
      </c>
      <c r="M40" s="17">
        <f t="shared" si="5"/>
        <v>-4.1680487804878057</v>
      </c>
      <c r="N40" s="17">
        <f t="shared" si="0"/>
        <v>-0.39152470246526566</v>
      </c>
    </row>
    <row r="41" spans="1:14" x14ac:dyDescent="0.3">
      <c r="A41" s="13">
        <v>45962</v>
      </c>
      <c r="B41" s="14">
        <v>7.0739999999999998</v>
      </c>
      <c r="C41" s="15">
        <f t="shared" si="6"/>
        <v>-8.6885263658536598</v>
      </c>
      <c r="D41" s="15">
        <f t="shared" si="7"/>
        <v>-0.34940068692137594</v>
      </c>
      <c r="F41" s="13">
        <v>45962</v>
      </c>
      <c r="G41" s="17">
        <v>230.26</v>
      </c>
      <c r="H41" s="17">
        <f t="shared" si="8"/>
        <v>-1.3186178878049191</v>
      </c>
      <c r="I41" s="18">
        <f t="shared" si="9"/>
        <v>-5.3026943394742815E-2</v>
      </c>
      <c r="K41" s="13">
        <v>45962</v>
      </c>
      <c r="L41" s="17">
        <v>17.271999999999998</v>
      </c>
      <c r="M41" s="17">
        <f t="shared" si="5"/>
        <v>12.087951219512192</v>
      </c>
      <c r="N41" s="17">
        <f t="shared" si="0"/>
        <v>1.1354789144478925</v>
      </c>
    </row>
    <row r="42" spans="1:14" x14ac:dyDescent="0.3">
      <c r="A42" s="13">
        <v>45992</v>
      </c>
      <c r="B42" s="14">
        <v>48.000320000000002</v>
      </c>
      <c r="C42" s="15">
        <f t="shared" si="6"/>
        <v>32.237793634146342</v>
      </c>
      <c r="D42" s="15">
        <f t="shared" si="7"/>
        <v>1.2964117004775411</v>
      </c>
      <c r="F42" s="13">
        <v>45992</v>
      </c>
      <c r="G42" s="17">
        <v>230.3</v>
      </c>
      <c r="H42" s="17">
        <f t="shared" si="8"/>
        <v>-1.2786178878048986</v>
      </c>
      <c r="I42" s="18">
        <f t="shared" si="9"/>
        <v>-5.1418382070490105E-2</v>
      </c>
      <c r="K42" s="13">
        <v>45992</v>
      </c>
      <c r="L42" s="17">
        <v>19.303999999999998</v>
      </c>
      <c r="M42" s="17">
        <f t="shared" si="5"/>
        <v>14.119951219512192</v>
      </c>
      <c r="N42" s="17">
        <f t="shared" si="0"/>
        <v>1.3263543665620374</v>
      </c>
    </row>
    <row r="43" spans="1:14" x14ac:dyDescent="0.3">
      <c r="A43" s="13">
        <v>46023</v>
      </c>
      <c r="B43" s="14">
        <v>130.6935</v>
      </c>
      <c r="C43" s="15">
        <f t="shared" si="6"/>
        <v>114.93097363414634</v>
      </c>
      <c r="D43" s="15">
        <f t="shared" si="7"/>
        <v>4.6218379786625414</v>
      </c>
      <c r="F43" s="13">
        <v>46023</v>
      </c>
      <c r="G43" s="17">
        <v>234.44</v>
      </c>
      <c r="H43" s="17">
        <f t="shared" si="8"/>
        <v>2.8613821121950878</v>
      </c>
      <c r="I43" s="18">
        <f t="shared" si="9"/>
        <v>0.11506771498958011</v>
      </c>
      <c r="K43" s="13">
        <v>46023</v>
      </c>
      <c r="L43" s="17">
        <v>65.786000000000001</v>
      </c>
      <c r="M43" s="17">
        <f t="shared" si="5"/>
        <v>60.601951219512195</v>
      </c>
      <c r="N43" s="17">
        <f t="shared" si="0"/>
        <v>5.6926303336731001</v>
      </c>
    </row>
    <row r="44" spans="1:14" x14ac:dyDescent="0.3">
      <c r="A44" s="13">
        <v>46054</v>
      </c>
      <c r="B44" s="14">
        <v>70.2089</v>
      </c>
      <c r="C44" s="15">
        <f t="shared" si="6"/>
        <v>54.44637363414634</v>
      </c>
      <c r="D44" s="15">
        <f t="shared" si="7"/>
        <v>2.1895082718413925</v>
      </c>
      <c r="F44" s="13">
        <v>46054</v>
      </c>
      <c r="G44" s="17">
        <v>233.6</v>
      </c>
      <c r="H44" s="17">
        <f t="shared" si="8"/>
        <v>2.0213821121950843</v>
      </c>
      <c r="I44" s="18">
        <f t="shared" si="9"/>
        <v>8.1287927180290265E-2</v>
      </c>
      <c r="K44" s="13">
        <v>46054</v>
      </c>
      <c r="L44" s="17">
        <v>2.54</v>
      </c>
      <c r="M44" s="17">
        <f t="shared" si="5"/>
        <v>-2.6440487804878057</v>
      </c>
      <c r="N44" s="17">
        <f t="shared" si="0"/>
        <v>-0.24836811337965706</v>
      </c>
    </row>
  </sheetData>
  <mergeCells count="3">
    <mergeCell ref="A1:D1"/>
    <mergeCell ref="F1:I1"/>
    <mergeCell ref="K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Lower Komati Monthly (Main)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Mathonsi (22008826)</dc:creator>
  <cp:lastModifiedBy>S Mathonsi (22008826)</cp:lastModifiedBy>
  <dcterms:created xsi:type="dcterms:W3CDTF">2026-04-07T20:59:23Z</dcterms:created>
  <dcterms:modified xsi:type="dcterms:W3CDTF">2026-04-07T21:49:18Z</dcterms:modified>
</cp:coreProperties>
</file>