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8_{1F981F1F-677D-4224-BF33-28AACC2C3D74}" xr6:coauthVersionLast="47" xr6:coauthVersionMax="47" xr10:uidLastSave="{00000000-0000-0000-0000-000000000000}"/>
  <bookViews>
    <workbookView xWindow="-108" yWindow="-108" windowWidth="23256" windowHeight="12456" xr2:uid="{55667C92-6D3F-4AF4-B21C-FDF9680DBD28}"/>
  </bookViews>
  <sheets>
    <sheet name="Sand workbook (Main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6" i="1" l="1"/>
  <c r="T56" i="1" s="1"/>
  <c r="S55" i="1"/>
  <c r="S54" i="1"/>
  <c r="R54" i="1"/>
  <c r="T54" i="1" s="1"/>
  <c r="U54" i="1" s="1"/>
  <c r="S53" i="1"/>
  <c r="R53" i="1"/>
  <c r="T53" i="1" s="1"/>
  <c r="U53" i="1" s="1"/>
  <c r="S52" i="1"/>
  <c r="R52" i="1"/>
  <c r="T52" i="1" s="1"/>
  <c r="U52" i="1" s="1"/>
  <c r="S51" i="1"/>
  <c r="R51" i="1"/>
  <c r="T51" i="1" s="1"/>
  <c r="U51" i="1" s="1"/>
  <c r="S50" i="1"/>
  <c r="R50" i="1"/>
  <c r="T50" i="1" s="1"/>
  <c r="U50" i="1" s="1"/>
  <c r="S49" i="1"/>
  <c r="R49" i="1"/>
  <c r="T49" i="1" s="1"/>
  <c r="U49" i="1" s="1"/>
  <c r="S48" i="1"/>
  <c r="R48" i="1"/>
  <c r="T48" i="1" s="1"/>
  <c r="U48" i="1" s="1"/>
  <c r="S47" i="1"/>
  <c r="R47" i="1"/>
  <c r="T47" i="1" s="1"/>
  <c r="U47" i="1" s="1"/>
  <c r="S46" i="1"/>
  <c r="R46" i="1"/>
  <c r="Q46" i="1"/>
  <c r="T46" i="1" s="1"/>
  <c r="U46" i="1" s="1"/>
  <c r="T45" i="1"/>
  <c r="U45" i="1" s="1"/>
  <c r="S45" i="1"/>
  <c r="R45" i="1"/>
  <c r="T44" i="1"/>
  <c r="U44" i="1" s="1"/>
  <c r="S44" i="1"/>
  <c r="R44" i="1"/>
  <c r="M44" i="1"/>
  <c r="N44" i="1" s="1"/>
  <c r="L44" i="1"/>
  <c r="K44" i="1"/>
  <c r="C44" i="1"/>
  <c r="S43" i="1"/>
  <c r="M43" i="1"/>
  <c r="N43" i="1" s="1"/>
  <c r="L43" i="1"/>
  <c r="K43" i="1"/>
  <c r="C43" i="1"/>
  <c r="S42" i="1"/>
  <c r="R42" i="1"/>
  <c r="T42" i="1" s="1"/>
  <c r="U42" i="1" s="1"/>
  <c r="L42" i="1"/>
  <c r="K42" i="1"/>
  <c r="M42" i="1" s="1"/>
  <c r="N42" i="1" s="1"/>
  <c r="C42" i="1"/>
  <c r="S41" i="1"/>
  <c r="R41" i="1"/>
  <c r="T41" i="1" s="1"/>
  <c r="U41" i="1" s="1"/>
  <c r="L41" i="1"/>
  <c r="K41" i="1"/>
  <c r="M41" i="1" s="1"/>
  <c r="N41" i="1" s="1"/>
  <c r="C41" i="1"/>
  <c r="T40" i="1"/>
  <c r="U40" i="1" s="1"/>
  <c r="S40" i="1"/>
  <c r="R40" i="1"/>
  <c r="M40" i="1"/>
  <c r="N40" i="1" s="1"/>
  <c r="L40" i="1"/>
  <c r="K40" i="1"/>
  <c r="C40" i="1"/>
  <c r="U39" i="1"/>
  <c r="T39" i="1"/>
  <c r="S39" i="1"/>
  <c r="R39" i="1"/>
  <c r="N39" i="1"/>
  <c r="M39" i="1"/>
  <c r="L39" i="1"/>
  <c r="K39" i="1"/>
  <c r="C39" i="1"/>
  <c r="S38" i="1"/>
  <c r="R38" i="1"/>
  <c r="T38" i="1" s="1"/>
  <c r="U38" i="1" s="1"/>
  <c r="L38" i="1"/>
  <c r="K38" i="1"/>
  <c r="M38" i="1" s="1"/>
  <c r="N38" i="1" s="1"/>
  <c r="C38" i="1"/>
  <c r="S37" i="1"/>
  <c r="R37" i="1"/>
  <c r="T37" i="1" s="1"/>
  <c r="U37" i="1" s="1"/>
  <c r="L37" i="1"/>
  <c r="K37" i="1"/>
  <c r="M37" i="1" s="1"/>
  <c r="N37" i="1" s="1"/>
  <c r="C37" i="1"/>
  <c r="T36" i="1"/>
  <c r="U36" i="1" s="1"/>
  <c r="S36" i="1"/>
  <c r="R36" i="1"/>
  <c r="M36" i="1"/>
  <c r="N36" i="1" s="1"/>
  <c r="L36" i="1"/>
  <c r="K36" i="1"/>
  <c r="C36" i="1"/>
  <c r="U35" i="1"/>
  <c r="T35" i="1"/>
  <c r="S35" i="1"/>
  <c r="R35" i="1"/>
  <c r="N35" i="1"/>
  <c r="M35" i="1"/>
  <c r="L35" i="1"/>
  <c r="K35" i="1"/>
  <c r="C35" i="1"/>
  <c r="S34" i="1"/>
  <c r="R34" i="1"/>
  <c r="T34" i="1" s="1"/>
  <c r="U34" i="1" s="1"/>
  <c r="L34" i="1"/>
  <c r="K34" i="1"/>
  <c r="M34" i="1" s="1"/>
  <c r="N34" i="1" s="1"/>
  <c r="C34" i="1"/>
  <c r="S33" i="1"/>
  <c r="R33" i="1"/>
  <c r="T33" i="1" s="1"/>
  <c r="U33" i="1" s="1"/>
  <c r="L33" i="1"/>
  <c r="K33" i="1"/>
  <c r="M33" i="1" s="1"/>
  <c r="N33" i="1" s="1"/>
  <c r="C33" i="1"/>
  <c r="T32" i="1"/>
  <c r="U32" i="1" s="1"/>
  <c r="S32" i="1"/>
  <c r="R32" i="1"/>
  <c r="M32" i="1"/>
  <c r="N32" i="1" s="1"/>
  <c r="L32" i="1"/>
  <c r="K32" i="1"/>
  <c r="C32" i="1"/>
  <c r="U31" i="1"/>
  <c r="T31" i="1"/>
  <c r="S31" i="1"/>
  <c r="R31" i="1"/>
  <c r="N31" i="1"/>
  <c r="M31" i="1"/>
  <c r="L31" i="1"/>
  <c r="K31" i="1"/>
  <c r="C31" i="1"/>
  <c r="S30" i="1"/>
  <c r="R30" i="1"/>
  <c r="T30" i="1" s="1"/>
  <c r="U30" i="1" s="1"/>
  <c r="L30" i="1"/>
  <c r="K30" i="1"/>
  <c r="M30" i="1" s="1"/>
  <c r="N30" i="1" s="1"/>
  <c r="C30" i="1"/>
  <c r="S29" i="1"/>
  <c r="R29" i="1"/>
  <c r="T29" i="1" s="1"/>
  <c r="U29" i="1" s="1"/>
  <c r="L29" i="1"/>
  <c r="K29" i="1"/>
  <c r="M29" i="1" s="1"/>
  <c r="N29" i="1" s="1"/>
  <c r="C29" i="1"/>
  <c r="T28" i="1"/>
  <c r="U28" i="1" s="1"/>
  <c r="S28" i="1"/>
  <c r="R28" i="1"/>
  <c r="M28" i="1"/>
  <c r="N28" i="1" s="1"/>
  <c r="L28" i="1"/>
  <c r="K28" i="1"/>
  <c r="C28" i="1"/>
  <c r="U27" i="1"/>
  <c r="T27" i="1"/>
  <c r="S27" i="1"/>
  <c r="R27" i="1"/>
  <c r="N27" i="1"/>
  <c r="M27" i="1"/>
  <c r="L27" i="1"/>
  <c r="K27" i="1"/>
  <c r="C27" i="1"/>
  <c r="S26" i="1"/>
  <c r="R26" i="1"/>
  <c r="T26" i="1" s="1"/>
  <c r="U26" i="1" s="1"/>
  <c r="L26" i="1"/>
  <c r="K26" i="1"/>
  <c r="M26" i="1" s="1"/>
  <c r="N26" i="1" s="1"/>
  <c r="C26" i="1"/>
  <c r="S25" i="1"/>
  <c r="R25" i="1"/>
  <c r="T25" i="1" s="1"/>
  <c r="U25" i="1" s="1"/>
  <c r="L25" i="1"/>
  <c r="K25" i="1"/>
  <c r="M25" i="1" s="1"/>
  <c r="N25" i="1" s="1"/>
  <c r="C25" i="1"/>
  <c r="T24" i="1"/>
  <c r="U24" i="1" s="1"/>
  <c r="S24" i="1"/>
  <c r="R24" i="1"/>
  <c r="M24" i="1"/>
  <c r="N24" i="1" s="1"/>
  <c r="L24" i="1"/>
  <c r="K24" i="1"/>
  <c r="C24" i="1"/>
  <c r="U23" i="1"/>
  <c r="T23" i="1"/>
  <c r="S23" i="1"/>
  <c r="R23" i="1"/>
  <c r="N23" i="1"/>
  <c r="M23" i="1"/>
  <c r="L23" i="1"/>
  <c r="K23" i="1"/>
  <c r="C23" i="1"/>
  <c r="S22" i="1"/>
  <c r="R22" i="1"/>
  <c r="T22" i="1" s="1"/>
  <c r="U22" i="1" s="1"/>
  <c r="L22" i="1"/>
  <c r="K22" i="1"/>
  <c r="M22" i="1" s="1"/>
  <c r="N22" i="1" s="1"/>
  <c r="C22" i="1"/>
  <c r="S21" i="1"/>
  <c r="R21" i="1"/>
  <c r="T21" i="1" s="1"/>
  <c r="U21" i="1" s="1"/>
  <c r="L21" i="1"/>
  <c r="K21" i="1"/>
  <c r="M21" i="1" s="1"/>
  <c r="N21" i="1" s="1"/>
  <c r="C21" i="1"/>
  <c r="T20" i="1"/>
  <c r="U20" i="1" s="1"/>
  <c r="S20" i="1"/>
  <c r="R20" i="1"/>
  <c r="M20" i="1"/>
  <c r="N20" i="1" s="1"/>
  <c r="L20" i="1"/>
  <c r="K20" i="1"/>
  <c r="C20" i="1"/>
  <c r="U19" i="1"/>
  <c r="T19" i="1"/>
  <c r="S19" i="1"/>
  <c r="R19" i="1"/>
  <c r="N19" i="1"/>
  <c r="M19" i="1"/>
  <c r="L19" i="1"/>
  <c r="K19" i="1"/>
  <c r="C19" i="1"/>
  <c r="S18" i="1"/>
  <c r="R18" i="1"/>
  <c r="T18" i="1" s="1"/>
  <c r="U18" i="1" s="1"/>
  <c r="L18" i="1"/>
  <c r="K18" i="1"/>
  <c r="M18" i="1" s="1"/>
  <c r="N18" i="1" s="1"/>
  <c r="B18" i="1"/>
  <c r="C18" i="1" s="1"/>
  <c r="T17" i="1"/>
  <c r="U17" i="1" s="1"/>
  <c r="S17" i="1"/>
  <c r="R17" i="1"/>
  <c r="M17" i="1"/>
  <c r="N17" i="1" s="1"/>
  <c r="L17" i="1"/>
  <c r="K17" i="1"/>
  <c r="C17" i="1"/>
  <c r="U16" i="1"/>
  <c r="T16" i="1"/>
  <c r="S16" i="1"/>
  <c r="R16" i="1"/>
  <c r="M16" i="1"/>
  <c r="N16" i="1" s="1"/>
  <c r="L16" i="1"/>
  <c r="K16" i="1"/>
  <c r="C16" i="1"/>
  <c r="S15" i="1"/>
  <c r="R15" i="1"/>
  <c r="T15" i="1" s="1"/>
  <c r="U15" i="1" s="1"/>
  <c r="L15" i="1"/>
  <c r="K15" i="1"/>
  <c r="M15" i="1" s="1"/>
  <c r="N15" i="1" s="1"/>
  <c r="C15" i="1"/>
  <c r="S14" i="1"/>
  <c r="R14" i="1"/>
  <c r="T14" i="1" s="1"/>
  <c r="U14" i="1" s="1"/>
  <c r="L14" i="1"/>
  <c r="K14" i="1"/>
  <c r="M14" i="1" s="1"/>
  <c r="N14" i="1" s="1"/>
  <c r="C14" i="1"/>
  <c r="T13" i="1"/>
  <c r="U13" i="1" s="1"/>
  <c r="S13" i="1"/>
  <c r="R13" i="1"/>
  <c r="M13" i="1"/>
  <c r="N13" i="1" s="1"/>
  <c r="L13" i="1"/>
  <c r="K13" i="1"/>
  <c r="C13" i="1"/>
  <c r="U12" i="1"/>
  <c r="T12" i="1"/>
  <c r="S12" i="1"/>
  <c r="R12" i="1"/>
  <c r="N12" i="1"/>
  <c r="M12" i="1"/>
  <c r="L12" i="1"/>
  <c r="K12" i="1"/>
  <c r="C12" i="1"/>
  <c r="S11" i="1"/>
  <c r="R11" i="1"/>
  <c r="T11" i="1" s="1"/>
  <c r="U11" i="1" s="1"/>
  <c r="L11" i="1"/>
  <c r="K11" i="1"/>
  <c r="M11" i="1" s="1"/>
  <c r="N11" i="1" s="1"/>
  <c r="C11" i="1"/>
  <c r="S10" i="1"/>
  <c r="R10" i="1"/>
  <c r="T10" i="1" s="1"/>
  <c r="U10" i="1" s="1"/>
  <c r="L10" i="1"/>
  <c r="K10" i="1"/>
  <c r="M10" i="1" s="1"/>
  <c r="N10" i="1" s="1"/>
  <c r="C10" i="1"/>
  <c r="T9" i="1"/>
  <c r="U9" i="1" s="1"/>
  <c r="S9" i="1"/>
  <c r="R9" i="1"/>
  <c r="M9" i="1"/>
  <c r="N9" i="1" s="1"/>
  <c r="L9" i="1"/>
  <c r="K9" i="1"/>
  <c r="C9" i="1"/>
  <c r="T8" i="1"/>
  <c r="U8" i="1" s="1"/>
  <c r="S8" i="1"/>
  <c r="R8" i="1"/>
  <c r="M8" i="1"/>
  <c r="N8" i="1" s="1"/>
  <c r="L8" i="1"/>
  <c r="K8" i="1"/>
  <c r="B8" i="1"/>
  <c r="C8" i="1" s="1"/>
  <c r="S7" i="1"/>
  <c r="R7" i="1"/>
  <c r="T7" i="1" s="1"/>
  <c r="U7" i="1" s="1"/>
  <c r="L7" i="1"/>
  <c r="K7" i="1"/>
  <c r="M7" i="1" s="1"/>
  <c r="N7" i="1" s="1"/>
  <c r="C7" i="1"/>
  <c r="T6" i="1"/>
  <c r="U6" i="1" s="1"/>
  <c r="S6" i="1"/>
  <c r="R6" i="1"/>
  <c r="M6" i="1"/>
  <c r="N6" i="1" s="1"/>
  <c r="L6" i="1"/>
  <c r="K6" i="1"/>
  <c r="C6" i="1"/>
  <c r="T5" i="1"/>
  <c r="U5" i="1" s="1"/>
  <c r="S5" i="1"/>
  <c r="R5" i="1"/>
  <c r="M5" i="1"/>
  <c r="N5" i="1" s="1"/>
  <c r="L5" i="1"/>
  <c r="K5" i="1"/>
  <c r="C5" i="1"/>
  <c r="S4" i="1"/>
  <c r="R4" i="1"/>
  <c r="T4" i="1" s="1"/>
  <c r="U4" i="1" s="1"/>
  <c r="L4" i="1"/>
  <c r="K4" i="1"/>
  <c r="M4" i="1" s="1"/>
  <c r="N4" i="1" s="1"/>
  <c r="C4" i="1"/>
  <c r="F10" i="1" l="1"/>
  <c r="G10" i="1" s="1"/>
  <c r="F21" i="1"/>
  <c r="E43" i="1"/>
  <c r="F8" i="1"/>
  <c r="G8" i="1" s="1"/>
  <c r="F41" i="1"/>
  <c r="G41" i="1" s="1"/>
  <c r="F11" i="1"/>
  <c r="G11" i="1" s="1"/>
  <c r="F31" i="1"/>
  <c r="U56" i="1"/>
  <c r="D7" i="1"/>
  <c r="F7" i="1" s="1"/>
  <c r="G7" i="1" s="1"/>
  <c r="D10" i="1"/>
  <c r="E13" i="1"/>
  <c r="D21" i="1"/>
  <c r="E24" i="1"/>
  <c r="D29" i="1"/>
  <c r="F29" i="1" s="1"/>
  <c r="G29" i="1" s="1"/>
  <c r="E32" i="1"/>
  <c r="D37" i="1"/>
  <c r="F37" i="1" s="1"/>
  <c r="G37" i="1" s="1"/>
  <c r="E40" i="1"/>
  <c r="R55" i="1"/>
  <c r="T55" i="1" s="1"/>
  <c r="U55" i="1" s="1"/>
  <c r="E10" i="1"/>
  <c r="D15" i="1"/>
  <c r="F15" i="1" s="1"/>
  <c r="G15" i="1" s="1"/>
  <c r="D18" i="1"/>
  <c r="F18" i="1" s="1"/>
  <c r="G18" i="1" s="1"/>
  <c r="E21" i="1"/>
  <c r="D26" i="1"/>
  <c r="F26" i="1" s="1"/>
  <c r="G26" i="1" s="1"/>
  <c r="E29" i="1"/>
  <c r="D34" i="1"/>
  <c r="F34" i="1" s="1"/>
  <c r="G34" i="1" s="1"/>
  <c r="E37" i="1"/>
  <c r="D42" i="1"/>
  <c r="F42" i="1" s="1"/>
  <c r="G42" i="1" s="1"/>
  <c r="D4" i="1"/>
  <c r="E7" i="1"/>
  <c r="E4" i="1"/>
  <c r="D12" i="1"/>
  <c r="F12" i="1" s="1"/>
  <c r="E15" i="1"/>
  <c r="E18" i="1"/>
  <c r="D23" i="1"/>
  <c r="F23" i="1" s="1"/>
  <c r="G23" i="1" s="1"/>
  <c r="E26" i="1"/>
  <c r="D31" i="1"/>
  <c r="E34" i="1"/>
  <c r="D39" i="1"/>
  <c r="F39" i="1" s="1"/>
  <c r="G39" i="1" s="1"/>
  <c r="E42" i="1"/>
  <c r="F4" i="1"/>
  <c r="G4" i="1" s="1"/>
  <c r="D6" i="1"/>
  <c r="F6" i="1" s="1"/>
  <c r="G6" i="1" s="1"/>
  <c r="D9" i="1"/>
  <c r="F9" i="1" s="1"/>
  <c r="G9" i="1" s="1"/>
  <c r="E12" i="1"/>
  <c r="D17" i="1"/>
  <c r="F17" i="1" s="1"/>
  <c r="D20" i="1"/>
  <c r="F20" i="1" s="1"/>
  <c r="E23" i="1"/>
  <c r="D28" i="1"/>
  <c r="F28" i="1" s="1"/>
  <c r="E31" i="1"/>
  <c r="D36" i="1"/>
  <c r="F36" i="1" s="1"/>
  <c r="G36" i="1" s="1"/>
  <c r="E39" i="1"/>
  <c r="D44" i="1"/>
  <c r="F44" i="1" s="1"/>
  <c r="G44" i="1" s="1"/>
  <c r="E6" i="1"/>
  <c r="E9" i="1"/>
  <c r="D14" i="1"/>
  <c r="F14" i="1" s="1"/>
  <c r="G14" i="1" s="1"/>
  <c r="E17" i="1"/>
  <c r="E20" i="1"/>
  <c r="D25" i="1"/>
  <c r="F25" i="1" s="1"/>
  <c r="G25" i="1" s="1"/>
  <c r="E28" i="1"/>
  <c r="D33" i="1"/>
  <c r="F33" i="1" s="1"/>
  <c r="G33" i="1" s="1"/>
  <c r="E36" i="1"/>
  <c r="D41" i="1"/>
  <c r="E44" i="1"/>
  <c r="D11" i="1"/>
  <c r="E14" i="1"/>
  <c r="D22" i="1"/>
  <c r="F22" i="1" s="1"/>
  <c r="G22" i="1" s="1"/>
  <c r="E25" i="1"/>
  <c r="D30" i="1"/>
  <c r="F30" i="1" s="1"/>
  <c r="G30" i="1" s="1"/>
  <c r="E33" i="1"/>
  <c r="D38" i="1"/>
  <c r="F38" i="1" s="1"/>
  <c r="G38" i="1" s="1"/>
  <c r="E41" i="1"/>
  <c r="S56" i="1"/>
  <c r="D5" i="1"/>
  <c r="F5" i="1" s="1"/>
  <c r="G5" i="1" s="1"/>
  <c r="D8" i="1"/>
  <c r="E11" i="1"/>
  <c r="D16" i="1"/>
  <c r="F16" i="1" s="1"/>
  <c r="G16" i="1" s="1"/>
  <c r="D19" i="1"/>
  <c r="F19" i="1" s="1"/>
  <c r="G19" i="1" s="1"/>
  <c r="E22" i="1"/>
  <c r="D27" i="1"/>
  <c r="F27" i="1" s="1"/>
  <c r="G27" i="1" s="1"/>
  <c r="E30" i="1"/>
  <c r="D35" i="1"/>
  <c r="F35" i="1" s="1"/>
  <c r="G35" i="1" s="1"/>
  <c r="E38" i="1"/>
  <c r="D43" i="1"/>
  <c r="F43" i="1" s="1"/>
  <c r="G43" i="1" s="1"/>
  <c r="R43" i="1"/>
  <c r="T43" i="1" s="1"/>
  <c r="U43" i="1" s="1"/>
  <c r="E5" i="1"/>
  <c r="E8" i="1"/>
  <c r="D13" i="1"/>
  <c r="F13" i="1" s="1"/>
  <c r="E16" i="1"/>
  <c r="E19" i="1"/>
  <c r="D24" i="1"/>
  <c r="F24" i="1" s="1"/>
  <c r="G24" i="1" s="1"/>
  <c r="E27" i="1"/>
  <c r="D32" i="1"/>
  <c r="F32" i="1" s="1"/>
  <c r="G32" i="1" s="1"/>
  <c r="E35" i="1"/>
  <c r="D40" i="1"/>
  <c r="F40" i="1" s="1"/>
  <c r="G40" i="1" s="1"/>
  <c r="G31" i="1" l="1"/>
  <c r="G21" i="1"/>
  <c r="G28" i="1"/>
  <c r="G12" i="1"/>
  <c r="G13" i="1"/>
  <c r="G20" i="1"/>
  <c r="G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tc={7C87757D-3E00-4010-8BA0-DC305A71B54D}</author>
    <author>tc={B646361C-28C5-4F4C-ADB9-777D3D514506}</author>
  </authors>
  <commentList>
    <comment ref="J31" authorId="0" shapeId="0" xr:uid="{7C87757D-3E00-4010-8BA0-DC305A71B54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were missing flow data on the 1st, 6th, 7th, 14th, 15th, 16th, 17th and 18th.</t>
      </text>
    </comment>
    <comment ref="J44" authorId="1" shapeId="0" xr:uid="{B646361C-28C5-4F4C-ADB9-777D3D51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flow data from 19-26 February 2026</t>
      </text>
    </comment>
  </commentList>
</comments>
</file>

<file path=xl/sharedStrings.xml><?xml version="1.0" encoding="utf-8"?>
<sst xmlns="http://schemas.openxmlformats.org/spreadsheetml/2006/main" count="20" uniqueCount="16">
  <si>
    <t>Recharge</t>
  </si>
  <si>
    <t>Baseflow</t>
  </si>
  <si>
    <t>Groundwater levels</t>
  </si>
  <si>
    <t>Date</t>
  </si>
  <si>
    <t>Recharge (inches)</t>
  </si>
  <si>
    <t>Recharge(mm/a)</t>
  </si>
  <si>
    <t>Average recharge</t>
  </si>
  <si>
    <t>STDEV</t>
  </si>
  <si>
    <t>SI</t>
  </si>
  <si>
    <t>Average baseflow</t>
  </si>
  <si>
    <t xml:space="preserve">Standard deviation </t>
  </si>
  <si>
    <t>Standardized index</t>
  </si>
  <si>
    <t>Date (monthly)</t>
  </si>
  <si>
    <t>GWL</t>
  </si>
  <si>
    <t>Average GWL</t>
  </si>
  <si>
    <t>2024 - 2025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</si>
</sst>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/>
    <xf numFmtId="0" fontId="0" fillId="3" borderId="3" xfId="0" applyFill="1" applyBorder="1" applyAlignment="1">
      <alignment horizontal="center"/>
    </xf>
    <xf numFmtId="164" fontId="0" fillId="4" borderId="5" xfId="0" applyNumberFormat="1" applyFill="1" applyBorder="1"/>
    <xf numFmtId="0" fontId="0" fillId="4" borderId="5" xfId="0" applyFill="1" applyBorder="1"/>
    <xf numFmtId="165" fontId="0" fillId="4" borderId="5" xfId="0" applyNumberFormat="1" applyFill="1" applyBorder="1"/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0" fillId="4" borderId="6" xfId="0" applyFill="1" applyBorder="1"/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center"/>
    </xf>
    <xf numFmtId="164" fontId="2" fillId="2" borderId="5" xfId="0" applyNumberFormat="1" applyFont="1" applyFill="1" applyBorder="1"/>
    <xf numFmtId="165" fontId="2" fillId="2" borderId="5" xfId="0" applyNumberFormat="1" applyFont="1" applyFill="1" applyBorder="1"/>
    <xf numFmtId="165" fontId="2" fillId="5" borderId="5" xfId="0" applyNumberFormat="1" applyFont="1" applyFill="1" applyBorder="1"/>
    <xf numFmtId="165" fontId="0" fillId="2" borderId="5" xfId="0" applyNumberFormat="1" applyFill="1" applyBorder="1"/>
    <xf numFmtId="2" fontId="0" fillId="2" borderId="5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6" fontId="0" fillId="2" borderId="5" xfId="0" applyNumberFormat="1" applyFill="1" applyBorder="1"/>
    <xf numFmtId="164" fontId="2" fillId="2" borderId="5" xfId="0" applyNumberFormat="1" applyFont="1" applyFill="1" applyBorder="1" applyAlignment="1">
      <alignment horizontal="center"/>
    </xf>
    <xf numFmtId="2" fontId="0" fillId="3" borderId="7" xfId="0" applyNumberFormat="1" applyFill="1" applyBorder="1"/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2" borderId="8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166" fontId="0" fillId="2" borderId="10" xfId="0" applyNumberFormat="1" applyFill="1" applyBorder="1"/>
    <xf numFmtId="165" fontId="0" fillId="0" borderId="0" xfId="0" applyNumberFormat="1" applyAlignment="1">
      <alignment horizontal="center"/>
    </xf>
    <xf numFmtId="2" fontId="0" fillId="2" borderId="2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6" fontId="0" fillId="2" borderId="11" xfId="0" applyNumberFormat="1" applyFill="1" applyBorder="1"/>
    <xf numFmtId="2" fontId="0" fillId="2" borderId="2" xfId="0" applyNumberFormat="1" applyFill="1" applyBorder="1" applyAlignment="1">
      <alignment horizontal="center" wrapText="1"/>
    </xf>
    <xf numFmtId="164" fontId="2" fillId="2" borderId="10" xfId="0" applyNumberFormat="1" applyFont="1" applyFill="1" applyBorder="1" applyAlignment="1">
      <alignment horizontal="center"/>
    </xf>
    <xf numFmtId="2" fontId="0" fillId="3" borderId="12" xfId="0" applyNumberFormat="1" applyFill="1" applyBorder="1"/>
    <xf numFmtId="2" fontId="0" fillId="3" borderId="9" xfId="0" applyNumberFormat="1" applyFill="1" applyBorder="1"/>
    <xf numFmtId="2" fontId="0" fillId="3" borderId="10" xfId="0" applyNumberFormat="1" applyFill="1" applyBorder="1"/>
    <xf numFmtId="0" fontId="0" fillId="3" borderId="11" xfId="0" applyFill="1" applyBorder="1"/>
    <xf numFmtId="165" fontId="0" fillId="6" borderId="0" xfId="0" applyNumberFormat="1" applyFill="1" applyAlignment="1">
      <alignment horizontal="center"/>
    </xf>
    <xf numFmtId="164" fontId="0" fillId="2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0" fontId="0" fillId="0" borderId="8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langelani Marikele" id="{9BB989FE-9375-4D0D-AD53-E502FA65BEA0}" userId="S::marikelet@iucma.co.za::07ca8eb7-6030-4d7f-b16b-36f71c558a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1" dT="2025-02-18T06:23:10.96" personId="{9BB989FE-9375-4D0D-AD53-E502FA65BEA0}" id="{7C87757D-3E00-4010-8BA0-DC305A71B54D}">
    <text>There were missing flow data on the 1st, 6th, 7th, 14th, 15th, 16th, 17th and 18th.</text>
  </threadedComment>
  <threadedComment ref="J44" dT="2026-03-12T10:39:48.44" personId="{9BB989FE-9375-4D0D-AD53-E502FA65BEA0}" id="{B646361C-28C5-4F4C-ADB9-777D3D514506}">
    <text>Missing flow data from 19-26 February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443F-963F-4D6B-AC4B-12BF7557E579}">
  <dimension ref="A1:V609"/>
  <sheetViews>
    <sheetView tabSelected="1" zoomScaleNormal="100" workbookViewId="0">
      <selection activeCell="K15" sqref="K15"/>
    </sheetView>
  </sheetViews>
  <sheetFormatPr defaultRowHeight="14.4" x14ac:dyDescent="0.3"/>
  <cols>
    <col min="1" max="1" width="15.5546875" style="45" customWidth="1"/>
    <col min="2" max="2" width="18.6640625" style="9" customWidth="1"/>
    <col min="3" max="3" width="19.5546875" style="9" customWidth="1"/>
    <col min="4" max="4" width="22.88671875" style="9" customWidth="1"/>
    <col min="5" max="5" width="16" style="9" customWidth="1"/>
    <col min="6" max="6" width="13.6640625" style="9" customWidth="1"/>
    <col min="7" max="7" width="11.5546875" style="9" customWidth="1"/>
    <col min="9" max="9" width="15.33203125" style="7" customWidth="1"/>
    <col min="10" max="10" width="14.88671875" style="23" customWidth="1"/>
    <col min="11" max="11" width="15.44140625" style="7" customWidth="1"/>
    <col min="12" max="12" width="18.33203125" style="7" bestFit="1" customWidth="1"/>
    <col min="13" max="13" width="13.88671875" style="8" customWidth="1"/>
    <col min="14" max="14" width="18.109375" style="9" customWidth="1"/>
    <col min="15" max="15" width="18" customWidth="1"/>
    <col min="16" max="16" width="18.6640625" style="50" bestFit="1" customWidth="1"/>
    <col min="17" max="17" width="21.33203125" customWidth="1"/>
    <col min="18" max="18" width="12.109375" bestFit="1" customWidth="1"/>
    <col min="19" max="19" width="18.33203125" bestFit="1" customWidth="1"/>
    <col min="20" max="20" width="12.33203125" bestFit="1" customWidth="1"/>
    <col min="21" max="21" width="18.6640625" bestFit="1" customWidth="1"/>
    <col min="22" max="22" width="11" customWidth="1"/>
  </cols>
  <sheetData>
    <row r="1" spans="1:22" ht="20.2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3" t="s">
        <v>0</v>
      </c>
      <c r="B2" s="4"/>
      <c r="C2" s="4"/>
      <c r="D2" s="4"/>
      <c r="E2" s="4"/>
      <c r="F2" s="4"/>
      <c r="G2" s="5"/>
      <c r="I2" s="6" t="s">
        <v>1</v>
      </c>
      <c r="J2" s="6"/>
      <c r="K2" s="6"/>
      <c r="P2" s="10" t="s">
        <v>2</v>
      </c>
      <c r="Q2" s="10"/>
      <c r="R2" s="10"/>
      <c r="S2" s="10"/>
      <c r="T2" s="10"/>
      <c r="U2" s="10"/>
    </row>
    <row r="3" spans="1:22" x14ac:dyDescent="0.3">
      <c r="A3" s="11" t="s">
        <v>3</v>
      </c>
      <c r="B3" s="12" t="s">
        <v>4</v>
      </c>
      <c r="C3" s="12" t="s">
        <v>5</v>
      </c>
      <c r="D3" s="13" t="s">
        <v>6</v>
      </c>
      <c r="E3" s="13" t="s">
        <v>7</v>
      </c>
      <c r="F3" s="12"/>
      <c r="G3" s="12" t="s">
        <v>8</v>
      </c>
      <c r="I3" s="14" t="s">
        <v>3</v>
      </c>
      <c r="J3" s="15" t="s">
        <v>1</v>
      </c>
      <c r="K3" s="14" t="s">
        <v>9</v>
      </c>
      <c r="L3" s="12" t="s">
        <v>10</v>
      </c>
      <c r="M3" s="16"/>
      <c r="N3" s="14" t="s">
        <v>11</v>
      </c>
      <c r="O3" s="17"/>
      <c r="P3" s="14" t="s">
        <v>12</v>
      </c>
      <c r="Q3" s="18" t="s">
        <v>13</v>
      </c>
      <c r="R3" s="14" t="s">
        <v>14</v>
      </c>
      <c r="S3" s="12" t="s">
        <v>10</v>
      </c>
      <c r="T3" s="16"/>
      <c r="U3" s="14" t="s">
        <v>11</v>
      </c>
    </row>
    <row r="4" spans="1:22" x14ac:dyDescent="0.3">
      <c r="A4" s="19">
        <v>44856</v>
      </c>
      <c r="B4" s="20">
        <v>0</v>
      </c>
      <c r="C4" s="21">
        <f>25.4*B4</f>
        <v>0</v>
      </c>
      <c r="D4" s="22">
        <f>AVERAGE($C$4:$C$104)</f>
        <v>5.1946097560975604</v>
      </c>
      <c r="E4" s="22">
        <f>_xlfn.STDEV.S($C$4:$C$45)</f>
        <v>5.0218668883098099</v>
      </c>
      <c r="F4" s="22">
        <f>C4-D4</f>
        <v>-5.1946097560975604</v>
      </c>
      <c r="G4" s="22">
        <f>F4/E4</f>
        <v>-1.0343981375113449</v>
      </c>
      <c r="I4" s="19">
        <v>44856</v>
      </c>
      <c r="J4" s="23">
        <v>5.4983108108108088E-2</v>
      </c>
      <c r="K4" s="24">
        <f>AVERAGE($J$4:$J$215)</f>
        <v>1.5782823755624662</v>
      </c>
      <c r="L4" s="24">
        <f>_xlfn.STDEV.S($J$4:$J$226)</f>
        <v>3.1378022534099972</v>
      </c>
      <c r="M4" s="25">
        <f>J4-K4</f>
        <v>-1.5232992674543582</v>
      </c>
      <c r="N4" s="26">
        <f>M4/L4</f>
        <v>-0.4854669429212492</v>
      </c>
      <c r="P4" s="27">
        <v>44479</v>
      </c>
      <c r="Q4" s="28">
        <v>529.51599999999996</v>
      </c>
      <c r="R4" s="29">
        <f>AVERAGE($Q$4:$Q$450)</f>
        <v>529.76454072398064</v>
      </c>
      <c r="S4" s="29">
        <f>_xlfn.STDEV.S($Q$4:$Q$390)</f>
        <v>0.19402872596218915</v>
      </c>
      <c r="T4" s="30">
        <f>Q4-R4</f>
        <v>-0.24854072398068183</v>
      </c>
      <c r="U4" s="29">
        <f>T4/S4</f>
        <v>-1.2809480799720119</v>
      </c>
    </row>
    <row r="5" spans="1:22" x14ac:dyDescent="0.3">
      <c r="A5" s="19">
        <v>44887</v>
      </c>
      <c r="B5" s="20">
        <v>7.0000000000000007E-2</v>
      </c>
      <c r="C5" s="21">
        <f t="shared" ref="C5:C44" si="0">25.4*B5</f>
        <v>1.778</v>
      </c>
      <c r="D5" s="22">
        <f t="shared" ref="D5:D44" si="1">AVERAGE($C$4:$C$104)</f>
        <v>5.1946097560975604</v>
      </c>
      <c r="E5" s="22">
        <f>_xlfn.STDEV.S($C$4:$C$45)</f>
        <v>5.0218668883098099</v>
      </c>
      <c r="F5" s="22">
        <f t="shared" ref="F5:F44" si="2">C5-D5</f>
        <v>-3.4166097560975603</v>
      </c>
      <c r="G5" s="22">
        <f t="shared" ref="G5:G44" si="3">F5/E5</f>
        <v>-0.68034653886405083</v>
      </c>
      <c r="I5" s="19">
        <v>44887</v>
      </c>
      <c r="J5" s="23">
        <v>0.13071283358914804</v>
      </c>
      <c r="K5" s="24">
        <f t="shared" ref="K5:K44" si="4">AVERAGE($J$4:$J$215)</f>
        <v>1.5782823755624662</v>
      </c>
      <c r="L5" s="24">
        <f t="shared" ref="L5:L44" si="5">_xlfn.STDEV.S($J$4:$J$226)</f>
        <v>3.1378022534099972</v>
      </c>
      <c r="M5" s="25">
        <f t="shared" ref="M5:M44" si="6">J5-K5</f>
        <v>-1.4475695419733181</v>
      </c>
      <c r="N5" s="26">
        <f t="shared" ref="N5:N44" si="7">M5/L5</f>
        <v>-0.46133230365303496</v>
      </c>
      <c r="P5" s="27">
        <v>44510</v>
      </c>
      <c r="Q5" s="28">
        <v>529.56099999999992</v>
      </c>
      <c r="R5" s="29">
        <f t="shared" ref="R5:R56" si="8">AVERAGE($Q$4:$Q$450)</f>
        <v>529.76454072398064</v>
      </c>
      <c r="S5" s="29">
        <f t="shared" ref="S5:S56" si="9">_xlfn.STDEV.S($Q$4:$Q$390)</f>
        <v>0.19402872596218915</v>
      </c>
      <c r="T5" s="30">
        <f t="shared" ref="T5:T56" si="10">Q5-R5</f>
        <v>-0.20354072398072276</v>
      </c>
      <c r="U5" s="29">
        <f t="shared" ref="U5:U56" si="11">T5/S5</f>
        <v>-1.0490236585916006</v>
      </c>
    </row>
    <row r="6" spans="1:22" x14ac:dyDescent="0.3">
      <c r="A6" s="19">
        <v>44917</v>
      </c>
      <c r="B6" s="20">
        <v>0.37</v>
      </c>
      <c r="C6" s="21">
        <f t="shared" si="0"/>
        <v>9.3979999999999997</v>
      </c>
      <c r="D6" s="22">
        <f t="shared" si="1"/>
        <v>5.1946097560975604</v>
      </c>
      <c r="E6" s="22">
        <f t="shared" ref="E6:E44" si="12">_xlfn.STDEV.S($C$4:$C$45)</f>
        <v>5.0218668883098099</v>
      </c>
      <c r="F6" s="22">
        <f t="shared" si="2"/>
        <v>4.2033902439024393</v>
      </c>
      <c r="G6" s="22">
        <f t="shared" si="3"/>
        <v>0.83701745533863758</v>
      </c>
      <c r="I6" s="19">
        <v>44917</v>
      </c>
      <c r="J6" s="23">
        <v>0.1927443122948648</v>
      </c>
      <c r="K6" s="24">
        <f t="shared" si="4"/>
        <v>1.5782823755624662</v>
      </c>
      <c r="L6" s="24">
        <f t="shared" si="5"/>
        <v>3.1378022534099972</v>
      </c>
      <c r="M6" s="25">
        <f t="shared" si="6"/>
        <v>-1.3855380632676013</v>
      </c>
      <c r="N6" s="26">
        <f t="shared" si="7"/>
        <v>-0.44156321889369288</v>
      </c>
      <c r="P6" s="27">
        <v>44540</v>
      </c>
      <c r="Q6" s="28">
        <v>529.68200000000002</v>
      </c>
      <c r="R6" s="29">
        <f t="shared" si="8"/>
        <v>529.76454072398064</v>
      </c>
      <c r="S6" s="29">
        <f t="shared" si="9"/>
        <v>0.19402872596218915</v>
      </c>
      <c r="T6" s="30">
        <f t="shared" si="10"/>
        <v>-8.2540723980628172E-2</v>
      </c>
      <c r="U6" s="29">
        <f t="shared" si="11"/>
        <v>-0.42540465887877388</v>
      </c>
    </row>
    <row r="7" spans="1:22" x14ac:dyDescent="0.3">
      <c r="A7" s="19">
        <v>44949</v>
      </c>
      <c r="B7" s="20">
        <v>0.22</v>
      </c>
      <c r="C7" s="21">
        <f t="shared" si="0"/>
        <v>5.5880000000000001</v>
      </c>
      <c r="D7" s="22">
        <f t="shared" si="1"/>
        <v>5.1946097560975604</v>
      </c>
      <c r="E7" s="22">
        <f t="shared" si="12"/>
        <v>5.0218668883098099</v>
      </c>
      <c r="F7" s="22">
        <f t="shared" si="2"/>
        <v>0.39339024390243971</v>
      </c>
      <c r="G7" s="22">
        <f t="shared" si="3"/>
        <v>7.8335458237293404E-2</v>
      </c>
      <c r="I7" s="19">
        <v>44949</v>
      </c>
      <c r="J7" s="23">
        <v>1.4962779695421511</v>
      </c>
      <c r="K7" s="24">
        <f t="shared" si="4"/>
        <v>1.5782823755624662</v>
      </c>
      <c r="L7" s="24">
        <f t="shared" si="5"/>
        <v>3.1378022534099972</v>
      </c>
      <c r="M7" s="25">
        <f t="shared" si="6"/>
        <v>-8.2004406020315113E-2</v>
      </c>
      <c r="N7" s="26">
        <f t="shared" si="7"/>
        <v>-2.6134344804933794E-2</v>
      </c>
      <c r="P7" s="27">
        <v>44571</v>
      </c>
      <c r="Q7" s="28">
        <v>529.60599999999999</v>
      </c>
      <c r="R7" s="29">
        <f t="shared" si="8"/>
        <v>529.76454072398064</v>
      </c>
      <c r="S7" s="29">
        <f t="shared" si="9"/>
        <v>0.19402872596218915</v>
      </c>
      <c r="T7" s="30">
        <f t="shared" si="10"/>
        <v>-0.15854072398065</v>
      </c>
      <c r="U7" s="29">
        <f t="shared" si="11"/>
        <v>-0.81709923721060362</v>
      </c>
    </row>
    <row r="8" spans="1:22" x14ac:dyDescent="0.3">
      <c r="A8" s="19">
        <v>44980</v>
      </c>
      <c r="B8" s="20">
        <f>AVERAGE(B7,B9)</f>
        <v>0.16999999999999998</v>
      </c>
      <c r="C8" s="21">
        <f t="shared" si="0"/>
        <v>4.3179999999999996</v>
      </c>
      <c r="D8" s="22">
        <f t="shared" si="1"/>
        <v>5.1946097560975604</v>
      </c>
      <c r="E8" s="22">
        <f t="shared" si="12"/>
        <v>5.0218668883098099</v>
      </c>
      <c r="F8" s="22">
        <f t="shared" si="2"/>
        <v>-0.87660975609756075</v>
      </c>
      <c r="G8" s="22">
        <f t="shared" si="3"/>
        <v>-0.17455854079648811</v>
      </c>
      <c r="I8" s="19">
        <v>44980</v>
      </c>
      <c r="J8" s="23">
        <v>4.5275179330523851</v>
      </c>
      <c r="K8" s="24">
        <f t="shared" si="4"/>
        <v>1.5782823755624662</v>
      </c>
      <c r="L8" s="24">
        <f t="shared" si="5"/>
        <v>3.1378022534099972</v>
      </c>
      <c r="M8" s="25">
        <f t="shared" si="6"/>
        <v>2.9492355574899189</v>
      </c>
      <c r="N8" s="26">
        <f t="shared" si="7"/>
        <v>0.93990485037253257</v>
      </c>
      <c r="P8" s="27">
        <v>44602</v>
      </c>
      <c r="Q8" s="28">
        <v>529.70799999999997</v>
      </c>
      <c r="R8" s="29">
        <f t="shared" si="8"/>
        <v>529.76454072398064</v>
      </c>
      <c r="S8" s="29">
        <f t="shared" si="9"/>
        <v>0.19402872596218915</v>
      </c>
      <c r="T8" s="30">
        <f t="shared" si="10"/>
        <v>-5.6540723980674557E-2</v>
      </c>
      <c r="U8" s="29">
        <f t="shared" si="11"/>
        <v>-0.29140388208132018</v>
      </c>
    </row>
    <row r="9" spans="1:22" x14ac:dyDescent="0.3">
      <c r="A9" s="19">
        <v>45008</v>
      </c>
      <c r="B9" s="20">
        <v>0.12</v>
      </c>
      <c r="C9" s="21">
        <f t="shared" si="0"/>
        <v>3.0479999999999996</v>
      </c>
      <c r="D9" s="22">
        <f t="shared" si="1"/>
        <v>5.1946097560975604</v>
      </c>
      <c r="E9" s="22">
        <f t="shared" si="12"/>
        <v>5.0218668883098099</v>
      </c>
      <c r="F9" s="22">
        <f t="shared" si="2"/>
        <v>-2.1466097560975608</v>
      </c>
      <c r="G9" s="22">
        <f t="shared" si="3"/>
        <v>-0.42745253983026954</v>
      </c>
      <c r="I9" s="19">
        <v>45008</v>
      </c>
      <c r="J9" s="23">
        <v>5.2946747649087493</v>
      </c>
      <c r="K9" s="24">
        <f t="shared" si="4"/>
        <v>1.5782823755624662</v>
      </c>
      <c r="L9" s="24">
        <f t="shared" si="5"/>
        <v>3.1378022534099972</v>
      </c>
      <c r="M9" s="25">
        <f t="shared" si="6"/>
        <v>3.7163923893462831</v>
      </c>
      <c r="N9" s="26">
        <f t="shared" si="7"/>
        <v>1.184393435025265</v>
      </c>
      <c r="P9" s="27">
        <v>44630</v>
      </c>
      <c r="Q9" s="28">
        <v>529.70799999999997</v>
      </c>
      <c r="R9" s="29">
        <f t="shared" si="8"/>
        <v>529.76454072398064</v>
      </c>
      <c r="S9" s="29">
        <f t="shared" si="9"/>
        <v>0.19402872596218915</v>
      </c>
      <c r="T9" s="30">
        <f t="shared" si="10"/>
        <v>-5.6540723980674557E-2</v>
      </c>
      <c r="U9" s="29">
        <f t="shared" si="11"/>
        <v>-0.29140388208132018</v>
      </c>
    </row>
    <row r="10" spans="1:22" x14ac:dyDescent="0.3">
      <c r="A10" s="19">
        <v>45039</v>
      </c>
      <c r="B10" s="20">
        <v>0.39</v>
      </c>
      <c r="C10" s="21">
        <f t="shared" si="0"/>
        <v>9.9060000000000006</v>
      </c>
      <c r="D10" s="22">
        <f t="shared" si="1"/>
        <v>5.1946097560975604</v>
      </c>
      <c r="E10" s="22">
        <f t="shared" si="12"/>
        <v>5.0218668883098099</v>
      </c>
      <c r="F10" s="22">
        <f t="shared" si="2"/>
        <v>4.7113902439024402</v>
      </c>
      <c r="G10" s="22">
        <f t="shared" si="3"/>
        <v>0.93817505495215037</v>
      </c>
      <c r="I10" s="19">
        <v>45039</v>
      </c>
      <c r="J10" s="23">
        <v>1.5694460206643568</v>
      </c>
      <c r="K10" s="24">
        <f t="shared" si="4"/>
        <v>1.5782823755624662</v>
      </c>
      <c r="L10" s="24">
        <f t="shared" si="5"/>
        <v>3.1378022534099972</v>
      </c>
      <c r="M10" s="25">
        <f t="shared" si="6"/>
        <v>-8.8363548981094109E-3</v>
      </c>
      <c r="N10" s="26">
        <f t="shared" si="7"/>
        <v>-2.8160968042222957E-3</v>
      </c>
      <c r="P10" s="27">
        <v>44661</v>
      </c>
      <c r="Q10" s="28">
        <v>529.63200000000006</v>
      </c>
      <c r="R10" s="29">
        <f t="shared" si="8"/>
        <v>529.76454072398064</v>
      </c>
      <c r="S10" s="29">
        <f t="shared" si="9"/>
        <v>0.19402872596218915</v>
      </c>
      <c r="T10" s="30">
        <f t="shared" si="10"/>
        <v>-0.1325407239805827</v>
      </c>
      <c r="U10" s="29">
        <f t="shared" si="11"/>
        <v>-0.68309846041256406</v>
      </c>
    </row>
    <row r="11" spans="1:22" x14ac:dyDescent="0.3">
      <c r="A11" s="19">
        <v>45069</v>
      </c>
      <c r="B11" s="20">
        <v>0.38</v>
      </c>
      <c r="C11" s="21">
        <f t="shared" si="0"/>
        <v>9.6519999999999992</v>
      </c>
      <c r="D11" s="22">
        <f t="shared" si="1"/>
        <v>5.1946097560975604</v>
      </c>
      <c r="E11" s="22">
        <f t="shared" si="12"/>
        <v>5.0218668883098099</v>
      </c>
      <c r="F11" s="22">
        <f t="shared" si="2"/>
        <v>4.4573902439024389</v>
      </c>
      <c r="G11" s="22">
        <f t="shared" si="3"/>
        <v>0.88759625514539375</v>
      </c>
      <c r="I11" s="19">
        <v>45069</v>
      </c>
      <c r="J11" s="23">
        <v>0.4601651030111793</v>
      </c>
      <c r="K11" s="24">
        <f t="shared" si="4"/>
        <v>1.5782823755624662</v>
      </c>
      <c r="L11" s="24">
        <f t="shared" si="5"/>
        <v>3.1378022534099972</v>
      </c>
      <c r="M11" s="25">
        <f t="shared" si="6"/>
        <v>-1.1181172725512869</v>
      </c>
      <c r="N11" s="26">
        <f t="shared" si="7"/>
        <v>-0.35633771100016781</v>
      </c>
      <c r="P11" s="27">
        <v>44691</v>
      </c>
      <c r="Q11" s="28">
        <v>529.68000000000006</v>
      </c>
      <c r="R11" s="29">
        <f t="shared" si="8"/>
        <v>529.76454072398064</v>
      </c>
      <c r="S11" s="29">
        <f t="shared" si="9"/>
        <v>0.19402872596218915</v>
      </c>
      <c r="T11" s="30">
        <f t="shared" si="10"/>
        <v>-8.4540723980580879E-2</v>
      </c>
      <c r="U11" s="29">
        <f t="shared" si="11"/>
        <v>-0.4357124109398911</v>
      </c>
    </row>
    <row r="12" spans="1:22" x14ac:dyDescent="0.3">
      <c r="A12" s="19">
        <v>45100</v>
      </c>
      <c r="B12" s="20">
        <v>0.23</v>
      </c>
      <c r="C12" s="21">
        <f t="shared" si="0"/>
        <v>5.8419999999999996</v>
      </c>
      <c r="D12" s="22">
        <f t="shared" si="1"/>
        <v>5.1946097560975604</v>
      </c>
      <c r="E12" s="22">
        <f t="shared" si="12"/>
        <v>5.0218668883098099</v>
      </c>
      <c r="F12" s="22">
        <f t="shared" si="2"/>
        <v>0.64739024390243927</v>
      </c>
      <c r="G12" s="22">
        <f t="shared" si="3"/>
        <v>0.1289142580440496</v>
      </c>
      <c r="I12" s="19">
        <v>45100</v>
      </c>
      <c r="J12" s="23">
        <v>0.62075828861128146</v>
      </c>
      <c r="K12" s="24">
        <f t="shared" si="4"/>
        <v>1.5782823755624662</v>
      </c>
      <c r="L12" s="24">
        <f t="shared" si="5"/>
        <v>3.1378022534099972</v>
      </c>
      <c r="M12" s="25">
        <f t="shared" si="6"/>
        <v>-0.95752408695118474</v>
      </c>
      <c r="N12" s="26">
        <f t="shared" si="7"/>
        <v>-0.30515756240234654</v>
      </c>
      <c r="P12" s="27">
        <v>44722</v>
      </c>
      <c r="Q12" s="28">
        <v>529.50900000000001</v>
      </c>
      <c r="R12" s="29">
        <f t="shared" si="8"/>
        <v>529.76454072398064</v>
      </c>
      <c r="S12" s="29">
        <f t="shared" si="9"/>
        <v>0.19402872596218915</v>
      </c>
      <c r="T12" s="30">
        <f t="shared" si="10"/>
        <v>-0.25554072398062999</v>
      </c>
      <c r="U12" s="29">
        <f t="shared" si="11"/>
        <v>-1.317025212186508</v>
      </c>
    </row>
    <row r="13" spans="1:22" x14ac:dyDescent="0.3">
      <c r="A13" s="19">
        <v>45130</v>
      </c>
      <c r="B13" s="20">
        <v>0.16</v>
      </c>
      <c r="C13" s="21">
        <f t="shared" si="0"/>
        <v>4.0640000000000001</v>
      </c>
      <c r="D13" s="22">
        <f t="shared" si="1"/>
        <v>5.1946097560975604</v>
      </c>
      <c r="E13" s="22">
        <f t="shared" si="12"/>
        <v>5.0218668883098099</v>
      </c>
      <c r="F13" s="22">
        <f t="shared" si="2"/>
        <v>-1.1306097560975603</v>
      </c>
      <c r="G13" s="22">
        <f t="shared" si="3"/>
        <v>-0.22513734060324431</v>
      </c>
      <c r="I13" s="19">
        <v>45130</v>
      </c>
      <c r="J13" s="23">
        <v>0.44099874723383803</v>
      </c>
      <c r="K13" s="24">
        <f t="shared" si="4"/>
        <v>1.5782823755624662</v>
      </c>
      <c r="L13" s="24">
        <f t="shared" si="5"/>
        <v>3.1378022534099972</v>
      </c>
      <c r="M13" s="25">
        <f t="shared" si="6"/>
        <v>-1.1372836283286283</v>
      </c>
      <c r="N13" s="26">
        <f t="shared" si="7"/>
        <v>-0.36244592121529923</v>
      </c>
      <c r="P13" s="27">
        <v>44752</v>
      </c>
      <c r="Q13" s="28">
        <v>529.702</v>
      </c>
      <c r="R13" s="29">
        <f t="shared" si="8"/>
        <v>529.76454072398064</v>
      </c>
      <c r="S13" s="29">
        <f t="shared" si="9"/>
        <v>0.19402872596218915</v>
      </c>
      <c r="T13" s="30">
        <f t="shared" si="10"/>
        <v>-6.2540723980646362E-2</v>
      </c>
      <c r="U13" s="29">
        <f t="shared" si="11"/>
        <v>-0.32232713826525783</v>
      </c>
    </row>
    <row r="14" spans="1:22" x14ac:dyDescent="0.3">
      <c r="A14" s="19">
        <v>45161</v>
      </c>
      <c r="B14" s="20">
        <v>0.14000000000000001</v>
      </c>
      <c r="C14" s="21">
        <f t="shared" si="0"/>
        <v>3.556</v>
      </c>
      <c r="D14" s="22">
        <f t="shared" si="1"/>
        <v>5.1946097560975604</v>
      </c>
      <c r="E14" s="22">
        <f t="shared" si="12"/>
        <v>5.0218668883098099</v>
      </c>
      <c r="F14" s="22">
        <f t="shared" si="2"/>
        <v>-1.6386097560975603</v>
      </c>
      <c r="G14" s="22">
        <f t="shared" si="3"/>
        <v>-0.32629494021675687</v>
      </c>
      <c r="I14" s="19">
        <v>45161</v>
      </c>
      <c r="J14" s="23">
        <v>0.33692613032513291</v>
      </c>
      <c r="K14" s="24">
        <f t="shared" si="4"/>
        <v>1.5782823755624662</v>
      </c>
      <c r="L14" s="24">
        <f t="shared" si="5"/>
        <v>3.1378022534099972</v>
      </c>
      <c r="M14" s="25">
        <f t="shared" si="6"/>
        <v>-1.2413562452373332</v>
      </c>
      <c r="N14" s="26">
        <f t="shared" si="7"/>
        <v>-0.3956132812028843</v>
      </c>
      <c r="P14" s="27">
        <v>44783</v>
      </c>
      <c r="Q14" s="28">
        <v>529.63400000000001</v>
      </c>
      <c r="R14" s="29">
        <f t="shared" si="8"/>
        <v>529.76454072398064</v>
      </c>
      <c r="S14" s="29">
        <f t="shared" si="9"/>
        <v>0.19402872596218915</v>
      </c>
      <c r="T14" s="30">
        <f t="shared" si="10"/>
        <v>-0.13054072398062999</v>
      </c>
      <c r="U14" s="29">
        <f t="shared" si="11"/>
        <v>-0.67279070835144683</v>
      </c>
    </row>
    <row r="15" spans="1:22" x14ac:dyDescent="0.3">
      <c r="A15" s="19">
        <v>45192</v>
      </c>
      <c r="B15" s="20">
        <v>0.05</v>
      </c>
      <c r="C15" s="21">
        <f t="shared" si="0"/>
        <v>1.27</v>
      </c>
      <c r="D15" s="22">
        <f t="shared" si="1"/>
        <v>5.1946097560975604</v>
      </c>
      <c r="E15" s="22">
        <f t="shared" si="12"/>
        <v>5.0218668883098099</v>
      </c>
      <c r="F15" s="22">
        <f t="shared" si="2"/>
        <v>-3.9246097560975604</v>
      </c>
      <c r="G15" s="22">
        <f t="shared" si="3"/>
        <v>-0.7815041384775635</v>
      </c>
      <c r="I15" s="19">
        <v>45192</v>
      </c>
      <c r="J15" s="23">
        <v>0.18687272080274647</v>
      </c>
      <c r="K15" s="24">
        <f t="shared" si="4"/>
        <v>1.5782823755624662</v>
      </c>
      <c r="L15" s="24">
        <f t="shared" si="5"/>
        <v>3.1378022534099972</v>
      </c>
      <c r="M15" s="25">
        <f t="shared" si="6"/>
        <v>-1.3914096547597197</v>
      </c>
      <c r="N15" s="26">
        <f t="shared" si="7"/>
        <v>-0.44343446220921329</v>
      </c>
      <c r="P15" s="27">
        <v>44814</v>
      </c>
      <c r="Q15" s="28">
        <v>529.59199999999998</v>
      </c>
      <c r="R15" s="29">
        <f t="shared" si="8"/>
        <v>529.76454072398064</v>
      </c>
      <c r="S15" s="29">
        <f t="shared" si="9"/>
        <v>0.19402872596218915</v>
      </c>
      <c r="T15" s="30">
        <f t="shared" si="10"/>
        <v>-0.17254072398066</v>
      </c>
      <c r="U15" s="29">
        <f t="shared" si="11"/>
        <v>-0.88925350164018202</v>
      </c>
    </row>
    <row r="16" spans="1:22" x14ac:dyDescent="0.3">
      <c r="A16" s="19">
        <v>45222</v>
      </c>
      <c r="B16" s="20">
        <v>0.04</v>
      </c>
      <c r="C16" s="21">
        <f t="shared" si="0"/>
        <v>1.016</v>
      </c>
      <c r="D16" s="22">
        <f t="shared" si="1"/>
        <v>5.1946097560975604</v>
      </c>
      <c r="E16" s="22">
        <f t="shared" si="12"/>
        <v>5.0218668883098099</v>
      </c>
      <c r="F16" s="22">
        <f t="shared" si="2"/>
        <v>-4.1786097560975604</v>
      </c>
      <c r="G16" s="22">
        <f t="shared" si="3"/>
        <v>-0.83208293828431978</v>
      </c>
      <c r="I16" s="19">
        <v>45222</v>
      </c>
      <c r="J16" s="23">
        <v>0.19800000000000001</v>
      </c>
      <c r="K16" s="24">
        <f t="shared" si="4"/>
        <v>1.5782823755624662</v>
      </c>
      <c r="L16" s="24">
        <f t="shared" si="5"/>
        <v>3.1378022534099972</v>
      </c>
      <c r="M16" s="25">
        <f t="shared" si="6"/>
        <v>-1.3802823755624662</v>
      </c>
      <c r="N16" s="26">
        <f t="shared" si="7"/>
        <v>-0.43988826066475301</v>
      </c>
      <c r="P16" s="27">
        <v>44844</v>
      </c>
      <c r="Q16" s="28">
        <v>529.56200000000001</v>
      </c>
      <c r="R16" s="29">
        <f t="shared" si="8"/>
        <v>529.76454072398064</v>
      </c>
      <c r="S16" s="29">
        <f t="shared" si="9"/>
        <v>0.19402872596218915</v>
      </c>
      <c r="T16" s="30">
        <f t="shared" si="10"/>
        <v>-0.20254072398063272</v>
      </c>
      <c r="U16" s="29">
        <f t="shared" si="11"/>
        <v>-1.0438697825604561</v>
      </c>
    </row>
    <row r="17" spans="1:21" x14ac:dyDescent="0.3">
      <c r="A17" s="19">
        <v>45253</v>
      </c>
      <c r="B17" s="20">
        <v>0.04</v>
      </c>
      <c r="C17" s="21">
        <f t="shared" si="0"/>
        <v>1.016</v>
      </c>
      <c r="D17" s="22">
        <f t="shared" si="1"/>
        <v>5.1946097560975604</v>
      </c>
      <c r="E17" s="22">
        <f t="shared" si="12"/>
        <v>5.0218668883098099</v>
      </c>
      <c r="F17" s="22">
        <f t="shared" si="2"/>
        <v>-4.1786097560975604</v>
      </c>
      <c r="G17" s="22">
        <f t="shared" si="3"/>
        <v>-0.83208293828431978</v>
      </c>
      <c r="I17" s="19">
        <v>45253</v>
      </c>
      <c r="J17" s="23">
        <v>0.24299999999999999</v>
      </c>
      <c r="K17" s="24">
        <f t="shared" si="4"/>
        <v>1.5782823755624662</v>
      </c>
      <c r="L17" s="24">
        <f t="shared" si="5"/>
        <v>3.1378022534099972</v>
      </c>
      <c r="M17" s="25">
        <f t="shared" si="6"/>
        <v>-1.3352823755624663</v>
      </c>
      <c r="N17" s="26">
        <f t="shared" si="7"/>
        <v>-0.42554701275752871</v>
      </c>
      <c r="P17" s="27">
        <v>44875</v>
      </c>
      <c r="Q17" s="28">
        <v>529.58600000000001</v>
      </c>
      <c r="R17" s="29">
        <f t="shared" si="8"/>
        <v>529.76454072398064</v>
      </c>
      <c r="S17" s="29">
        <f t="shared" si="9"/>
        <v>0.19402872596218915</v>
      </c>
      <c r="T17" s="30">
        <f t="shared" si="10"/>
        <v>-0.17854072398063181</v>
      </c>
      <c r="U17" s="29">
        <f t="shared" si="11"/>
        <v>-0.92017675782411967</v>
      </c>
    </row>
    <row r="18" spans="1:21" x14ac:dyDescent="0.3">
      <c r="A18" s="19">
        <v>45283</v>
      </c>
      <c r="B18" s="20">
        <f>AVERAGE(B17,B19)</f>
        <v>0.26500000000000001</v>
      </c>
      <c r="C18" s="21">
        <f t="shared" si="0"/>
        <v>6.7309999999999999</v>
      </c>
      <c r="D18" s="22">
        <f t="shared" si="1"/>
        <v>5.1946097560975604</v>
      </c>
      <c r="E18" s="22">
        <f t="shared" si="12"/>
        <v>5.0218668883098099</v>
      </c>
      <c r="F18" s="22">
        <f t="shared" si="2"/>
        <v>1.5363902439024395</v>
      </c>
      <c r="G18" s="22">
        <f t="shared" si="3"/>
        <v>0.30594005736769664</v>
      </c>
      <c r="I18" s="19">
        <v>45283</v>
      </c>
      <c r="J18" s="23">
        <v>0.76200000000000001</v>
      </c>
      <c r="K18" s="24">
        <f t="shared" si="4"/>
        <v>1.5782823755624662</v>
      </c>
      <c r="L18" s="24">
        <f t="shared" si="5"/>
        <v>3.1378022534099972</v>
      </c>
      <c r="M18" s="25">
        <f t="shared" si="6"/>
        <v>-0.81628237556246619</v>
      </c>
      <c r="N18" s="26">
        <f t="shared" si="7"/>
        <v>-0.26014462022754103</v>
      </c>
      <c r="P18" s="27">
        <v>44905</v>
      </c>
      <c r="Q18" s="28">
        <v>529.50200000000007</v>
      </c>
      <c r="R18" s="29">
        <f t="shared" si="8"/>
        <v>529.76454072398064</v>
      </c>
      <c r="S18" s="29">
        <f t="shared" si="9"/>
        <v>0.19402872596218915</v>
      </c>
      <c r="T18" s="30">
        <f t="shared" si="10"/>
        <v>-0.26254072398057815</v>
      </c>
      <c r="U18" s="29">
        <f t="shared" si="11"/>
        <v>-1.3531023444010044</v>
      </c>
    </row>
    <row r="19" spans="1:21" x14ac:dyDescent="0.3">
      <c r="A19" s="19">
        <v>45315</v>
      </c>
      <c r="B19" s="20">
        <v>0.49</v>
      </c>
      <c r="C19" s="21">
        <f t="shared" si="0"/>
        <v>12.446</v>
      </c>
      <c r="D19" s="22">
        <f t="shared" si="1"/>
        <v>5.1946097560975604</v>
      </c>
      <c r="E19" s="22">
        <f t="shared" si="12"/>
        <v>5.0218668883098099</v>
      </c>
      <c r="F19" s="22">
        <f t="shared" si="2"/>
        <v>7.2513902439024394</v>
      </c>
      <c r="G19" s="22">
        <f t="shared" si="3"/>
        <v>1.4439630530197129</v>
      </c>
      <c r="I19" s="19">
        <v>45315</v>
      </c>
      <c r="J19" s="23">
        <v>2.5041783556743376</v>
      </c>
      <c r="K19" s="24">
        <f t="shared" si="4"/>
        <v>1.5782823755624662</v>
      </c>
      <c r="L19" s="24">
        <f t="shared" si="5"/>
        <v>3.1378022534099972</v>
      </c>
      <c r="M19" s="25">
        <f t="shared" si="6"/>
        <v>0.92589598011187135</v>
      </c>
      <c r="N19" s="26">
        <f t="shared" si="7"/>
        <v>0.2950778619352627</v>
      </c>
      <c r="P19" s="27">
        <v>44936</v>
      </c>
      <c r="Q19" s="28">
        <v>529.548</v>
      </c>
      <c r="R19" s="29">
        <f t="shared" si="8"/>
        <v>529.76454072398064</v>
      </c>
      <c r="S19" s="29">
        <f t="shared" si="9"/>
        <v>0.19402872596218915</v>
      </c>
      <c r="T19" s="30">
        <f t="shared" si="10"/>
        <v>-0.21654072398064272</v>
      </c>
      <c r="U19" s="29">
        <f t="shared" si="11"/>
        <v>-1.1160240469900347</v>
      </c>
    </row>
    <row r="20" spans="1:21" x14ac:dyDescent="0.3">
      <c r="A20" s="19">
        <v>45346</v>
      </c>
      <c r="B20" s="20">
        <v>0.31</v>
      </c>
      <c r="C20" s="21">
        <f t="shared" si="0"/>
        <v>7.8739999999999997</v>
      </c>
      <c r="D20" s="22">
        <f t="shared" si="1"/>
        <v>5.1946097560975604</v>
      </c>
      <c r="E20" s="22">
        <f t="shared" si="12"/>
        <v>5.0218668883098099</v>
      </c>
      <c r="F20" s="22">
        <f t="shared" si="2"/>
        <v>2.6793902439024393</v>
      </c>
      <c r="G20" s="22">
        <f t="shared" si="3"/>
        <v>0.5335446564980999</v>
      </c>
      <c r="I20" s="19">
        <v>45346</v>
      </c>
      <c r="J20" s="23">
        <v>1.5286185559362921</v>
      </c>
      <c r="K20" s="24">
        <f t="shared" si="4"/>
        <v>1.5782823755624662</v>
      </c>
      <c r="L20" s="24">
        <f t="shared" si="5"/>
        <v>3.1378022534099972</v>
      </c>
      <c r="M20" s="25">
        <f t="shared" si="6"/>
        <v>-4.9663819626174055E-2</v>
      </c>
      <c r="N20" s="26">
        <f t="shared" si="7"/>
        <v>-1.5827581095080815E-2</v>
      </c>
      <c r="P20" s="27">
        <v>44967</v>
      </c>
      <c r="Q20" s="28">
        <v>529.80399170430451</v>
      </c>
      <c r="R20" s="29">
        <f t="shared" si="8"/>
        <v>529.76454072398064</v>
      </c>
      <c r="S20" s="29">
        <f t="shared" si="9"/>
        <v>0.19402872596218915</v>
      </c>
      <c r="T20" s="30">
        <f t="shared" si="10"/>
        <v>3.9450980323863405E-2</v>
      </c>
      <c r="U20" s="29">
        <f t="shared" si="11"/>
        <v>0.20332546187800726</v>
      </c>
    </row>
    <row r="21" spans="1:21" x14ac:dyDescent="0.3">
      <c r="A21" s="19">
        <v>45375</v>
      </c>
      <c r="B21" s="20">
        <v>0.34</v>
      </c>
      <c r="C21" s="21">
        <f t="shared" si="0"/>
        <v>8.636000000000001</v>
      </c>
      <c r="D21" s="22">
        <f t="shared" si="1"/>
        <v>5.1946097560975604</v>
      </c>
      <c r="E21" s="22">
        <f t="shared" si="12"/>
        <v>5.0218668883098099</v>
      </c>
      <c r="F21" s="22">
        <f t="shared" si="2"/>
        <v>3.4413902439024406</v>
      </c>
      <c r="G21" s="22">
        <f t="shared" si="3"/>
        <v>0.68528105591836896</v>
      </c>
      <c r="I21" s="19">
        <v>45375</v>
      </c>
      <c r="J21" s="23">
        <v>0.80600000000000005</v>
      </c>
      <c r="K21" s="24">
        <f t="shared" si="4"/>
        <v>1.5782823755624662</v>
      </c>
      <c r="L21" s="24">
        <f t="shared" si="5"/>
        <v>3.1378022534099972</v>
      </c>
      <c r="M21" s="25">
        <f t="shared" si="6"/>
        <v>-0.77228237556246615</v>
      </c>
      <c r="N21" s="26">
        <f t="shared" si="7"/>
        <v>-0.24612206671825498</v>
      </c>
      <c r="P21" s="27">
        <v>44995</v>
      </c>
      <c r="Q21" s="28">
        <v>530.06600000000003</v>
      </c>
      <c r="R21" s="29">
        <f t="shared" si="8"/>
        <v>529.76454072398064</v>
      </c>
      <c r="S21" s="29">
        <f t="shared" si="9"/>
        <v>0.19402872596218915</v>
      </c>
      <c r="T21" s="30">
        <f t="shared" si="10"/>
        <v>0.30145927601938638</v>
      </c>
      <c r="U21" s="29">
        <f t="shared" si="11"/>
        <v>1.5536837369026093</v>
      </c>
    </row>
    <row r="22" spans="1:21" x14ac:dyDescent="0.3">
      <c r="A22" s="19">
        <v>45406</v>
      </c>
      <c r="B22" s="20">
        <v>0.25</v>
      </c>
      <c r="C22" s="21">
        <f>25.4*B22</f>
        <v>6.35</v>
      </c>
      <c r="D22" s="22">
        <f t="shared" si="1"/>
        <v>5.1946097560975604</v>
      </c>
      <c r="E22" s="22">
        <f t="shared" si="12"/>
        <v>5.0218668883098099</v>
      </c>
      <c r="F22" s="22">
        <f t="shared" si="2"/>
        <v>1.1553902439024393</v>
      </c>
      <c r="G22" s="22">
        <f t="shared" si="3"/>
        <v>0.23007185765756219</v>
      </c>
      <c r="I22" s="19">
        <v>45406</v>
      </c>
      <c r="J22" s="23">
        <v>0.9686925543065501</v>
      </c>
      <c r="K22" s="24">
        <f t="shared" si="4"/>
        <v>1.5782823755624662</v>
      </c>
      <c r="L22" s="24">
        <f t="shared" si="5"/>
        <v>3.1378022534099972</v>
      </c>
      <c r="M22" s="25">
        <f t="shared" si="6"/>
        <v>-0.6095898212559161</v>
      </c>
      <c r="N22" s="26">
        <f t="shared" si="7"/>
        <v>-0.19427286107448172</v>
      </c>
      <c r="P22" s="27">
        <v>45026</v>
      </c>
      <c r="Q22" s="28">
        <v>530.08600000000001</v>
      </c>
      <c r="R22" s="29">
        <f t="shared" si="8"/>
        <v>529.76454072398064</v>
      </c>
      <c r="S22" s="29">
        <f t="shared" si="9"/>
        <v>0.19402872596218915</v>
      </c>
      <c r="T22" s="30">
        <f t="shared" si="10"/>
        <v>0.32145927601936819</v>
      </c>
      <c r="U22" s="29">
        <f t="shared" si="11"/>
        <v>1.6567612575161255</v>
      </c>
    </row>
    <row r="23" spans="1:21" x14ac:dyDescent="0.3">
      <c r="A23" s="19">
        <v>45436</v>
      </c>
      <c r="B23" s="20">
        <v>0.11</v>
      </c>
      <c r="C23" s="21">
        <f t="shared" si="0"/>
        <v>2.794</v>
      </c>
      <c r="D23" s="22">
        <f t="shared" si="1"/>
        <v>5.1946097560975604</v>
      </c>
      <c r="E23" s="22">
        <f t="shared" si="12"/>
        <v>5.0218668883098099</v>
      </c>
      <c r="F23" s="22">
        <f t="shared" si="2"/>
        <v>-2.4006097560975603</v>
      </c>
      <c r="G23" s="22">
        <f t="shared" si="3"/>
        <v>-0.47803133963702577</v>
      </c>
      <c r="I23" s="19">
        <v>45436</v>
      </c>
      <c r="J23" s="23">
        <v>0.55000000000000004</v>
      </c>
      <c r="K23" s="24">
        <f t="shared" si="4"/>
        <v>1.5782823755624662</v>
      </c>
      <c r="L23" s="24">
        <f t="shared" si="5"/>
        <v>3.1378022534099972</v>
      </c>
      <c r="M23" s="25">
        <f t="shared" si="6"/>
        <v>-1.0282823755624662</v>
      </c>
      <c r="N23" s="26">
        <f t="shared" si="7"/>
        <v>-0.32770783259046465</v>
      </c>
      <c r="P23" s="27">
        <v>45056</v>
      </c>
      <c r="Q23" s="28">
        <v>530.09</v>
      </c>
      <c r="R23" s="29">
        <f t="shared" si="8"/>
        <v>529.76454072398064</v>
      </c>
      <c r="S23" s="29">
        <f t="shared" si="9"/>
        <v>0.19402872596218915</v>
      </c>
      <c r="T23" s="30">
        <f t="shared" si="10"/>
        <v>0.32545927601938729</v>
      </c>
      <c r="U23" s="29">
        <f t="shared" si="11"/>
        <v>1.6773767616389459</v>
      </c>
    </row>
    <row r="24" spans="1:21" x14ac:dyDescent="0.3">
      <c r="A24" s="19">
        <v>45468</v>
      </c>
      <c r="B24" s="9">
        <v>7.0000000000000007E-2</v>
      </c>
      <c r="C24" s="21">
        <f t="shared" si="0"/>
        <v>1.778</v>
      </c>
      <c r="D24" s="22">
        <f t="shared" si="1"/>
        <v>5.1946097560975604</v>
      </c>
      <c r="E24" s="22">
        <f t="shared" si="12"/>
        <v>5.0218668883098099</v>
      </c>
      <c r="F24" s="22">
        <f t="shared" si="2"/>
        <v>-3.4166097560975603</v>
      </c>
      <c r="G24" s="22">
        <f t="shared" si="3"/>
        <v>-0.68034653886405083</v>
      </c>
      <c r="I24" s="19">
        <v>45468</v>
      </c>
      <c r="J24" s="23">
        <v>0.29399999999999998</v>
      </c>
      <c r="K24" s="24">
        <f t="shared" si="4"/>
        <v>1.5782823755624662</v>
      </c>
      <c r="L24" s="24">
        <f t="shared" si="5"/>
        <v>3.1378022534099972</v>
      </c>
      <c r="M24" s="25">
        <f t="shared" si="6"/>
        <v>-1.2842823755624662</v>
      </c>
      <c r="N24" s="26">
        <f t="shared" si="7"/>
        <v>-0.40929359846267438</v>
      </c>
      <c r="P24" s="27">
        <v>45087</v>
      </c>
      <c r="Q24" s="28">
        <v>529.95600000000002</v>
      </c>
      <c r="R24" s="29">
        <f t="shared" si="8"/>
        <v>529.76454072398064</v>
      </c>
      <c r="S24" s="29">
        <f t="shared" si="9"/>
        <v>0.19402872596218915</v>
      </c>
      <c r="T24" s="30">
        <f t="shared" si="10"/>
        <v>0.19145927601937274</v>
      </c>
      <c r="U24" s="29">
        <f t="shared" si="11"/>
        <v>0.98675737352768511</v>
      </c>
    </row>
    <row r="25" spans="1:21" x14ac:dyDescent="0.3">
      <c r="A25" s="19">
        <v>45499</v>
      </c>
      <c r="B25" s="9">
        <v>0.06</v>
      </c>
      <c r="C25" s="21">
        <f t="shared" si="0"/>
        <v>1.5239999999999998</v>
      </c>
      <c r="D25" s="22">
        <f t="shared" si="1"/>
        <v>5.1946097560975604</v>
      </c>
      <c r="E25" s="22">
        <f t="shared" si="12"/>
        <v>5.0218668883098099</v>
      </c>
      <c r="F25" s="22">
        <f t="shared" si="2"/>
        <v>-3.6706097560975603</v>
      </c>
      <c r="G25" s="22">
        <f t="shared" si="3"/>
        <v>-0.73092533867080722</v>
      </c>
      <c r="I25" s="19">
        <v>45499</v>
      </c>
      <c r="J25" s="31">
        <v>0.2</v>
      </c>
      <c r="K25" s="24">
        <f t="shared" si="4"/>
        <v>1.5782823755624662</v>
      </c>
      <c r="L25" s="24">
        <f t="shared" si="5"/>
        <v>3.1378022534099972</v>
      </c>
      <c r="M25" s="25">
        <f t="shared" si="6"/>
        <v>-1.3782823755624662</v>
      </c>
      <c r="N25" s="26">
        <f t="shared" si="7"/>
        <v>-0.4392508718688764</v>
      </c>
      <c r="P25" s="27">
        <v>45117</v>
      </c>
      <c r="Q25" s="28">
        <v>529.8839999999999</v>
      </c>
      <c r="R25" s="29">
        <f t="shared" si="8"/>
        <v>529.76454072398064</v>
      </c>
      <c r="S25" s="29">
        <f t="shared" si="9"/>
        <v>0.19402872596218915</v>
      </c>
      <c r="T25" s="30">
        <f t="shared" si="10"/>
        <v>0.11945927601925632</v>
      </c>
      <c r="U25" s="29">
        <f t="shared" si="11"/>
        <v>0.61567829931808982</v>
      </c>
    </row>
    <row r="26" spans="1:21" x14ac:dyDescent="0.3">
      <c r="A26" s="19">
        <v>45531</v>
      </c>
      <c r="B26" s="9">
        <v>0.02</v>
      </c>
      <c r="C26" s="21">
        <f t="shared" si="0"/>
        <v>0.50800000000000001</v>
      </c>
      <c r="D26" s="22">
        <f t="shared" si="1"/>
        <v>5.1946097560975604</v>
      </c>
      <c r="E26" s="22">
        <f t="shared" si="12"/>
        <v>5.0218668883098099</v>
      </c>
      <c r="F26" s="22">
        <f t="shared" si="2"/>
        <v>-4.6866097560975604</v>
      </c>
      <c r="G26" s="22">
        <f t="shared" si="3"/>
        <v>-0.93324053789783235</v>
      </c>
      <c r="I26" s="19">
        <v>45531</v>
      </c>
      <c r="J26" s="31">
        <v>0.159</v>
      </c>
      <c r="K26" s="24">
        <f t="shared" si="4"/>
        <v>1.5782823755624662</v>
      </c>
      <c r="L26" s="24">
        <f t="shared" si="5"/>
        <v>3.1378022534099972</v>
      </c>
      <c r="M26" s="25">
        <f t="shared" si="6"/>
        <v>-1.4192823755624662</v>
      </c>
      <c r="N26" s="26">
        <f t="shared" si="7"/>
        <v>-0.45231734218434744</v>
      </c>
      <c r="P26" s="27">
        <v>45148</v>
      </c>
      <c r="Q26" s="28">
        <v>529.91600000000005</v>
      </c>
      <c r="R26" s="29">
        <f t="shared" si="8"/>
        <v>529.76454072398064</v>
      </c>
      <c r="S26" s="29">
        <f t="shared" si="9"/>
        <v>0.19402872596218915</v>
      </c>
      <c r="T26" s="30">
        <f t="shared" si="10"/>
        <v>0.15145927601940912</v>
      </c>
      <c r="U26" s="29">
        <f t="shared" si="11"/>
        <v>0.78060233230065301</v>
      </c>
    </row>
    <row r="27" spans="1:21" x14ac:dyDescent="0.3">
      <c r="A27" s="19">
        <v>45563</v>
      </c>
      <c r="B27" s="9">
        <v>0.06</v>
      </c>
      <c r="C27" s="21">
        <f t="shared" si="0"/>
        <v>1.5239999999999998</v>
      </c>
      <c r="D27" s="22">
        <f t="shared" si="1"/>
        <v>5.1946097560975604</v>
      </c>
      <c r="E27" s="22">
        <f t="shared" si="12"/>
        <v>5.0218668883098099</v>
      </c>
      <c r="F27" s="22">
        <f t="shared" si="2"/>
        <v>-3.6706097560975603</v>
      </c>
      <c r="G27" s="22">
        <f t="shared" si="3"/>
        <v>-0.73092533867080722</v>
      </c>
      <c r="I27" s="19">
        <v>45563</v>
      </c>
      <c r="J27" s="31">
        <v>0.13</v>
      </c>
      <c r="K27" s="24">
        <f t="shared" si="4"/>
        <v>1.5782823755624662</v>
      </c>
      <c r="L27" s="24">
        <f t="shared" si="5"/>
        <v>3.1378022534099972</v>
      </c>
      <c r="M27" s="32">
        <f t="shared" si="6"/>
        <v>-1.4482823755624663</v>
      </c>
      <c r="N27" s="33">
        <f t="shared" si="7"/>
        <v>-0.46155947972455874</v>
      </c>
      <c r="P27" s="27">
        <v>45179</v>
      </c>
      <c r="Q27" s="28">
        <v>529.78399999999999</v>
      </c>
      <c r="R27" s="29">
        <f t="shared" si="8"/>
        <v>529.76454072398064</v>
      </c>
      <c r="S27" s="29">
        <f t="shared" si="9"/>
        <v>0.19402872596218915</v>
      </c>
      <c r="T27" s="30">
        <f t="shared" si="10"/>
        <v>1.9459276019347271E-2</v>
      </c>
      <c r="U27" s="29">
        <f t="shared" si="11"/>
        <v>0.10029069625050957</v>
      </c>
    </row>
    <row r="28" spans="1:21" x14ac:dyDescent="0.3">
      <c r="A28" s="19">
        <v>45594</v>
      </c>
      <c r="B28" s="9">
        <v>0.02</v>
      </c>
      <c r="C28" s="21">
        <f t="shared" si="0"/>
        <v>0.50800000000000001</v>
      </c>
      <c r="D28" s="22">
        <f t="shared" si="1"/>
        <v>5.1946097560975604</v>
      </c>
      <c r="E28" s="22">
        <f t="shared" si="12"/>
        <v>5.0218668883098099</v>
      </c>
      <c r="F28" s="22">
        <f t="shared" si="2"/>
        <v>-4.6866097560975604</v>
      </c>
      <c r="G28" s="22">
        <f t="shared" si="3"/>
        <v>-0.93324053789783235</v>
      </c>
      <c r="H28" s="34"/>
      <c r="I28" s="19">
        <v>45594</v>
      </c>
      <c r="J28" s="35">
        <v>8.8709999999999997E-2</v>
      </c>
      <c r="K28" s="24">
        <f t="shared" si="4"/>
        <v>1.5782823755624662</v>
      </c>
      <c r="L28" s="24">
        <f t="shared" si="5"/>
        <v>3.1378022534099972</v>
      </c>
      <c r="M28" s="36">
        <f t="shared" si="6"/>
        <v>-1.4895723755624661</v>
      </c>
      <c r="N28" s="37">
        <f t="shared" si="7"/>
        <v>-0.47471837141543188</v>
      </c>
      <c r="O28" s="34"/>
      <c r="P28" s="27">
        <v>45209</v>
      </c>
      <c r="Q28" s="28">
        <v>529.77</v>
      </c>
      <c r="R28" s="29">
        <f t="shared" si="8"/>
        <v>529.76454072398064</v>
      </c>
      <c r="S28" s="29">
        <f t="shared" si="9"/>
        <v>0.19402872596218915</v>
      </c>
      <c r="T28" s="30">
        <f t="shared" si="10"/>
        <v>5.4592760193372669E-3</v>
      </c>
      <c r="U28" s="29">
        <f t="shared" si="11"/>
        <v>2.8136431820931142E-2</v>
      </c>
    </row>
    <row r="29" spans="1:21" x14ac:dyDescent="0.3">
      <c r="A29" s="19">
        <v>45626</v>
      </c>
      <c r="B29" s="9">
        <v>0.02</v>
      </c>
      <c r="C29" s="21">
        <f t="shared" si="0"/>
        <v>0.50800000000000001</v>
      </c>
      <c r="D29" s="22">
        <f t="shared" si="1"/>
        <v>5.1946097560975604</v>
      </c>
      <c r="E29" s="22">
        <f t="shared" si="12"/>
        <v>5.0218668883098099</v>
      </c>
      <c r="F29" s="22">
        <f t="shared" si="2"/>
        <v>-4.6866097560975604</v>
      </c>
      <c r="G29" s="22">
        <f t="shared" si="3"/>
        <v>-0.93324053789783235</v>
      </c>
      <c r="I29" s="19">
        <v>45626</v>
      </c>
      <c r="J29" s="38">
        <v>0.14630000000000001</v>
      </c>
      <c r="K29" s="24">
        <f t="shared" si="4"/>
        <v>1.5782823755624662</v>
      </c>
      <c r="L29" s="24">
        <f t="shared" si="5"/>
        <v>3.1378022534099972</v>
      </c>
      <c r="M29" s="36">
        <f t="shared" si="6"/>
        <v>-1.4319823755624661</v>
      </c>
      <c r="N29" s="37">
        <f t="shared" si="7"/>
        <v>-0.45636476103816409</v>
      </c>
      <c r="P29" s="27">
        <v>45240</v>
      </c>
      <c r="Q29" s="28">
        <v>529.78</v>
      </c>
      <c r="R29" s="29">
        <f t="shared" si="8"/>
        <v>529.76454072398064</v>
      </c>
      <c r="S29" s="29">
        <f t="shared" si="9"/>
        <v>0.19402872596218915</v>
      </c>
      <c r="T29" s="30">
        <f t="shared" si="10"/>
        <v>1.5459276019328172E-2</v>
      </c>
      <c r="U29" s="29">
        <f t="shared" si="11"/>
        <v>7.9675192127689171E-2</v>
      </c>
    </row>
    <row r="30" spans="1:21" x14ac:dyDescent="0.3">
      <c r="A30" s="19">
        <v>45627</v>
      </c>
      <c r="B30" s="9">
        <v>0.03</v>
      </c>
      <c r="C30" s="21">
        <f t="shared" si="0"/>
        <v>0.7619999999999999</v>
      </c>
      <c r="D30" s="22">
        <f t="shared" si="1"/>
        <v>5.1946097560975604</v>
      </c>
      <c r="E30" s="22">
        <f t="shared" si="12"/>
        <v>5.0218668883098099</v>
      </c>
      <c r="F30" s="22">
        <f t="shared" si="2"/>
        <v>-4.4326097560975608</v>
      </c>
      <c r="G30" s="22">
        <f t="shared" si="3"/>
        <v>-0.88266173809107606</v>
      </c>
      <c r="I30" s="19">
        <v>45627</v>
      </c>
      <c r="J30" s="38">
        <v>0.106</v>
      </c>
      <c r="K30" s="24">
        <f t="shared" si="4"/>
        <v>1.5782823755624662</v>
      </c>
      <c r="L30" s="24">
        <f t="shared" si="5"/>
        <v>3.1378022534099972</v>
      </c>
      <c r="M30" s="36">
        <f t="shared" si="6"/>
        <v>-1.4722823755624661</v>
      </c>
      <c r="N30" s="37">
        <f t="shared" si="7"/>
        <v>-0.46920814527507831</v>
      </c>
      <c r="P30" s="27">
        <v>45270</v>
      </c>
      <c r="Q30" s="28">
        <v>529.74</v>
      </c>
      <c r="R30" s="29">
        <f t="shared" si="8"/>
        <v>529.76454072398064</v>
      </c>
      <c r="S30" s="29">
        <f t="shared" si="9"/>
        <v>0.19402872596218915</v>
      </c>
      <c r="T30" s="30">
        <f t="shared" si="10"/>
        <v>-2.4540723980635448E-2</v>
      </c>
      <c r="U30" s="29">
        <f t="shared" si="11"/>
        <v>-0.12647984909934296</v>
      </c>
    </row>
    <row r="31" spans="1:21" x14ac:dyDescent="0.3">
      <c r="A31" s="19">
        <v>45659</v>
      </c>
      <c r="B31" s="9">
        <v>0.4</v>
      </c>
      <c r="C31" s="21">
        <f t="shared" si="0"/>
        <v>10.16</v>
      </c>
      <c r="D31" s="22">
        <f t="shared" si="1"/>
        <v>5.1946097560975604</v>
      </c>
      <c r="E31" s="22">
        <f t="shared" si="12"/>
        <v>5.0218668883098099</v>
      </c>
      <c r="F31" s="22">
        <f t="shared" si="2"/>
        <v>4.9653902439024398</v>
      </c>
      <c r="G31" s="22">
        <f t="shared" si="3"/>
        <v>0.98875385475890654</v>
      </c>
      <c r="I31" s="19">
        <v>45674</v>
      </c>
      <c r="J31" s="38">
        <v>0.13339999999999999</v>
      </c>
      <c r="K31" s="24">
        <f t="shared" si="4"/>
        <v>1.5782823755624662</v>
      </c>
      <c r="L31" s="24">
        <f t="shared" si="5"/>
        <v>3.1378022534099972</v>
      </c>
      <c r="M31" s="36">
        <f t="shared" si="6"/>
        <v>-1.4448823755624662</v>
      </c>
      <c r="N31" s="37">
        <f t="shared" si="7"/>
        <v>-0.4604759187715684</v>
      </c>
      <c r="P31" s="27">
        <v>45301</v>
      </c>
      <c r="Q31" s="28">
        <v>530.04</v>
      </c>
      <c r="R31" s="29">
        <f t="shared" si="8"/>
        <v>529.76454072398064</v>
      </c>
      <c r="S31" s="29">
        <f t="shared" si="9"/>
        <v>0.19402872596218915</v>
      </c>
      <c r="T31" s="30">
        <f t="shared" si="10"/>
        <v>0.27545927601931908</v>
      </c>
      <c r="U31" s="29">
        <f t="shared" si="11"/>
        <v>1.4196829601045697</v>
      </c>
    </row>
    <row r="32" spans="1:21" x14ac:dyDescent="0.3">
      <c r="A32" s="19">
        <v>45691</v>
      </c>
      <c r="B32" s="9">
        <v>0.28999999999999998</v>
      </c>
      <c r="C32" s="21">
        <f t="shared" si="0"/>
        <v>7.3659999999999988</v>
      </c>
      <c r="D32" s="22">
        <f t="shared" si="1"/>
        <v>5.1946097560975604</v>
      </c>
      <c r="E32" s="22">
        <f t="shared" si="12"/>
        <v>5.0218668883098099</v>
      </c>
      <c r="F32" s="22">
        <f t="shared" si="2"/>
        <v>2.1713902439024384</v>
      </c>
      <c r="G32" s="22">
        <f t="shared" si="3"/>
        <v>0.43238705688458712</v>
      </c>
      <c r="I32" s="19">
        <v>45689</v>
      </c>
      <c r="J32" s="38">
        <v>3.85</v>
      </c>
      <c r="K32" s="24">
        <f t="shared" si="4"/>
        <v>1.5782823755624662</v>
      </c>
      <c r="L32" s="24">
        <f t="shared" si="5"/>
        <v>3.1378022534099972</v>
      </c>
      <c r="M32" s="36">
        <f t="shared" si="6"/>
        <v>2.2717176244375339</v>
      </c>
      <c r="N32" s="37">
        <f t="shared" si="7"/>
        <v>0.72398368060598839</v>
      </c>
      <c r="P32" s="27">
        <v>45332</v>
      </c>
      <c r="Q32" s="28">
        <v>530.05999999999995</v>
      </c>
      <c r="R32" s="29">
        <f t="shared" si="8"/>
        <v>529.76454072398064</v>
      </c>
      <c r="S32" s="29">
        <f t="shared" si="9"/>
        <v>0.19402872596218915</v>
      </c>
      <c r="T32" s="30">
        <f t="shared" si="10"/>
        <v>0.29545927601930089</v>
      </c>
      <c r="U32" s="29">
        <f t="shared" si="11"/>
        <v>1.5227604807180859</v>
      </c>
    </row>
    <row r="33" spans="1:22" x14ac:dyDescent="0.3">
      <c r="A33" s="19">
        <v>45720</v>
      </c>
      <c r="B33" s="9">
        <v>0.53</v>
      </c>
      <c r="C33" s="21">
        <f t="shared" si="0"/>
        <v>13.462</v>
      </c>
      <c r="D33" s="22">
        <f t="shared" si="1"/>
        <v>5.1946097560975604</v>
      </c>
      <c r="E33" s="22">
        <f t="shared" si="12"/>
        <v>5.0218668883098099</v>
      </c>
      <c r="F33" s="22">
        <f t="shared" si="2"/>
        <v>8.2673902439024403</v>
      </c>
      <c r="G33" s="22">
        <f t="shared" si="3"/>
        <v>1.6462782522467383</v>
      </c>
      <c r="I33" s="19">
        <v>45717</v>
      </c>
      <c r="J33" s="38">
        <v>2.2490000000000001</v>
      </c>
      <c r="K33" s="24">
        <f t="shared" si="4"/>
        <v>1.5782823755624662</v>
      </c>
      <c r="L33" s="24">
        <f t="shared" si="5"/>
        <v>3.1378022534099972</v>
      </c>
      <c r="M33" s="36">
        <f t="shared" si="6"/>
        <v>0.67071762443753391</v>
      </c>
      <c r="N33" s="37">
        <f t="shared" si="7"/>
        <v>0.21375394950673948</v>
      </c>
      <c r="P33" s="27">
        <v>45361</v>
      </c>
      <c r="Q33" s="28">
        <v>529.97</v>
      </c>
      <c r="R33" s="29">
        <f t="shared" si="8"/>
        <v>529.76454072398064</v>
      </c>
      <c r="S33" s="29">
        <f t="shared" si="9"/>
        <v>0.19402872596218915</v>
      </c>
      <c r="T33" s="30">
        <f t="shared" si="10"/>
        <v>0.20545927601938274</v>
      </c>
      <c r="U33" s="29">
        <f t="shared" si="11"/>
        <v>1.0589116379572636</v>
      </c>
    </row>
    <row r="34" spans="1:22" x14ac:dyDescent="0.3">
      <c r="A34" s="19">
        <v>45752</v>
      </c>
      <c r="B34" s="9">
        <v>0.21</v>
      </c>
      <c r="C34" s="21">
        <f t="shared" si="0"/>
        <v>5.3339999999999996</v>
      </c>
      <c r="D34" s="22">
        <f t="shared" si="1"/>
        <v>5.1946097560975604</v>
      </c>
      <c r="E34" s="22">
        <f t="shared" si="12"/>
        <v>5.0218668883098099</v>
      </c>
      <c r="F34" s="22">
        <f t="shared" si="2"/>
        <v>0.13939024390243926</v>
      </c>
      <c r="G34" s="22">
        <f t="shared" si="3"/>
        <v>2.7756658430537033E-2</v>
      </c>
      <c r="I34" s="19">
        <v>45749</v>
      </c>
      <c r="J34" s="38">
        <v>1.55</v>
      </c>
      <c r="K34" s="24">
        <f t="shared" si="4"/>
        <v>1.5782823755624662</v>
      </c>
      <c r="L34" s="24">
        <f t="shared" si="5"/>
        <v>3.1378022534099972</v>
      </c>
      <c r="M34" s="36">
        <f t="shared" si="6"/>
        <v>-2.8282375562466155E-2</v>
      </c>
      <c r="N34" s="37">
        <f t="shared" si="7"/>
        <v>-9.0134346521455796E-3</v>
      </c>
      <c r="P34" s="27">
        <v>45392</v>
      </c>
      <c r="Q34" s="28">
        <v>530.01</v>
      </c>
      <c r="R34" s="29">
        <f t="shared" si="8"/>
        <v>529.76454072398064</v>
      </c>
      <c r="S34" s="29">
        <f t="shared" si="9"/>
        <v>0.19402872596218915</v>
      </c>
      <c r="T34" s="30">
        <f t="shared" si="10"/>
        <v>0.24545927601934636</v>
      </c>
      <c r="U34" s="29">
        <f t="shared" si="11"/>
        <v>1.2650666791842957</v>
      </c>
    </row>
    <row r="35" spans="1:22" x14ac:dyDescent="0.3">
      <c r="A35" s="19">
        <v>45783</v>
      </c>
      <c r="B35" s="9">
        <v>0.15</v>
      </c>
      <c r="C35" s="21">
        <f>25.4*B35</f>
        <v>3.8099999999999996</v>
      </c>
      <c r="D35" s="22">
        <f t="shared" si="1"/>
        <v>5.1946097560975604</v>
      </c>
      <c r="E35" s="22">
        <f t="shared" si="12"/>
        <v>5.0218668883098099</v>
      </c>
      <c r="F35" s="22">
        <f t="shared" si="2"/>
        <v>-1.3846097560975608</v>
      </c>
      <c r="G35" s="22">
        <f t="shared" si="3"/>
        <v>-0.2757161404100007</v>
      </c>
      <c r="I35" s="19">
        <v>45780</v>
      </c>
      <c r="J35" s="38">
        <v>0.66</v>
      </c>
      <c r="K35" s="24">
        <f t="shared" si="4"/>
        <v>1.5782823755624662</v>
      </c>
      <c r="L35" s="24">
        <f t="shared" si="5"/>
        <v>3.1378022534099972</v>
      </c>
      <c r="M35" s="36">
        <f t="shared" si="6"/>
        <v>-0.91828237556246617</v>
      </c>
      <c r="N35" s="37">
        <f t="shared" si="7"/>
        <v>-0.29265144881724958</v>
      </c>
      <c r="P35" s="27">
        <v>45422</v>
      </c>
      <c r="Q35" s="28">
        <v>529.85</v>
      </c>
      <c r="R35" s="29">
        <f t="shared" si="8"/>
        <v>529.76454072398064</v>
      </c>
      <c r="S35" s="29">
        <f t="shared" si="9"/>
        <v>0.19402872596218915</v>
      </c>
      <c r="T35" s="30">
        <f t="shared" si="10"/>
        <v>8.5459276019378194E-2</v>
      </c>
      <c r="U35" s="29">
        <f t="shared" si="11"/>
        <v>0.44044651427558129</v>
      </c>
    </row>
    <row r="36" spans="1:22" x14ac:dyDescent="0.3">
      <c r="A36" s="19">
        <v>45815</v>
      </c>
      <c r="B36" s="9">
        <v>0.05</v>
      </c>
      <c r="C36" s="21">
        <f t="shared" si="0"/>
        <v>1.27</v>
      </c>
      <c r="D36" s="22">
        <f t="shared" si="1"/>
        <v>5.1946097560975604</v>
      </c>
      <c r="E36" s="22">
        <f t="shared" si="12"/>
        <v>5.0218668883098099</v>
      </c>
      <c r="F36" s="22">
        <f t="shared" si="2"/>
        <v>-3.9246097560975604</v>
      </c>
      <c r="G36" s="22">
        <f t="shared" si="3"/>
        <v>-0.7815041384775635</v>
      </c>
      <c r="I36" s="19">
        <v>45809</v>
      </c>
      <c r="J36" s="38">
        <v>0.28100000000000003</v>
      </c>
      <c r="K36" s="24">
        <f t="shared" si="4"/>
        <v>1.5782823755624662</v>
      </c>
      <c r="L36" s="24">
        <f t="shared" si="5"/>
        <v>3.1378022534099972</v>
      </c>
      <c r="M36" s="36">
        <f t="shared" si="6"/>
        <v>-1.2972823755624661</v>
      </c>
      <c r="N36" s="37">
        <f t="shared" si="7"/>
        <v>-0.41343662563587247</v>
      </c>
      <c r="P36" s="27">
        <v>45454</v>
      </c>
      <c r="Q36" s="28">
        <v>529.72</v>
      </c>
      <c r="R36" s="29">
        <f t="shared" si="8"/>
        <v>529.76454072398064</v>
      </c>
      <c r="S36" s="29">
        <f t="shared" si="9"/>
        <v>0.19402872596218915</v>
      </c>
      <c r="T36" s="30">
        <f t="shared" si="10"/>
        <v>-4.4540723980617258E-2</v>
      </c>
      <c r="U36" s="29">
        <f t="shared" si="11"/>
        <v>-0.22955736971285901</v>
      </c>
    </row>
    <row r="37" spans="1:22" x14ac:dyDescent="0.3">
      <c r="A37" s="19">
        <v>45846</v>
      </c>
      <c r="B37" s="9">
        <v>0.08</v>
      </c>
      <c r="C37" s="21">
        <f t="shared" si="0"/>
        <v>2.032</v>
      </c>
      <c r="D37" s="22">
        <f t="shared" si="1"/>
        <v>5.1946097560975604</v>
      </c>
      <c r="E37" s="22">
        <f t="shared" si="12"/>
        <v>5.0218668883098099</v>
      </c>
      <c r="F37" s="22">
        <f t="shared" si="2"/>
        <v>-3.1626097560975603</v>
      </c>
      <c r="G37" s="22">
        <f t="shared" si="3"/>
        <v>-0.62976773905729455</v>
      </c>
      <c r="I37" s="19">
        <v>45839</v>
      </c>
      <c r="J37" s="38">
        <v>0.17799999999999999</v>
      </c>
      <c r="K37" s="24">
        <f t="shared" si="4"/>
        <v>1.5782823755624662</v>
      </c>
      <c r="L37" s="24">
        <f t="shared" si="5"/>
        <v>3.1378022534099972</v>
      </c>
      <c r="M37" s="36">
        <f t="shared" si="6"/>
        <v>-1.4002823755624663</v>
      </c>
      <c r="N37" s="37">
        <f t="shared" si="7"/>
        <v>-0.44626214862351943</v>
      </c>
      <c r="P37" s="39">
        <v>45485</v>
      </c>
      <c r="Q37" s="40">
        <v>529.84666666666669</v>
      </c>
      <c r="R37" s="29">
        <f t="shared" si="8"/>
        <v>529.76454072398064</v>
      </c>
      <c r="S37" s="29">
        <f t="shared" si="9"/>
        <v>0.19402872596218915</v>
      </c>
      <c r="T37" s="41">
        <f t="shared" si="10"/>
        <v>8.2125942686047892E-2</v>
      </c>
      <c r="U37" s="42">
        <f t="shared" si="11"/>
        <v>0.42326692750666195</v>
      </c>
    </row>
    <row r="38" spans="1:22" x14ac:dyDescent="0.3">
      <c r="A38" s="19">
        <v>45878</v>
      </c>
      <c r="B38" s="9">
        <v>0.05</v>
      </c>
      <c r="C38" s="21">
        <f t="shared" si="0"/>
        <v>1.27</v>
      </c>
      <c r="D38" s="22">
        <f t="shared" si="1"/>
        <v>5.1946097560975604</v>
      </c>
      <c r="E38" s="22">
        <f t="shared" si="12"/>
        <v>5.0218668883098099</v>
      </c>
      <c r="F38" s="22">
        <f t="shared" si="2"/>
        <v>-3.9246097560975604</v>
      </c>
      <c r="G38" s="22">
        <f t="shared" si="3"/>
        <v>-0.7815041384775635</v>
      </c>
      <c r="I38" s="19">
        <v>45870</v>
      </c>
      <c r="J38" s="38">
        <v>0.17</v>
      </c>
      <c r="K38" s="24">
        <f t="shared" si="4"/>
        <v>1.5782823755624662</v>
      </c>
      <c r="L38" s="24">
        <f t="shared" si="5"/>
        <v>3.1378022534099972</v>
      </c>
      <c r="M38" s="36">
        <f t="shared" si="6"/>
        <v>-1.4082823755624663</v>
      </c>
      <c r="N38" s="37">
        <f t="shared" si="7"/>
        <v>-0.44881170380702595</v>
      </c>
      <c r="P38" s="39">
        <v>45517</v>
      </c>
      <c r="Q38" s="40">
        <v>529.70000000000005</v>
      </c>
      <c r="R38" s="29">
        <f t="shared" si="8"/>
        <v>529.76454072398064</v>
      </c>
      <c r="S38" s="29">
        <f t="shared" si="9"/>
        <v>0.19402872596218915</v>
      </c>
      <c r="T38" s="41">
        <f t="shared" si="10"/>
        <v>-6.4540723980599068E-2</v>
      </c>
      <c r="U38" s="42">
        <f t="shared" si="11"/>
        <v>-0.33263489032637505</v>
      </c>
    </row>
    <row r="39" spans="1:22" x14ac:dyDescent="0.3">
      <c r="A39" s="19">
        <v>45910</v>
      </c>
      <c r="B39" s="9">
        <v>0</v>
      </c>
      <c r="C39" s="21">
        <f t="shared" si="0"/>
        <v>0</v>
      </c>
      <c r="D39" s="22">
        <f t="shared" si="1"/>
        <v>5.1946097560975604</v>
      </c>
      <c r="E39" s="22">
        <f t="shared" si="12"/>
        <v>5.0218668883098099</v>
      </c>
      <c r="F39" s="22">
        <f t="shared" si="2"/>
        <v>-5.1946097560975604</v>
      </c>
      <c r="G39" s="22">
        <f t="shared" si="3"/>
        <v>-1.0343981375113449</v>
      </c>
      <c r="I39" s="19">
        <v>45901</v>
      </c>
      <c r="J39" s="38">
        <v>9.8000000000000004E-2</v>
      </c>
      <c r="K39" s="24">
        <f t="shared" si="4"/>
        <v>1.5782823755624662</v>
      </c>
      <c r="L39" s="24">
        <f t="shared" si="5"/>
        <v>3.1378022534099972</v>
      </c>
      <c r="M39" s="36">
        <f t="shared" si="6"/>
        <v>-1.4802823755624661</v>
      </c>
      <c r="N39" s="37">
        <f t="shared" si="7"/>
        <v>-0.47175770045858489</v>
      </c>
      <c r="P39" s="39">
        <v>45549</v>
      </c>
      <c r="Q39" s="43">
        <v>529.66999999999996</v>
      </c>
      <c r="R39" s="29">
        <f t="shared" si="8"/>
        <v>529.76454072398064</v>
      </c>
      <c r="S39" s="29">
        <f t="shared" si="9"/>
        <v>0.19402872596218915</v>
      </c>
      <c r="T39" s="41">
        <f t="shared" si="10"/>
        <v>-9.454072398068547E-2</v>
      </c>
      <c r="U39" s="42">
        <f t="shared" si="11"/>
        <v>-0.48725117124723505</v>
      </c>
    </row>
    <row r="40" spans="1:22" x14ac:dyDescent="0.3">
      <c r="A40" s="19">
        <v>45941</v>
      </c>
      <c r="B40" s="9">
        <v>0.17</v>
      </c>
      <c r="C40" s="21">
        <f t="shared" si="0"/>
        <v>4.3180000000000005</v>
      </c>
      <c r="D40" s="22">
        <f t="shared" si="1"/>
        <v>5.1946097560975604</v>
      </c>
      <c r="E40" s="22">
        <f t="shared" si="12"/>
        <v>5.0218668883098099</v>
      </c>
      <c r="F40" s="22">
        <f t="shared" si="2"/>
        <v>-0.87660975609755987</v>
      </c>
      <c r="G40" s="22">
        <f t="shared" si="3"/>
        <v>-0.17455854079648794</v>
      </c>
      <c r="I40" s="19">
        <v>45931</v>
      </c>
      <c r="J40" s="38">
        <v>1.2290000000000001</v>
      </c>
      <c r="K40" s="24">
        <f t="shared" si="4"/>
        <v>1.5782823755624662</v>
      </c>
      <c r="L40" s="24">
        <f t="shared" si="5"/>
        <v>3.1378022534099972</v>
      </c>
      <c r="M40" s="36">
        <f t="shared" si="6"/>
        <v>-0.34928237556246611</v>
      </c>
      <c r="N40" s="37">
        <f t="shared" si="7"/>
        <v>-0.11131433639034599</v>
      </c>
      <c r="P40" s="39">
        <v>45566</v>
      </c>
      <c r="Q40" s="43">
        <v>529.66</v>
      </c>
      <c r="R40" s="29">
        <f t="shared" si="8"/>
        <v>529.76454072398064</v>
      </c>
      <c r="S40" s="29">
        <f t="shared" si="9"/>
        <v>0.19402872596218915</v>
      </c>
      <c r="T40" s="41">
        <f t="shared" si="10"/>
        <v>-0.10454072398067638</v>
      </c>
      <c r="U40" s="42">
        <f t="shared" si="11"/>
        <v>-0.53878993155399313</v>
      </c>
      <c r="V40" s="44" t="s">
        <v>15</v>
      </c>
    </row>
    <row r="41" spans="1:22" x14ac:dyDescent="0.3">
      <c r="A41" s="19">
        <v>45973</v>
      </c>
      <c r="B41" s="9">
        <v>0.52</v>
      </c>
      <c r="C41" s="21">
        <f t="shared" si="0"/>
        <v>13.208</v>
      </c>
      <c r="D41" s="22">
        <f t="shared" si="1"/>
        <v>5.1946097560975604</v>
      </c>
      <c r="E41" s="22">
        <f t="shared" si="12"/>
        <v>5.0218668883098099</v>
      </c>
      <c r="F41" s="22">
        <f t="shared" si="2"/>
        <v>8.0133902439024389</v>
      </c>
      <c r="G41" s="22">
        <f t="shared" si="3"/>
        <v>1.5956994524399819</v>
      </c>
      <c r="I41" s="19">
        <v>45962</v>
      </c>
      <c r="J41" s="38">
        <v>0.60299999999999998</v>
      </c>
      <c r="K41" s="24">
        <f t="shared" si="4"/>
        <v>1.5782823755624662</v>
      </c>
      <c r="L41" s="24">
        <f t="shared" si="5"/>
        <v>3.1378022534099972</v>
      </c>
      <c r="M41" s="36">
        <f t="shared" si="6"/>
        <v>-0.97528237556246622</v>
      </c>
      <c r="N41" s="37">
        <f t="shared" si="7"/>
        <v>-0.31081702949973378</v>
      </c>
      <c r="P41" s="39">
        <v>45598</v>
      </c>
      <c r="Q41" s="43">
        <v>529.70000000000005</v>
      </c>
      <c r="R41" s="29">
        <f t="shared" si="8"/>
        <v>529.76454072398064</v>
      </c>
      <c r="S41" s="29">
        <f t="shared" si="9"/>
        <v>0.19402872596218915</v>
      </c>
      <c r="T41" s="41">
        <f t="shared" si="10"/>
        <v>-6.4540723980599068E-2</v>
      </c>
      <c r="U41" s="42">
        <f t="shared" si="11"/>
        <v>-0.33263489032637505</v>
      </c>
    </row>
    <row r="42" spans="1:22" x14ac:dyDescent="0.3">
      <c r="A42" s="19">
        <v>46004</v>
      </c>
      <c r="B42" s="9">
        <v>0.99</v>
      </c>
      <c r="C42" s="21">
        <f t="shared" si="0"/>
        <v>25.145999999999997</v>
      </c>
      <c r="D42" s="22">
        <f t="shared" si="1"/>
        <v>5.1946097560975604</v>
      </c>
      <c r="E42" s="22">
        <f t="shared" si="12"/>
        <v>5.0218668883098099</v>
      </c>
      <c r="F42" s="22">
        <f t="shared" si="2"/>
        <v>19.951390243902438</v>
      </c>
      <c r="G42" s="22">
        <f t="shared" si="3"/>
        <v>3.972903043357527</v>
      </c>
      <c r="I42" s="19">
        <v>45992</v>
      </c>
      <c r="J42" s="38">
        <v>1.7496</v>
      </c>
      <c r="K42" s="24">
        <f t="shared" si="4"/>
        <v>1.5782823755624662</v>
      </c>
      <c r="L42" s="24">
        <f t="shared" si="5"/>
        <v>3.1378022534099972</v>
      </c>
      <c r="M42" s="36">
        <f t="shared" si="6"/>
        <v>0.17131762443753384</v>
      </c>
      <c r="N42" s="37">
        <f t="shared" si="7"/>
        <v>5.459796717634291E-2</v>
      </c>
      <c r="P42" s="39">
        <v>45629</v>
      </c>
      <c r="Q42" s="43">
        <v>529.58000000000004</v>
      </c>
      <c r="R42" s="29">
        <f t="shared" si="8"/>
        <v>529.76454072398064</v>
      </c>
      <c r="S42" s="29">
        <f t="shared" si="9"/>
        <v>0.19402872596218915</v>
      </c>
      <c r="T42" s="41">
        <f t="shared" si="10"/>
        <v>-0.18454072398060362</v>
      </c>
      <c r="U42" s="42">
        <f t="shared" si="11"/>
        <v>-0.95110001400805733</v>
      </c>
    </row>
    <row r="43" spans="1:22" x14ac:dyDescent="0.3">
      <c r="A43" s="19">
        <v>45671</v>
      </c>
      <c r="B43" s="9">
        <v>0.17</v>
      </c>
      <c r="C43" s="21">
        <f t="shared" si="0"/>
        <v>4.3180000000000005</v>
      </c>
      <c r="D43" s="22">
        <f t="shared" si="1"/>
        <v>5.1946097560975604</v>
      </c>
      <c r="E43" s="22">
        <f t="shared" si="12"/>
        <v>5.0218668883098099</v>
      </c>
      <c r="F43" s="22">
        <f t="shared" si="2"/>
        <v>-0.87660975609755987</v>
      </c>
      <c r="G43" s="22">
        <f t="shared" si="3"/>
        <v>-0.17455854079648794</v>
      </c>
      <c r="I43" s="19">
        <v>46023</v>
      </c>
      <c r="J43" s="38">
        <v>16.388000000000002</v>
      </c>
      <c r="K43" s="24">
        <f t="shared" si="4"/>
        <v>1.5782823755624662</v>
      </c>
      <c r="L43" s="24">
        <f t="shared" si="5"/>
        <v>3.1378022534099972</v>
      </c>
      <c r="M43" s="36">
        <f t="shared" si="6"/>
        <v>14.809717624437535</v>
      </c>
      <c r="N43" s="37">
        <f t="shared" si="7"/>
        <v>4.7197740419566339</v>
      </c>
      <c r="P43" s="39">
        <v>45668</v>
      </c>
      <c r="Q43" s="43">
        <v>529.77</v>
      </c>
      <c r="R43" s="29">
        <f t="shared" si="8"/>
        <v>529.76454072398064</v>
      </c>
      <c r="S43" s="29">
        <f t="shared" si="9"/>
        <v>0.19402872596218915</v>
      </c>
      <c r="T43" s="41">
        <f t="shared" si="10"/>
        <v>5.4592760193372669E-3</v>
      </c>
      <c r="U43" s="42">
        <f t="shared" si="11"/>
        <v>2.8136431820931142E-2</v>
      </c>
    </row>
    <row r="44" spans="1:22" x14ac:dyDescent="0.3">
      <c r="A44" s="19">
        <v>45703</v>
      </c>
      <c r="B44" s="9">
        <v>0.35</v>
      </c>
      <c r="C44" s="21">
        <f t="shared" si="0"/>
        <v>8.8899999999999988</v>
      </c>
      <c r="D44" s="22">
        <f t="shared" si="1"/>
        <v>5.1946097560975604</v>
      </c>
      <c r="E44" s="22">
        <f t="shared" si="12"/>
        <v>5.0218668883098099</v>
      </c>
      <c r="F44" s="22">
        <f t="shared" si="2"/>
        <v>3.6953902439024384</v>
      </c>
      <c r="G44" s="22">
        <f t="shared" si="3"/>
        <v>0.73585985572512491</v>
      </c>
      <c r="I44" s="19">
        <v>46054</v>
      </c>
      <c r="J44" s="38">
        <v>11.574</v>
      </c>
      <c r="K44" s="24">
        <f t="shared" si="4"/>
        <v>1.5782823755624662</v>
      </c>
      <c r="L44" s="24">
        <f t="shared" si="5"/>
        <v>3.1378022534099972</v>
      </c>
      <c r="M44" s="36">
        <f t="shared" si="6"/>
        <v>9.9957176244375336</v>
      </c>
      <c r="N44" s="37">
        <f t="shared" si="7"/>
        <v>3.1855792102815648</v>
      </c>
      <c r="P44" s="39">
        <v>45689</v>
      </c>
      <c r="Q44" s="43">
        <v>529.85</v>
      </c>
      <c r="R44" s="29">
        <f t="shared" si="8"/>
        <v>529.76454072398064</v>
      </c>
      <c r="S44" s="29">
        <f t="shared" si="9"/>
        <v>0.19402872596218915</v>
      </c>
      <c r="T44" s="41">
        <f t="shared" si="10"/>
        <v>8.5459276019378194E-2</v>
      </c>
      <c r="U44" s="42">
        <f t="shared" si="11"/>
        <v>0.44044651427558129</v>
      </c>
    </row>
    <row r="45" spans="1:22" x14ac:dyDescent="0.3">
      <c r="I45" s="46"/>
      <c r="K45" s="24"/>
      <c r="L45" s="24"/>
      <c r="M45" s="25"/>
      <c r="N45" s="26"/>
      <c r="P45" s="39">
        <v>45718</v>
      </c>
      <c r="Q45" s="43">
        <v>529.80999999999995</v>
      </c>
      <c r="R45" s="29">
        <f t="shared" si="8"/>
        <v>529.76454072398064</v>
      </c>
      <c r="S45" s="29">
        <f t="shared" si="9"/>
        <v>0.19402872596218915</v>
      </c>
      <c r="T45" s="41">
        <f t="shared" si="10"/>
        <v>4.5459276019300887E-2</v>
      </c>
      <c r="U45" s="42">
        <f t="shared" si="11"/>
        <v>0.23429147304796324</v>
      </c>
    </row>
    <row r="46" spans="1:22" x14ac:dyDescent="0.3">
      <c r="I46" s="46"/>
      <c r="K46" s="24"/>
      <c r="L46" s="24"/>
      <c r="M46" s="25"/>
      <c r="N46" s="26"/>
      <c r="P46" s="39">
        <v>45750</v>
      </c>
      <c r="Q46" s="43">
        <f>AVERAGE(Q44:Q45)</f>
        <v>529.82999999999993</v>
      </c>
      <c r="R46" s="29">
        <f t="shared" si="8"/>
        <v>529.76454072398064</v>
      </c>
      <c r="S46" s="29">
        <f t="shared" si="9"/>
        <v>0.19402872596218915</v>
      </c>
      <c r="T46" s="41">
        <f t="shared" si="10"/>
        <v>6.5459276019282697E-2</v>
      </c>
      <c r="U46" s="42">
        <f t="shared" si="11"/>
        <v>0.33736899366147932</v>
      </c>
    </row>
    <row r="47" spans="1:22" x14ac:dyDescent="0.3">
      <c r="I47" s="46"/>
      <c r="K47" s="24"/>
      <c r="L47" s="24"/>
      <c r="M47" s="25"/>
      <c r="N47" s="26"/>
      <c r="P47" s="39">
        <v>45781</v>
      </c>
      <c r="Q47" s="43">
        <v>529.80999999999995</v>
      </c>
      <c r="R47" s="29">
        <f t="shared" si="8"/>
        <v>529.76454072398064</v>
      </c>
      <c r="S47" s="29">
        <f t="shared" si="9"/>
        <v>0.19402872596218915</v>
      </c>
      <c r="T47" s="41">
        <f t="shared" si="10"/>
        <v>4.5459276019300887E-2</v>
      </c>
      <c r="U47" s="42">
        <f t="shared" si="11"/>
        <v>0.23429147304796324</v>
      </c>
    </row>
    <row r="48" spans="1:22" x14ac:dyDescent="0.3">
      <c r="I48" s="46"/>
      <c r="K48" s="24"/>
      <c r="L48" s="24"/>
      <c r="M48" s="25"/>
      <c r="N48" s="26"/>
      <c r="P48" s="39">
        <v>45809</v>
      </c>
      <c r="Q48" s="43">
        <v>529.79</v>
      </c>
      <c r="R48" s="29">
        <f t="shared" si="8"/>
        <v>529.76454072398064</v>
      </c>
      <c r="S48" s="29">
        <f t="shared" si="9"/>
        <v>0.19402872596218915</v>
      </c>
      <c r="T48" s="41">
        <f t="shared" si="10"/>
        <v>2.5459276019319077E-2</v>
      </c>
      <c r="U48" s="42">
        <f t="shared" si="11"/>
        <v>0.1312139524344472</v>
      </c>
    </row>
    <row r="49" spans="9:21" x14ac:dyDescent="0.3">
      <c r="I49" s="46"/>
      <c r="K49" s="24"/>
      <c r="L49" s="24"/>
      <c r="M49" s="25"/>
      <c r="N49" s="26"/>
      <c r="P49" s="39">
        <v>45839</v>
      </c>
      <c r="Q49" s="43">
        <v>529.78</v>
      </c>
      <c r="R49" s="29">
        <f t="shared" si="8"/>
        <v>529.76454072398064</v>
      </c>
      <c r="S49" s="29">
        <f t="shared" si="9"/>
        <v>0.19402872596218915</v>
      </c>
      <c r="T49" s="41">
        <f t="shared" si="10"/>
        <v>1.5459276019328172E-2</v>
      </c>
      <c r="U49" s="42">
        <f t="shared" si="11"/>
        <v>7.9675192127689171E-2</v>
      </c>
    </row>
    <row r="50" spans="9:21" x14ac:dyDescent="0.3">
      <c r="I50" s="46"/>
      <c r="K50" s="24"/>
      <c r="L50" s="24"/>
      <c r="M50" s="25"/>
      <c r="N50" s="26"/>
      <c r="P50" s="39">
        <v>45870</v>
      </c>
      <c r="Q50" s="43">
        <v>529.57000000000005</v>
      </c>
      <c r="R50" s="29">
        <f t="shared" si="8"/>
        <v>529.76454072398064</v>
      </c>
      <c r="S50" s="29">
        <f t="shared" si="9"/>
        <v>0.19402872596218915</v>
      </c>
      <c r="T50" s="41">
        <f t="shared" si="10"/>
        <v>-0.19454072398059452</v>
      </c>
      <c r="U50" s="42">
        <f t="shared" si="11"/>
        <v>-1.0026387743148153</v>
      </c>
    </row>
    <row r="51" spans="9:21" x14ac:dyDescent="0.3">
      <c r="I51" s="46"/>
      <c r="K51" s="24"/>
      <c r="L51" s="24"/>
      <c r="M51" s="25"/>
      <c r="N51" s="26"/>
      <c r="P51" s="39">
        <v>45901</v>
      </c>
      <c r="Q51" s="43">
        <v>529.51</v>
      </c>
      <c r="R51" s="29">
        <f t="shared" si="8"/>
        <v>529.76454072398064</v>
      </c>
      <c r="S51" s="29">
        <f t="shared" si="9"/>
        <v>0.19402872596218915</v>
      </c>
      <c r="T51" s="41">
        <f t="shared" si="10"/>
        <v>-0.25454072398065364</v>
      </c>
      <c r="U51" s="42">
        <f t="shared" si="11"/>
        <v>-1.3118713361559495</v>
      </c>
    </row>
    <row r="52" spans="9:21" x14ac:dyDescent="0.3">
      <c r="I52" s="46"/>
      <c r="K52" s="24"/>
      <c r="L52" s="24"/>
      <c r="M52" s="25"/>
      <c r="N52" s="26"/>
      <c r="P52" s="39">
        <v>45931</v>
      </c>
      <c r="Q52" s="43">
        <v>529.58000000000004</v>
      </c>
      <c r="R52" s="29">
        <f t="shared" si="8"/>
        <v>529.76454072398064</v>
      </c>
      <c r="S52" s="29">
        <f t="shared" si="9"/>
        <v>0.19402872596218915</v>
      </c>
      <c r="T52" s="41">
        <f t="shared" si="10"/>
        <v>-0.18454072398060362</v>
      </c>
      <c r="U52" s="42">
        <f t="shared" si="11"/>
        <v>-0.95110001400805733</v>
      </c>
    </row>
    <row r="53" spans="9:21" x14ac:dyDescent="0.3">
      <c r="I53" s="46"/>
      <c r="K53" s="24"/>
      <c r="L53" s="24"/>
      <c r="M53" s="25"/>
      <c r="N53" s="26"/>
      <c r="P53" s="39">
        <v>45962</v>
      </c>
      <c r="Q53" s="43">
        <v>529.61</v>
      </c>
      <c r="R53" s="29">
        <f t="shared" si="8"/>
        <v>529.76454072398064</v>
      </c>
      <c r="S53" s="29">
        <f t="shared" si="9"/>
        <v>0.19402872596218915</v>
      </c>
      <c r="T53" s="41">
        <f t="shared" si="10"/>
        <v>-0.1545407239806309</v>
      </c>
      <c r="U53" s="42">
        <f t="shared" si="11"/>
        <v>-0.7964837330877832</v>
      </c>
    </row>
    <row r="54" spans="9:21" x14ac:dyDescent="0.3">
      <c r="I54" s="46"/>
      <c r="K54" s="24"/>
      <c r="L54" s="24"/>
      <c r="M54" s="25"/>
      <c r="N54" s="26"/>
      <c r="P54" s="39">
        <v>45992</v>
      </c>
      <c r="Q54" s="43">
        <v>529.65</v>
      </c>
      <c r="R54" s="29">
        <f t="shared" si="8"/>
        <v>529.76454072398064</v>
      </c>
      <c r="S54" s="29">
        <f t="shared" si="9"/>
        <v>0.19402872596218915</v>
      </c>
      <c r="T54" s="41">
        <f t="shared" si="10"/>
        <v>-0.11454072398066728</v>
      </c>
      <c r="U54" s="42">
        <f t="shared" si="11"/>
        <v>-0.5903286918607511</v>
      </c>
    </row>
    <row r="55" spans="9:21" x14ac:dyDescent="0.3">
      <c r="I55" s="46"/>
      <c r="K55" s="24"/>
      <c r="L55" s="24"/>
      <c r="M55" s="25"/>
      <c r="N55" s="26"/>
      <c r="P55" s="39">
        <v>46023</v>
      </c>
      <c r="Q55" s="43">
        <v>530.11</v>
      </c>
      <c r="R55" s="29">
        <f t="shared" si="8"/>
        <v>529.76454072398064</v>
      </c>
      <c r="S55" s="29">
        <f t="shared" si="9"/>
        <v>0.19402872596218915</v>
      </c>
      <c r="T55" s="41">
        <f t="shared" si="10"/>
        <v>0.3454592760193691</v>
      </c>
      <c r="U55" s="42">
        <f t="shared" si="11"/>
        <v>1.7804542822524618</v>
      </c>
    </row>
    <row r="56" spans="9:21" x14ac:dyDescent="0.3">
      <c r="I56" s="46"/>
      <c r="K56" s="24"/>
      <c r="L56" s="24"/>
      <c r="M56" s="25"/>
      <c r="N56" s="26"/>
      <c r="P56" s="39">
        <v>46055</v>
      </c>
      <c r="Q56" s="43">
        <v>530.44000000000005</v>
      </c>
      <c r="R56" s="29">
        <f t="shared" si="8"/>
        <v>529.76454072398064</v>
      </c>
      <c r="S56" s="29">
        <f t="shared" si="9"/>
        <v>0.19402872596218915</v>
      </c>
      <c r="T56" s="41">
        <f t="shared" si="10"/>
        <v>0.67545927601941003</v>
      </c>
      <c r="U56" s="42">
        <f t="shared" si="11"/>
        <v>3.4812333723772348</v>
      </c>
    </row>
    <row r="57" spans="9:21" x14ac:dyDescent="0.3">
      <c r="I57" s="46"/>
      <c r="K57" s="24"/>
      <c r="L57" s="24"/>
      <c r="M57" s="25"/>
      <c r="N57" s="26"/>
      <c r="P57" s="47"/>
      <c r="Q57" s="48"/>
      <c r="R57" s="48"/>
      <c r="S57" s="48"/>
      <c r="T57" s="47"/>
      <c r="U57" s="47"/>
    </row>
    <row r="58" spans="9:21" x14ac:dyDescent="0.3">
      <c r="I58" s="46"/>
      <c r="K58" s="24"/>
      <c r="L58" s="24"/>
      <c r="M58" s="25"/>
      <c r="N58" s="26"/>
      <c r="P58" s="47"/>
      <c r="Q58" s="48"/>
      <c r="R58" s="48"/>
      <c r="S58" s="48"/>
      <c r="T58" s="47"/>
      <c r="U58" s="47"/>
    </row>
    <row r="59" spans="9:21" x14ac:dyDescent="0.3">
      <c r="I59" s="46"/>
      <c r="K59" s="24"/>
      <c r="L59" s="24"/>
      <c r="M59" s="25"/>
      <c r="N59" s="26"/>
      <c r="P59" s="47"/>
      <c r="Q59" s="48"/>
      <c r="R59" s="48"/>
      <c r="S59" s="48"/>
      <c r="T59" s="47"/>
      <c r="U59" s="47"/>
    </row>
    <row r="60" spans="9:21" x14ac:dyDescent="0.3">
      <c r="I60" s="46"/>
      <c r="K60" s="24"/>
      <c r="L60" s="24"/>
      <c r="M60" s="25"/>
      <c r="N60" s="26"/>
      <c r="P60" s="47"/>
      <c r="Q60" s="48"/>
      <c r="R60" s="48"/>
      <c r="S60" s="48"/>
      <c r="T60" s="47"/>
      <c r="U60" s="47"/>
    </row>
    <row r="61" spans="9:21" x14ac:dyDescent="0.3">
      <c r="I61" s="46"/>
      <c r="K61" s="24"/>
      <c r="L61" s="24"/>
      <c r="M61" s="25"/>
      <c r="N61" s="26"/>
      <c r="P61" s="47"/>
      <c r="Q61" s="48"/>
      <c r="R61" s="48"/>
      <c r="S61" s="48"/>
      <c r="T61" s="47"/>
      <c r="U61" s="47"/>
    </row>
    <row r="62" spans="9:21" x14ac:dyDescent="0.3">
      <c r="I62" s="46"/>
      <c r="K62" s="24"/>
      <c r="L62" s="24"/>
      <c r="M62" s="25"/>
      <c r="N62" s="26"/>
      <c r="P62" s="47"/>
      <c r="Q62" s="48"/>
      <c r="R62" s="48"/>
      <c r="S62" s="48"/>
      <c r="T62" s="47"/>
      <c r="U62" s="47"/>
    </row>
    <row r="63" spans="9:21" x14ac:dyDescent="0.3">
      <c r="I63" s="46"/>
      <c r="K63" s="24"/>
      <c r="L63" s="24"/>
      <c r="M63" s="25"/>
      <c r="N63" s="26"/>
      <c r="P63" s="47"/>
      <c r="Q63" s="47"/>
      <c r="R63" s="47"/>
      <c r="S63" s="47"/>
      <c r="T63" s="47"/>
      <c r="U63" s="47"/>
    </row>
    <row r="64" spans="9:21" x14ac:dyDescent="0.3">
      <c r="I64" s="46"/>
      <c r="K64" s="24"/>
      <c r="L64" s="24"/>
      <c r="M64" s="25"/>
      <c r="N64" s="26"/>
      <c r="P64" s="47"/>
      <c r="Q64" s="47"/>
      <c r="R64" s="47"/>
      <c r="S64" s="47"/>
      <c r="T64" s="47"/>
      <c r="U64" s="47"/>
    </row>
    <row r="65" spans="9:21" x14ac:dyDescent="0.3">
      <c r="I65" s="46"/>
      <c r="K65" s="24"/>
      <c r="L65" s="24"/>
      <c r="M65" s="25"/>
      <c r="N65" s="26"/>
      <c r="P65" s="47"/>
      <c r="Q65" s="47"/>
      <c r="R65" s="47"/>
      <c r="S65" s="47"/>
      <c r="T65" s="47"/>
      <c r="U65" s="47"/>
    </row>
    <row r="66" spans="9:21" x14ac:dyDescent="0.3">
      <c r="I66" s="46"/>
      <c r="K66" s="24"/>
      <c r="L66" s="24"/>
      <c r="M66" s="25"/>
      <c r="N66" s="26"/>
      <c r="P66" s="47"/>
      <c r="Q66" s="47"/>
      <c r="R66" s="47"/>
      <c r="S66" s="47"/>
      <c r="T66" s="47"/>
      <c r="U66" s="47"/>
    </row>
    <row r="67" spans="9:21" x14ac:dyDescent="0.3">
      <c r="I67" s="46"/>
      <c r="K67" s="24"/>
      <c r="L67" s="24"/>
      <c r="M67" s="25"/>
      <c r="N67" s="26"/>
      <c r="P67" s="47"/>
      <c r="Q67" s="47"/>
      <c r="R67" s="47"/>
      <c r="S67" s="47"/>
      <c r="T67" s="47"/>
      <c r="U67" s="47"/>
    </row>
    <row r="68" spans="9:21" x14ac:dyDescent="0.3">
      <c r="I68" s="46"/>
      <c r="K68" s="24"/>
      <c r="L68" s="24"/>
      <c r="M68" s="25"/>
      <c r="N68" s="26"/>
      <c r="P68" s="47"/>
      <c r="Q68" s="47"/>
      <c r="R68" s="47"/>
      <c r="S68" s="47"/>
      <c r="T68" s="47"/>
      <c r="U68" s="47"/>
    </row>
    <row r="69" spans="9:21" x14ac:dyDescent="0.3">
      <c r="I69" s="46"/>
      <c r="K69" s="24"/>
      <c r="L69" s="24"/>
      <c r="M69" s="25"/>
      <c r="N69" s="26"/>
      <c r="P69" s="47"/>
      <c r="Q69" s="47"/>
      <c r="R69" s="47"/>
      <c r="S69" s="47"/>
      <c r="T69" s="47"/>
      <c r="U69" s="47"/>
    </row>
    <row r="70" spans="9:21" x14ac:dyDescent="0.3">
      <c r="I70" s="46"/>
      <c r="K70" s="24"/>
      <c r="L70" s="24"/>
      <c r="M70" s="25"/>
      <c r="N70" s="26"/>
      <c r="P70" s="47"/>
      <c r="Q70" s="47"/>
      <c r="R70" s="47"/>
      <c r="S70" s="47"/>
      <c r="T70" s="47"/>
      <c r="U70" s="47"/>
    </row>
    <row r="71" spans="9:21" x14ac:dyDescent="0.3">
      <c r="I71" s="46"/>
      <c r="K71" s="24"/>
      <c r="L71" s="24"/>
      <c r="M71" s="25"/>
      <c r="N71" s="26"/>
      <c r="P71" s="47"/>
      <c r="Q71" s="47"/>
      <c r="R71" s="47"/>
      <c r="S71" s="47"/>
      <c r="T71" s="47"/>
      <c r="U71" s="47"/>
    </row>
    <row r="72" spans="9:21" x14ac:dyDescent="0.3">
      <c r="I72" s="46"/>
      <c r="K72" s="24"/>
      <c r="L72" s="24"/>
      <c r="M72" s="25"/>
      <c r="N72" s="26"/>
      <c r="P72" s="47"/>
      <c r="Q72" s="47"/>
      <c r="R72" s="47"/>
      <c r="S72" s="47"/>
      <c r="T72" s="47"/>
      <c r="U72" s="47"/>
    </row>
    <row r="73" spans="9:21" x14ac:dyDescent="0.3">
      <c r="I73" s="46"/>
      <c r="K73" s="24"/>
      <c r="L73" s="24"/>
      <c r="M73" s="25"/>
      <c r="N73" s="26"/>
      <c r="P73" s="47"/>
      <c r="Q73" s="47"/>
      <c r="R73" s="47"/>
      <c r="S73" s="47"/>
      <c r="T73" s="47"/>
      <c r="U73" s="47"/>
    </row>
    <row r="74" spans="9:21" x14ac:dyDescent="0.3">
      <c r="I74" s="46"/>
      <c r="K74" s="24"/>
      <c r="L74" s="24"/>
      <c r="M74" s="25"/>
      <c r="N74" s="26"/>
      <c r="P74" s="47"/>
      <c r="Q74" s="47"/>
      <c r="R74" s="47"/>
      <c r="S74" s="47"/>
      <c r="T74" s="47"/>
      <c r="U74" s="47"/>
    </row>
    <row r="75" spans="9:21" x14ac:dyDescent="0.3">
      <c r="I75" s="46"/>
      <c r="K75" s="24"/>
      <c r="L75" s="24"/>
      <c r="M75" s="25"/>
      <c r="N75" s="26"/>
      <c r="P75" s="47"/>
      <c r="Q75" s="47"/>
      <c r="R75" s="47"/>
      <c r="S75" s="47"/>
      <c r="T75" s="47"/>
      <c r="U75" s="47"/>
    </row>
    <row r="76" spans="9:21" x14ac:dyDescent="0.3">
      <c r="I76" s="46"/>
      <c r="K76" s="24"/>
      <c r="L76" s="24"/>
      <c r="M76" s="25"/>
      <c r="N76" s="26"/>
      <c r="P76" s="47"/>
      <c r="Q76" s="47"/>
      <c r="R76" s="47"/>
      <c r="S76" s="47"/>
      <c r="T76" s="47"/>
      <c r="U76" s="47"/>
    </row>
    <row r="77" spans="9:21" x14ac:dyDescent="0.3">
      <c r="I77" s="46"/>
      <c r="K77" s="24"/>
      <c r="L77" s="24"/>
      <c r="M77" s="25"/>
      <c r="N77" s="26"/>
      <c r="P77" s="47"/>
      <c r="Q77" s="47"/>
      <c r="R77" s="47"/>
      <c r="S77" s="47"/>
      <c r="T77" s="47"/>
      <c r="U77" s="47"/>
    </row>
    <row r="78" spans="9:21" x14ac:dyDescent="0.3">
      <c r="I78" s="46"/>
      <c r="K78" s="24"/>
      <c r="L78" s="24"/>
      <c r="M78" s="25"/>
      <c r="N78" s="26"/>
      <c r="P78" s="47"/>
      <c r="Q78" s="47"/>
      <c r="R78" s="47"/>
      <c r="S78" s="47"/>
      <c r="T78" s="47"/>
      <c r="U78" s="47"/>
    </row>
    <row r="79" spans="9:21" x14ac:dyDescent="0.3">
      <c r="I79" s="46"/>
      <c r="K79" s="24"/>
      <c r="L79" s="24"/>
      <c r="M79" s="25"/>
      <c r="N79" s="26"/>
      <c r="P79" s="47"/>
      <c r="Q79" s="47"/>
      <c r="R79" s="47"/>
      <c r="S79" s="47"/>
      <c r="T79" s="47"/>
      <c r="U79" s="47"/>
    </row>
    <row r="80" spans="9:21" x14ac:dyDescent="0.3">
      <c r="I80" s="46"/>
      <c r="K80" s="24"/>
      <c r="L80" s="24"/>
      <c r="M80" s="25"/>
      <c r="N80" s="26"/>
      <c r="P80" s="47"/>
      <c r="Q80" s="47"/>
      <c r="R80" s="47"/>
      <c r="S80" s="47"/>
      <c r="T80" s="47"/>
      <c r="U80" s="47"/>
    </row>
    <row r="81" spans="9:21" x14ac:dyDescent="0.3">
      <c r="I81" s="46"/>
      <c r="K81" s="24"/>
      <c r="L81" s="24"/>
      <c r="M81" s="25"/>
      <c r="N81" s="26"/>
      <c r="P81" s="47"/>
      <c r="Q81" s="47"/>
      <c r="R81" s="47"/>
      <c r="S81" s="47"/>
      <c r="T81" s="47"/>
      <c r="U81" s="47"/>
    </row>
    <row r="82" spans="9:21" x14ac:dyDescent="0.3">
      <c r="I82" s="46"/>
      <c r="K82" s="24"/>
      <c r="L82" s="24"/>
      <c r="M82" s="25"/>
      <c r="N82" s="26"/>
      <c r="P82" s="47"/>
      <c r="Q82" s="47"/>
      <c r="R82" s="47"/>
      <c r="S82" s="47"/>
      <c r="T82" s="47"/>
      <c r="U82" s="47"/>
    </row>
    <row r="83" spans="9:21" x14ac:dyDescent="0.3">
      <c r="I83" s="46"/>
      <c r="K83" s="24"/>
      <c r="L83" s="24"/>
      <c r="M83" s="25"/>
      <c r="N83" s="26"/>
      <c r="P83" s="47"/>
      <c r="Q83" s="47"/>
      <c r="R83" s="47"/>
      <c r="S83" s="47"/>
      <c r="T83" s="47"/>
      <c r="U83" s="47"/>
    </row>
    <row r="84" spans="9:21" x14ac:dyDescent="0.3">
      <c r="I84" s="46"/>
      <c r="K84" s="24"/>
      <c r="L84" s="24"/>
      <c r="M84" s="25"/>
      <c r="N84" s="26"/>
      <c r="P84" s="47"/>
      <c r="Q84" s="47"/>
      <c r="R84" s="47"/>
      <c r="S84" s="47"/>
      <c r="T84" s="47"/>
      <c r="U84" s="47"/>
    </row>
    <row r="85" spans="9:21" x14ac:dyDescent="0.3">
      <c r="I85" s="46"/>
      <c r="K85" s="24"/>
      <c r="L85" s="24"/>
      <c r="M85" s="25"/>
      <c r="N85" s="26"/>
      <c r="P85" s="47"/>
      <c r="Q85" s="47"/>
      <c r="R85" s="47"/>
      <c r="S85" s="47"/>
      <c r="T85" s="47"/>
      <c r="U85" s="47"/>
    </row>
    <row r="86" spans="9:21" x14ac:dyDescent="0.3">
      <c r="I86" s="46"/>
      <c r="K86" s="24"/>
      <c r="L86" s="24"/>
      <c r="M86" s="25"/>
      <c r="N86" s="26"/>
      <c r="P86" s="47"/>
      <c r="Q86" s="47"/>
      <c r="R86" s="47"/>
      <c r="S86" s="47"/>
      <c r="T86" s="47"/>
      <c r="U86" s="47"/>
    </row>
    <row r="87" spans="9:21" x14ac:dyDescent="0.3">
      <c r="I87" s="46"/>
      <c r="K87" s="24"/>
      <c r="L87" s="24"/>
      <c r="M87" s="25"/>
      <c r="N87" s="26"/>
      <c r="P87" s="47"/>
      <c r="Q87" s="47"/>
      <c r="R87" s="47"/>
      <c r="S87" s="47"/>
      <c r="T87" s="47"/>
      <c r="U87" s="47"/>
    </row>
    <row r="88" spans="9:21" x14ac:dyDescent="0.3">
      <c r="I88" s="46"/>
      <c r="K88" s="24"/>
      <c r="L88" s="24"/>
      <c r="M88" s="25"/>
      <c r="N88" s="26"/>
      <c r="P88" s="47"/>
      <c r="Q88" s="47"/>
      <c r="R88" s="47"/>
      <c r="S88" s="47"/>
      <c r="T88" s="47"/>
      <c r="U88" s="47"/>
    </row>
    <row r="89" spans="9:21" x14ac:dyDescent="0.3">
      <c r="I89" s="46"/>
      <c r="K89" s="24"/>
      <c r="L89" s="24"/>
      <c r="M89" s="25"/>
      <c r="N89" s="26"/>
      <c r="P89" s="47"/>
      <c r="Q89" s="47"/>
      <c r="R89" s="47"/>
      <c r="S89" s="47"/>
      <c r="T89" s="47"/>
      <c r="U89" s="47"/>
    </row>
    <row r="90" spans="9:21" x14ac:dyDescent="0.3">
      <c r="I90" s="46"/>
      <c r="K90" s="24"/>
      <c r="L90" s="24"/>
      <c r="M90" s="25"/>
      <c r="N90" s="26"/>
      <c r="P90" s="47"/>
      <c r="Q90" s="47"/>
      <c r="R90" s="47"/>
      <c r="S90" s="47"/>
      <c r="T90" s="47"/>
      <c r="U90" s="47"/>
    </row>
    <row r="91" spans="9:21" x14ac:dyDescent="0.3">
      <c r="I91" s="46"/>
      <c r="K91" s="24"/>
      <c r="L91" s="24"/>
      <c r="M91" s="25"/>
      <c r="N91" s="26"/>
      <c r="P91" s="47"/>
      <c r="Q91" s="47"/>
      <c r="R91" s="47"/>
      <c r="S91" s="47"/>
      <c r="T91" s="47"/>
      <c r="U91" s="47"/>
    </row>
    <row r="92" spans="9:21" x14ac:dyDescent="0.3">
      <c r="I92" s="46"/>
      <c r="K92" s="24"/>
      <c r="L92" s="24"/>
      <c r="M92" s="25"/>
      <c r="N92" s="26"/>
      <c r="P92" s="47"/>
      <c r="Q92" s="47"/>
      <c r="R92" s="47"/>
      <c r="S92" s="47"/>
      <c r="T92" s="47"/>
      <c r="U92" s="47"/>
    </row>
    <row r="93" spans="9:21" x14ac:dyDescent="0.3">
      <c r="I93" s="46"/>
      <c r="K93" s="24"/>
      <c r="L93" s="24"/>
      <c r="M93" s="25"/>
      <c r="N93" s="26"/>
      <c r="P93" s="47"/>
      <c r="Q93" s="47"/>
      <c r="R93" s="47"/>
      <c r="S93" s="47"/>
      <c r="T93" s="47"/>
      <c r="U93" s="47"/>
    </row>
    <row r="94" spans="9:21" x14ac:dyDescent="0.3">
      <c r="I94" s="46"/>
      <c r="K94" s="24"/>
      <c r="L94" s="24"/>
      <c r="M94" s="25"/>
      <c r="N94" s="26"/>
      <c r="P94" s="47"/>
      <c r="Q94" s="47"/>
      <c r="R94" s="47"/>
      <c r="S94" s="47"/>
      <c r="T94" s="47"/>
      <c r="U94" s="47"/>
    </row>
    <row r="95" spans="9:21" x14ac:dyDescent="0.3">
      <c r="I95" s="46"/>
      <c r="K95" s="24"/>
      <c r="L95" s="24"/>
      <c r="M95" s="25"/>
      <c r="N95" s="26"/>
      <c r="P95" s="47"/>
      <c r="Q95" s="47"/>
      <c r="R95" s="47"/>
      <c r="S95" s="47"/>
      <c r="T95" s="47"/>
      <c r="U95" s="47"/>
    </row>
    <row r="96" spans="9:21" x14ac:dyDescent="0.3">
      <c r="I96" s="46"/>
      <c r="K96" s="24"/>
      <c r="L96" s="24"/>
      <c r="M96" s="25"/>
      <c r="N96" s="26"/>
      <c r="P96" s="47"/>
      <c r="Q96" s="47"/>
      <c r="R96" s="47"/>
      <c r="S96" s="47"/>
      <c r="T96" s="47"/>
      <c r="U96" s="47"/>
    </row>
    <row r="97" spans="9:21" x14ac:dyDescent="0.3">
      <c r="I97" s="46"/>
      <c r="K97" s="24"/>
      <c r="L97" s="24"/>
      <c r="M97" s="25"/>
      <c r="N97" s="26"/>
      <c r="P97" s="47"/>
      <c r="Q97" s="47"/>
      <c r="R97" s="47"/>
      <c r="S97" s="47"/>
      <c r="T97" s="47"/>
      <c r="U97" s="47"/>
    </row>
    <row r="98" spans="9:21" x14ac:dyDescent="0.3">
      <c r="I98" s="46"/>
      <c r="K98" s="24"/>
      <c r="L98" s="24"/>
      <c r="M98" s="25"/>
      <c r="N98" s="26"/>
      <c r="P98" s="47"/>
      <c r="Q98" s="47"/>
      <c r="R98" s="47"/>
      <c r="S98" s="47"/>
      <c r="T98" s="47"/>
      <c r="U98" s="47"/>
    </row>
    <row r="99" spans="9:21" x14ac:dyDescent="0.3">
      <c r="I99" s="46"/>
      <c r="K99" s="24"/>
      <c r="L99" s="24"/>
      <c r="M99" s="25"/>
      <c r="N99" s="26"/>
      <c r="P99" s="47"/>
      <c r="Q99" s="47"/>
      <c r="R99" s="47"/>
      <c r="S99" s="47"/>
      <c r="T99" s="47"/>
      <c r="U99" s="47"/>
    </row>
    <row r="100" spans="9:21" x14ac:dyDescent="0.3">
      <c r="I100" s="46"/>
      <c r="K100" s="24"/>
      <c r="L100" s="24"/>
      <c r="M100" s="25"/>
      <c r="N100" s="26"/>
      <c r="P100" s="47"/>
      <c r="Q100" s="47"/>
      <c r="R100" s="47"/>
      <c r="S100" s="47"/>
      <c r="T100" s="47"/>
      <c r="U100" s="47"/>
    </row>
    <row r="101" spans="9:21" x14ac:dyDescent="0.3">
      <c r="I101" s="46"/>
      <c r="K101" s="24"/>
      <c r="L101" s="24"/>
      <c r="M101" s="25"/>
      <c r="N101" s="26"/>
      <c r="P101" s="47"/>
      <c r="Q101" s="47"/>
      <c r="R101" s="47"/>
      <c r="S101" s="47"/>
      <c r="T101" s="47"/>
      <c r="U101" s="47"/>
    </row>
    <row r="102" spans="9:21" x14ac:dyDescent="0.3">
      <c r="I102" s="46"/>
      <c r="K102" s="24"/>
      <c r="L102" s="24"/>
      <c r="M102" s="25"/>
      <c r="N102" s="26"/>
      <c r="P102" s="47"/>
      <c r="Q102" s="47"/>
      <c r="R102" s="47"/>
      <c r="S102" s="47"/>
      <c r="T102" s="47"/>
      <c r="U102" s="47"/>
    </row>
    <row r="103" spans="9:21" x14ac:dyDescent="0.3">
      <c r="I103" s="46"/>
      <c r="K103" s="24"/>
      <c r="L103" s="24"/>
      <c r="M103" s="25"/>
      <c r="N103" s="26"/>
      <c r="P103" s="47"/>
      <c r="Q103" s="47"/>
      <c r="R103" s="47"/>
      <c r="S103" s="47"/>
      <c r="T103" s="47"/>
      <c r="U103" s="47"/>
    </row>
    <row r="104" spans="9:21" x14ac:dyDescent="0.3">
      <c r="I104" s="46"/>
      <c r="K104" s="24"/>
      <c r="L104" s="24"/>
      <c r="M104" s="25"/>
      <c r="N104" s="26"/>
      <c r="P104" s="47"/>
      <c r="Q104" s="47"/>
      <c r="R104" s="47"/>
      <c r="S104" s="47"/>
      <c r="T104" s="47"/>
      <c r="U104" s="47"/>
    </row>
    <row r="105" spans="9:21" x14ac:dyDescent="0.3">
      <c r="I105" s="46"/>
      <c r="K105" s="24"/>
      <c r="L105" s="24"/>
      <c r="M105" s="25"/>
      <c r="N105" s="26"/>
      <c r="P105" s="47"/>
      <c r="Q105" s="47"/>
      <c r="R105" s="47"/>
      <c r="S105" s="47"/>
      <c r="T105" s="47"/>
      <c r="U105" s="47"/>
    </row>
    <row r="106" spans="9:21" x14ac:dyDescent="0.3">
      <c r="I106" s="46"/>
      <c r="K106" s="24"/>
      <c r="L106" s="24"/>
      <c r="M106" s="25"/>
      <c r="N106" s="26"/>
      <c r="P106" s="47"/>
      <c r="Q106" s="47"/>
      <c r="R106" s="47"/>
      <c r="S106" s="47"/>
      <c r="T106" s="47"/>
      <c r="U106" s="47"/>
    </row>
    <row r="107" spans="9:21" x14ac:dyDescent="0.3">
      <c r="I107" s="46"/>
      <c r="K107" s="24"/>
      <c r="L107" s="24"/>
      <c r="M107" s="25"/>
      <c r="N107" s="26"/>
      <c r="P107" s="47"/>
      <c r="Q107" s="47"/>
      <c r="R107" s="47"/>
      <c r="S107" s="47"/>
      <c r="T107" s="47"/>
      <c r="U107" s="47"/>
    </row>
    <row r="108" spans="9:21" x14ac:dyDescent="0.3">
      <c r="I108" s="46"/>
      <c r="K108" s="24"/>
      <c r="L108" s="24"/>
      <c r="M108" s="25"/>
      <c r="N108" s="26"/>
      <c r="P108" s="47"/>
      <c r="Q108" s="47"/>
      <c r="R108" s="47"/>
      <c r="S108" s="47"/>
      <c r="T108" s="47"/>
      <c r="U108" s="47"/>
    </row>
    <row r="109" spans="9:21" x14ac:dyDescent="0.3">
      <c r="I109" s="46"/>
      <c r="K109" s="24"/>
      <c r="L109" s="24"/>
      <c r="M109" s="25"/>
      <c r="N109" s="26"/>
      <c r="P109" s="47"/>
      <c r="Q109" s="47"/>
      <c r="R109" s="47"/>
      <c r="S109" s="47"/>
      <c r="T109" s="47"/>
      <c r="U109" s="47"/>
    </row>
    <row r="110" spans="9:21" x14ac:dyDescent="0.3">
      <c r="I110" s="46"/>
      <c r="K110" s="24"/>
      <c r="L110" s="24"/>
      <c r="M110" s="25"/>
      <c r="N110" s="26"/>
      <c r="P110" s="47"/>
      <c r="Q110" s="47"/>
      <c r="R110" s="47"/>
      <c r="S110" s="47"/>
      <c r="T110" s="47"/>
      <c r="U110" s="47"/>
    </row>
    <row r="111" spans="9:21" x14ac:dyDescent="0.3">
      <c r="I111" s="46"/>
      <c r="K111" s="24"/>
      <c r="L111" s="24"/>
      <c r="M111" s="25"/>
      <c r="N111" s="26"/>
      <c r="P111" s="47"/>
      <c r="Q111" s="47"/>
      <c r="R111" s="47"/>
      <c r="S111" s="47"/>
      <c r="T111" s="47"/>
      <c r="U111" s="47"/>
    </row>
    <row r="112" spans="9:21" x14ac:dyDescent="0.3">
      <c r="I112" s="46"/>
      <c r="K112" s="24"/>
      <c r="L112" s="24"/>
      <c r="M112" s="25"/>
      <c r="N112" s="26"/>
      <c r="P112" s="47"/>
      <c r="Q112" s="47"/>
      <c r="R112" s="47"/>
      <c r="S112" s="47"/>
      <c r="T112" s="47"/>
      <c r="U112" s="47"/>
    </row>
    <row r="113" spans="9:21" x14ac:dyDescent="0.3">
      <c r="I113" s="46"/>
      <c r="K113" s="24"/>
      <c r="L113" s="24"/>
      <c r="M113" s="25"/>
      <c r="N113" s="26"/>
      <c r="P113" s="47"/>
      <c r="Q113" s="47"/>
      <c r="R113" s="47"/>
      <c r="S113" s="47"/>
      <c r="T113" s="47"/>
      <c r="U113" s="47"/>
    </row>
    <row r="114" spans="9:21" x14ac:dyDescent="0.3">
      <c r="I114" s="46"/>
      <c r="K114" s="24"/>
      <c r="L114" s="24"/>
      <c r="M114" s="25"/>
      <c r="N114" s="26"/>
      <c r="P114" s="47"/>
      <c r="Q114" s="47"/>
      <c r="R114" s="47"/>
      <c r="S114" s="47"/>
      <c r="T114" s="47"/>
      <c r="U114" s="47"/>
    </row>
    <row r="115" spans="9:21" x14ac:dyDescent="0.3">
      <c r="I115" s="46"/>
      <c r="K115" s="24"/>
      <c r="L115" s="24"/>
      <c r="M115" s="25"/>
      <c r="N115" s="26"/>
      <c r="P115" s="47"/>
      <c r="Q115" s="47"/>
      <c r="R115" s="47"/>
      <c r="S115" s="47"/>
      <c r="T115" s="47"/>
      <c r="U115" s="47"/>
    </row>
    <row r="116" spans="9:21" x14ac:dyDescent="0.3">
      <c r="I116" s="46"/>
      <c r="K116" s="24"/>
      <c r="L116" s="24"/>
      <c r="M116" s="25"/>
      <c r="N116" s="26"/>
      <c r="P116" s="47"/>
      <c r="Q116" s="47"/>
      <c r="R116" s="47"/>
      <c r="S116" s="47"/>
      <c r="T116" s="47"/>
      <c r="U116" s="47"/>
    </row>
    <row r="117" spans="9:21" x14ac:dyDescent="0.3">
      <c r="I117" s="46"/>
      <c r="K117" s="24"/>
      <c r="L117" s="24"/>
      <c r="M117" s="25"/>
      <c r="N117" s="26"/>
      <c r="P117" s="47"/>
      <c r="Q117" s="47"/>
      <c r="R117" s="47"/>
      <c r="S117" s="47"/>
      <c r="T117" s="47"/>
      <c r="U117" s="47"/>
    </row>
    <row r="118" spans="9:21" x14ac:dyDescent="0.3">
      <c r="I118" s="46"/>
      <c r="K118" s="24"/>
      <c r="L118" s="24"/>
      <c r="M118" s="25"/>
      <c r="N118" s="26"/>
      <c r="P118" s="47"/>
      <c r="Q118" s="47"/>
      <c r="R118" s="47"/>
      <c r="S118" s="47"/>
      <c r="T118" s="47"/>
      <c r="U118" s="47"/>
    </row>
    <row r="119" spans="9:21" x14ac:dyDescent="0.3">
      <c r="I119" s="46"/>
      <c r="K119" s="24"/>
      <c r="L119" s="24"/>
      <c r="M119" s="25"/>
      <c r="N119" s="26"/>
      <c r="P119" s="47"/>
      <c r="Q119" s="47"/>
      <c r="R119" s="47"/>
      <c r="S119" s="47"/>
      <c r="T119" s="47"/>
      <c r="U119" s="47"/>
    </row>
    <row r="120" spans="9:21" x14ac:dyDescent="0.3">
      <c r="I120" s="46"/>
      <c r="K120" s="24"/>
      <c r="L120" s="24"/>
      <c r="M120" s="25"/>
      <c r="N120" s="26"/>
      <c r="P120" s="47"/>
      <c r="Q120" s="47"/>
      <c r="R120" s="47"/>
      <c r="S120" s="47"/>
      <c r="T120" s="47"/>
      <c r="U120" s="47"/>
    </row>
    <row r="121" spans="9:21" x14ac:dyDescent="0.3">
      <c r="I121" s="46"/>
      <c r="K121" s="24"/>
      <c r="L121" s="24"/>
      <c r="M121" s="25"/>
      <c r="N121" s="26"/>
      <c r="P121" s="47"/>
      <c r="Q121" s="47"/>
      <c r="R121" s="47"/>
      <c r="S121" s="47"/>
      <c r="T121" s="47"/>
      <c r="U121" s="47"/>
    </row>
    <row r="122" spans="9:21" x14ac:dyDescent="0.3">
      <c r="I122" s="46"/>
      <c r="K122" s="24"/>
      <c r="L122" s="24"/>
      <c r="M122" s="25"/>
      <c r="N122" s="26"/>
      <c r="P122" s="47"/>
      <c r="Q122" s="47"/>
      <c r="R122" s="47"/>
      <c r="S122" s="47"/>
      <c r="T122" s="47"/>
      <c r="U122" s="47"/>
    </row>
    <row r="123" spans="9:21" x14ac:dyDescent="0.3">
      <c r="I123" s="46"/>
      <c r="K123" s="24"/>
      <c r="L123" s="24"/>
      <c r="M123" s="25"/>
      <c r="N123" s="26"/>
      <c r="P123" s="47"/>
      <c r="Q123" s="47"/>
      <c r="R123" s="47"/>
      <c r="S123" s="47"/>
      <c r="T123" s="47"/>
      <c r="U123" s="47"/>
    </row>
    <row r="124" spans="9:21" x14ac:dyDescent="0.3">
      <c r="I124" s="46"/>
      <c r="K124" s="24"/>
      <c r="L124" s="24"/>
      <c r="M124" s="25"/>
      <c r="N124" s="26"/>
      <c r="P124" s="47"/>
      <c r="Q124" s="47"/>
      <c r="R124" s="47"/>
      <c r="S124" s="47"/>
      <c r="T124" s="47"/>
      <c r="U124" s="47"/>
    </row>
    <row r="125" spans="9:21" x14ac:dyDescent="0.3">
      <c r="I125" s="46"/>
      <c r="K125" s="24"/>
      <c r="L125" s="24"/>
      <c r="M125" s="25"/>
      <c r="N125" s="26"/>
      <c r="P125" s="47"/>
      <c r="Q125" s="47"/>
      <c r="R125" s="47"/>
      <c r="S125" s="47"/>
      <c r="T125" s="47"/>
      <c r="U125" s="47"/>
    </row>
    <row r="126" spans="9:21" x14ac:dyDescent="0.3">
      <c r="I126" s="46"/>
      <c r="K126" s="24"/>
      <c r="L126" s="24"/>
      <c r="M126" s="25"/>
      <c r="N126" s="26"/>
      <c r="P126" s="47"/>
      <c r="Q126" s="47"/>
      <c r="R126" s="47"/>
      <c r="S126" s="47"/>
      <c r="T126" s="47"/>
      <c r="U126" s="47"/>
    </row>
    <row r="127" spans="9:21" x14ac:dyDescent="0.3">
      <c r="I127" s="46"/>
      <c r="K127" s="24"/>
      <c r="L127" s="24"/>
      <c r="M127" s="25"/>
      <c r="N127" s="26"/>
      <c r="P127" s="47"/>
      <c r="Q127" s="47"/>
      <c r="R127" s="47"/>
      <c r="S127" s="47"/>
      <c r="T127" s="47"/>
      <c r="U127" s="47"/>
    </row>
    <row r="128" spans="9:21" x14ac:dyDescent="0.3">
      <c r="I128" s="46"/>
      <c r="K128" s="24"/>
      <c r="L128" s="24"/>
      <c r="M128" s="25"/>
      <c r="N128" s="26"/>
      <c r="P128" s="47"/>
      <c r="Q128" s="47"/>
      <c r="R128" s="47"/>
      <c r="S128" s="47"/>
      <c r="T128" s="47"/>
      <c r="U128" s="47"/>
    </row>
    <row r="129" spans="9:21" x14ac:dyDescent="0.3">
      <c r="I129" s="46"/>
      <c r="K129" s="24"/>
      <c r="L129" s="24"/>
      <c r="M129" s="25"/>
      <c r="N129" s="26"/>
      <c r="P129" s="47"/>
      <c r="Q129" s="47"/>
      <c r="R129" s="47"/>
      <c r="S129" s="47"/>
      <c r="T129" s="47"/>
      <c r="U129" s="47"/>
    </row>
    <row r="130" spans="9:21" x14ac:dyDescent="0.3">
      <c r="I130" s="46"/>
      <c r="K130" s="24"/>
      <c r="L130" s="24"/>
      <c r="M130" s="25"/>
      <c r="N130" s="26"/>
      <c r="P130" s="47"/>
      <c r="Q130" s="47"/>
      <c r="R130" s="47"/>
      <c r="S130" s="47"/>
      <c r="T130" s="47"/>
      <c r="U130" s="47"/>
    </row>
    <row r="131" spans="9:21" x14ac:dyDescent="0.3">
      <c r="I131" s="46"/>
      <c r="K131" s="24"/>
      <c r="L131" s="24"/>
      <c r="M131" s="25"/>
      <c r="N131" s="26"/>
      <c r="P131" s="47"/>
      <c r="Q131" s="47"/>
      <c r="R131" s="47"/>
      <c r="S131" s="47"/>
      <c r="T131" s="47"/>
      <c r="U131" s="47"/>
    </row>
    <row r="132" spans="9:21" x14ac:dyDescent="0.3">
      <c r="I132" s="46"/>
      <c r="K132" s="24"/>
      <c r="L132" s="24"/>
      <c r="M132" s="25"/>
      <c r="N132" s="26"/>
      <c r="P132" s="47"/>
      <c r="Q132" s="47"/>
      <c r="R132" s="47"/>
      <c r="S132" s="47"/>
      <c r="T132" s="47"/>
      <c r="U132" s="47"/>
    </row>
    <row r="133" spans="9:21" x14ac:dyDescent="0.3">
      <c r="I133" s="46"/>
      <c r="K133" s="24"/>
      <c r="L133" s="24"/>
      <c r="M133" s="25"/>
      <c r="N133" s="26"/>
      <c r="P133" s="47"/>
      <c r="Q133" s="47"/>
      <c r="R133" s="47"/>
      <c r="S133" s="47"/>
      <c r="T133" s="47"/>
      <c r="U133" s="47"/>
    </row>
    <row r="134" spans="9:21" x14ac:dyDescent="0.3">
      <c r="I134" s="46"/>
      <c r="K134" s="24"/>
      <c r="L134" s="24"/>
      <c r="M134" s="25"/>
      <c r="N134" s="26"/>
      <c r="P134" s="47"/>
      <c r="Q134" s="47"/>
      <c r="R134" s="47"/>
      <c r="S134" s="47"/>
      <c r="T134" s="47"/>
      <c r="U134" s="47"/>
    </row>
    <row r="135" spans="9:21" x14ac:dyDescent="0.3">
      <c r="I135" s="46"/>
      <c r="K135" s="24"/>
      <c r="L135" s="24"/>
      <c r="M135" s="25"/>
      <c r="N135" s="26"/>
      <c r="P135" s="47"/>
      <c r="Q135" s="47"/>
      <c r="R135" s="47"/>
      <c r="S135" s="47"/>
      <c r="T135" s="47"/>
      <c r="U135" s="47"/>
    </row>
    <row r="136" spans="9:21" x14ac:dyDescent="0.3">
      <c r="I136" s="46"/>
      <c r="K136" s="24"/>
      <c r="L136" s="24"/>
      <c r="M136" s="25"/>
      <c r="N136" s="26"/>
      <c r="P136" s="47"/>
      <c r="Q136" s="47"/>
      <c r="R136" s="47"/>
      <c r="S136" s="47"/>
      <c r="T136" s="47"/>
      <c r="U136" s="47"/>
    </row>
    <row r="137" spans="9:21" x14ac:dyDescent="0.3">
      <c r="I137" s="46"/>
      <c r="K137" s="24"/>
      <c r="L137" s="24"/>
      <c r="M137" s="25"/>
      <c r="N137" s="26"/>
      <c r="P137" s="47"/>
      <c r="Q137" s="47"/>
      <c r="R137" s="47"/>
      <c r="S137" s="47"/>
      <c r="T137" s="47"/>
      <c r="U137" s="47"/>
    </row>
    <row r="138" spans="9:21" x14ac:dyDescent="0.3">
      <c r="I138" s="46"/>
      <c r="K138" s="24"/>
      <c r="L138" s="24"/>
      <c r="M138" s="25"/>
      <c r="N138" s="26"/>
      <c r="P138" s="47"/>
      <c r="Q138" s="47"/>
      <c r="R138" s="47"/>
      <c r="S138" s="47"/>
      <c r="T138" s="47"/>
      <c r="U138" s="47"/>
    </row>
    <row r="139" spans="9:21" x14ac:dyDescent="0.3">
      <c r="I139" s="46"/>
      <c r="K139" s="24"/>
      <c r="L139" s="24"/>
      <c r="M139" s="25"/>
      <c r="N139" s="26"/>
      <c r="P139" s="47"/>
      <c r="Q139" s="47"/>
      <c r="R139" s="47"/>
      <c r="S139" s="47"/>
      <c r="T139" s="47"/>
      <c r="U139" s="47"/>
    </row>
    <row r="140" spans="9:21" x14ac:dyDescent="0.3">
      <c r="I140" s="46"/>
      <c r="K140" s="24"/>
      <c r="L140" s="24"/>
      <c r="M140" s="25"/>
      <c r="N140" s="26"/>
      <c r="P140" s="47"/>
      <c r="Q140" s="47"/>
      <c r="R140" s="47"/>
      <c r="S140" s="47"/>
      <c r="T140" s="47"/>
      <c r="U140" s="47"/>
    </row>
    <row r="141" spans="9:21" x14ac:dyDescent="0.3">
      <c r="I141" s="46"/>
      <c r="K141" s="24"/>
      <c r="L141" s="24"/>
      <c r="M141" s="25"/>
      <c r="N141" s="26"/>
      <c r="P141" s="47"/>
      <c r="Q141" s="47"/>
      <c r="R141" s="47"/>
      <c r="S141" s="47"/>
      <c r="T141" s="47"/>
      <c r="U141" s="47"/>
    </row>
    <row r="142" spans="9:21" x14ac:dyDescent="0.3">
      <c r="I142" s="46"/>
      <c r="K142" s="24"/>
      <c r="L142" s="24"/>
      <c r="M142" s="25"/>
      <c r="N142" s="26"/>
      <c r="P142" s="47"/>
      <c r="Q142" s="47"/>
      <c r="R142" s="47"/>
      <c r="S142" s="47"/>
      <c r="T142" s="47"/>
      <c r="U142" s="47"/>
    </row>
    <row r="143" spans="9:21" x14ac:dyDescent="0.3">
      <c r="I143" s="46"/>
      <c r="K143" s="24"/>
      <c r="L143" s="24"/>
      <c r="M143" s="25"/>
      <c r="N143" s="26"/>
      <c r="P143" s="47"/>
      <c r="Q143" s="47"/>
      <c r="R143" s="47"/>
      <c r="S143" s="47"/>
      <c r="T143" s="47"/>
      <c r="U143" s="47"/>
    </row>
    <row r="144" spans="9:21" x14ac:dyDescent="0.3">
      <c r="I144" s="46"/>
      <c r="K144" s="24"/>
      <c r="L144" s="24"/>
      <c r="M144" s="25"/>
      <c r="N144" s="26"/>
      <c r="P144" s="47"/>
      <c r="Q144" s="47"/>
      <c r="R144" s="47"/>
      <c r="S144" s="47"/>
      <c r="T144" s="47"/>
      <c r="U144" s="47"/>
    </row>
    <row r="145" spans="9:21" x14ac:dyDescent="0.3">
      <c r="I145" s="46"/>
      <c r="K145" s="24"/>
      <c r="L145" s="24"/>
      <c r="M145" s="25"/>
      <c r="N145" s="26"/>
      <c r="P145" s="47"/>
      <c r="Q145" s="47"/>
      <c r="R145" s="47"/>
      <c r="S145" s="47"/>
      <c r="T145" s="47"/>
      <c r="U145" s="47"/>
    </row>
    <row r="146" spans="9:21" x14ac:dyDescent="0.3">
      <c r="I146" s="46"/>
      <c r="K146" s="24"/>
      <c r="L146" s="24"/>
      <c r="M146" s="25"/>
      <c r="N146" s="26"/>
      <c r="P146" s="47"/>
      <c r="Q146" s="47"/>
      <c r="R146" s="47"/>
      <c r="S146" s="47"/>
      <c r="T146" s="47"/>
      <c r="U146" s="47"/>
    </row>
    <row r="147" spans="9:21" x14ac:dyDescent="0.3">
      <c r="I147" s="46"/>
      <c r="K147" s="24"/>
      <c r="L147" s="24"/>
      <c r="M147" s="25"/>
      <c r="N147" s="26"/>
      <c r="P147" s="47"/>
      <c r="Q147" s="47"/>
      <c r="R147" s="47"/>
      <c r="S147" s="47"/>
      <c r="T147" s="47"/>
      <c r="U147" s="47"/>
    </row>
    <row r="148" spans="9:21" x14ac:dyDescent="0.3">
      <c r="I148" s="46"/>
      <c r="K148" s="24"/>
      <c r="L148" s="24"/>
      <c r="M148" s="25"/>
      <c r="N148" s="26"/>
      <c r="P148" s="47"/>
      <c r="Q148" s="47"/>
      <c r="R148" s="47"/>
      <c r="S148" s="47"/>
      <c r="T148" s="47"/>
      <c r="U148" s="47"/>
    </row>
    <row r="149" spans="9:21" x14ac:dyDescent="0.3">
      <c r="I149" s="46"/>
      <c r="K149" s="24"/>
      <c r="L149" s="24"/>
      <c r="M149" s="25"/>
      <c r="N149" s="26"/>
      <c r="P149" s="47"/>
      <c r="Q149" s="47"/>
      <c r="R149" s="47"/>
      <c r="S149" s="47"/>
      <c r="T149" s="47"/>
      <c r="U149" s="47"/>
    </row>
    <row r="150" spans="9:21" x14ac:dyDescent="0.3">
      <c r="I150" s="46"/>
      <c r="K150" s="24"/>
      <c r="L150" s="24"/>
      <c r="M150" s="25"/>
      <c r="N150" s="26"/>
      <c r="P150" s="47"/>
      <c r="Q150" s="47"/>
      <c r="R150" s="47"/>
      <c r="S150" s="47"/>
      <c r="T150" s="47"/>
      <c r="U150" s="47"/>
    </row>
    <row r="151" spans="9:21" x14ac:dyDescent="0.3">
      <c r="I151" s="46"/>
      <c r="K151" s="24"/>
      <c r="L151" s="24"/>
      <c r="M151" s="25"/>
      <c r="N151" s="26"/>
      <c r="P151" s="47"/>
      <c r="Q151" s="47"/>
      <c r="R151" s="47"/>
      <c r="S151" s="47"/>
      <c r="T151" s="47"/>
      <c r="U151" s="47"/>
    </row>
    <row r="152" spans="9:21" x14ac:dyDescent="0.3">
      <c r="I152" s="46"/>
      <c r="K152" s="24"/>
      <c r="L152" s="24"/>
      <c r="M152" s="25"/>
      <c r="N152" s="26"/>
      <c r="P152" s="47"/>
      <c r="Q152" s="47"/>
      <c r="R152" s="47"/>
      <c r="S152" s="47"/>
      <c r="T152" s="47"/>
      <c r="U152" s="47"/>
    </row>
    <row r="153" spans="9:21" x14ac:dyDescent="0.3">
      <c r="I153" s="46"/>
      <c r="K153" s="24"/>
      <c r="L153" s="24"/>
      <c r="M153" s="25"/>
      <c r="N153" s="26"/>
      <c r="P153" s="47"/>
      <c r="Q153" s="47"/>
      <c r="R153" s="47"/>
      <c r="S153" s="47"/>
      <c r="T153" s="47"/>
      <c r="U153" s="47"/>
    </row>
    <row r="154" spans="9:21" x14ac:dyDescent="0.3">
      <c r="I154" s="46"/>
      <c r="K154" s="24"/>
      <c r="L154" s="24"/>
      <c r="M154" s="25"/>
      <c r="N154" s="26"/>
      <c r="P154" s="47"/>
      <c r="Q154" s="47"/>
      <c r="R154" s="47"/>
      <c r="S154" s="47"/>
      <c r="T154" s="47"/>
      <c r="U154" s="47"/>
    </row>
    <row r="155" spans="9:21" x14ac:dyDescent="0.3">
      <c r="I155" s="46"/>
      <c r="K155" s="24"/>
      <c r="L155" s="24"/>
      <c r="M155" s="25"/>
      <c r="N155" s="26"/>
      <c r="P155" s="47"/>
      <c r="Q155" s="47"/>
      <c r="R155" s="47"/>
      <c r="S155" s="47"/>
      <c r="T155" s="47"/>
      <c r="U155" s="47"/>
    </row>
    <row r="156" spans="9:21" x14ac:dyDescent="0.3">
      <c r="I156" s="46"/>
      <c r="K156" s="24"/>
      <c r="L156" s="24"/>
      <c r="M156" s="25"/>
      <c r="N156" s="26"/>
      <c r="P156" s="47"/>
      <c r="Q156" s="47"/>
      <c r="R156" s="47"/>
      <c r="S156" s="47"/>
      <c r="T156" s="47"/>
      <c r="U156" s="47"/>
    </row>
    <row r="157" spans="9:21" x14ac:dyDescent="0.3">
      <c r="I157" s="46"/>
      <c r="K157" s="24"/>
      <c r="L157" s="24"/>
      <c r="M157" s="25"/>
      <c r="N157" s="26"/>
      <c r="P157" s="47"/>
      <c r="Q157" s="47"/>
      <c r="R157" s="47"/>
      <c r="S157" s="47"/>
      <c r="T157" s="47"/>
      <c r="U157" s="47"/>
    </row>
    <row r="158" spans="9:21" x14ac:dyDescent="0.3">
      <c r="I158" s="46"/>
      <c r="K158" s="24"/>
      <c r="L158" s="24"/>
      <c r="M158" s="25"/>
      <c r="N158" s="26"/>
      <c r="P158" s="49"/>
    </row>
    <row r="159" spans="9:21" x14ac:dyDescent="0.3">
      <c r="I159" s="46"/>
      <c r="K159" s="24"/>
      <c r="L159" s="24"/>
      <c r="M159" s="25"/>
      <c r="N159" s="26"/>
    </row>
    <row r="160" spans="9:21" x14ac:dyDescent="0.3">
      <c r="I160" s="46"/>
      <c r="K160" s="24"/>
      <c r="L160" s="24"/>
      <c r="M160" s="25"/>
      <c r="N160" s="26"/>
    </row>
    <row r="161" spans="9:14" x14ac:dyDescent="0.3">
      <c r="I161" s="46"/>
      <c r="K161" s="24"/>
      <c r="L161" s="24"/>
      <c r="M161" s="25"/>
      <c r="N161" s="26"/>
    </row>
    <row r="162" spans="9:14" x14ac:dyDescent="0.3">
      <c r="I162" s="46"/>
      <c r="K162" s="24"/>
      <c r="L162" s="24"/>
      <c r="M162" s="25"/>
      <c r="N162" s="26"/>
    </row>
    <row r="163" spans="9:14" x14ac:dyDescent="0.3">
      <c r="I163" s="46"/>
      <c r="K163" s="24"/>
      <c r="L163" s="24"/>
      <c r="M163" s="25"/>
      <c r="N163" s="26"/>
    </row>
    <row r="164" spans="9:14" x14ac:dyDescent="0.3">
      <c r="I164" s="46"/>
      <c r="K164" s="24"/>
      <c r="L164" s="24"/>
      <c r="M164" s="25"/>
      <c r="N164" s="26"/>
    </row>
    <row r="165" spans="9:14" x14ac:dyDescent="0.3">
      <c r="I165" s="46"/>
      <c r="K165" s="24"/>
      <c r="L165" s="24"/>
      <c r="M165" s="25"/>
      <c r="N165" s="26"/>
    </row>
    <row r="166" spans="9:14" x14ac:dyDescent="0.3">
      <c r="I166" s="46"/>
      <c r="K166" s="24"/>
      <c r="L166" s="24"/>
      <c r="M166" s="25"/>
      <c r="N166" s="26"/>
    </row>
    <row r="167" spans="9:14" x14ac:dyDescent="0.3">
      <c r="I167" s="46"/>
      <c r="K167" s="24"/>
      <c r="L167" s="24"/>
      <c r="M167" s="25"/>
      <c r="N167" s="26"/>
    </row>
    <row r="168" spans="9:14" x14ac:dyDescent="0.3">
      <c r="I168" s="46"/>
      <c r="K168" s="24"/>
      <c r="L168" s="24"/>
      <c r="M168" s="25"/>
      <c r="N168" s="26"/>
    </row>
    <row r="169" spans="9:14" x14ac:dyDescent="0.3">
      <c r="I169" s="46"/>
      <c r="K169" s="24"/>
      <c r="L169" s="24"/>
      <c r="M169" s="25"/>
      <c r="N169" s="26"/>
    </row>
    <row r="170" spans="9:14" x14ac:dyDescent="0.3">
      <c r="I170" s="46"/>
      <c r="K170" s="24"/>
      <c r="L170" s="24"/>
      <c r="M170" s="25"/>
      <c r="N170" s="26"/>
    </row>
    <row r="171" spans="9:14" x14ac:dyDescent="0.3">
      <c r="I171" s="46"/>
      <c r="K171" s="24"/>
      <c r="L171" s="24"/>
      <c r="M171" s="25"/>
      <c r="N171" s="26"/>
    </row>
    <row r="172" spans="9:14" x14ac:dyDescent="0.3">
      <c r="I172" s="46"/>
      <c r="K172" s="24"/>
      <c r="L172" s="24"/>
      <c r="M172" s="25"/>
      <c r="N172" s="26"/>
    </row>
    <row r="173" spans="9:14" x14ac:dyDescent="0.3">
      <c r="I173" s="46"/>
      <c r="K173" s="24"/>
      <c r="L173" s="24"/>
      <c r="M173" s="25"/>
      <c r="N173" s="26"/>
    </row>
    <row r="174" spans="9:14" x14ac:dyDescent="0.3">
      <c r="I174" s="46"/>
      <c r="K174" s="24"/>
      <c r="L174" s="24"/>
      <c r="M174" s="25"/>
      <c r="N174" s="26"/>
    </row>
    <row r="175" spans="9:14" x14ac:dyDescent="0.3">
      <c r="I175" s="46"/>
      <c r="K175" s="24"/>
      <c r="L175" s="24"/>
      <c r="M175" s="25"/>
      <c r="N175" s="26"/>
    </row>
    <row r="176" spans="9:14" x14ac:dyDescent="0.3">
      <c r="I176" s="46"/>
      <c r="K176" s="24"/>
      <c r="L176" s="24"/>
      <c r="M176" s="25"/>
      <c r="N176" s="26"/>
    </row>
    <row r="177" spans="9:14" x14ac:dyDescent="0.3">
      <c r="I177" s="46"/>
      <c r="K177" s="24"/>
      <c r="L177" s="24"/>
      <c r="M177" s="25"/>
      <c r="N177" s="26"/>
    </row>
    <row r="178" spans="9:14" x14ac:dyDescent="0.3">
      <c r="I178" s="46"/>
      <c r="K178" s="24"/>
      <c r="L178" s="24"/>
      <c r="M178" s="25"/>
      <c r="N178" s="26"/>
    </row>
    <row r="179" spans="9:14" x14ac:dyDescent="0.3">
      <c r="I179" s="46"/>
      <c r="K179" s="24"/>
      <c r="L179" s="24"/>
      <c r="M179" s="25"/>
      <c r="N179" s="26"/>
    </row>
    <row r="180" spans="9:14" x14ac:dyDescent="0.3">
      <c r="I180" s="46"/>
      <c r="K180" s="24"/>
      <c r="L180" s="24"/>
      <c r="M180" s="25"/>
      <c r="N180" s="26"/>
    </row>
    <row r="181" spans="9:14" x14ac:dyDescent="0.3">
      <c r="I181" s="46"/>
      <c r="K181" s="24"/>
      <c r="L181" s="24"/>
      <c r="M181" s="25"/>
      <c r="N181" s="26"/>
    </row>
    <row r="182" spans="9:14" x14ac:dyDescent="0.3">
      <c r="I182" s="46"/>
      <c r="K182" s="24"/>
      <c r="L182" s="24"/>
      <c r="M182" s="25"/>
      <c r="N182" s="26"/>
    </row>
    <row r="183" spans="9:14" x14ac:dyDescent="0.3">
      <c r="I183" s="46"/>
      <c r="K183" s="24"/>
      <c r="L183" s="24"/>
      <c r="M183" s="25"/>
      <c r="N183" s="26"/>
    </row>
    <row r="184" spans="9:14" x14ac:dyDescent="0.3">
      <c r="I184" s="46"/>
      <c r="K184" s="24"/>
      <c r="L184" s="24"/>
      <c r="M184" s="25"/>
      <c r="N184" s="26"/>
    </row>
    <row r="185" spans="9:14" x14ac:dyDescent="0.3">
      <c r="I185" s="46"/>
      <c r="K185" s="24"/>
      <c r="L185" s="24"/>
      <c r="M185" s="25"/>
      <c r="N185" s="26"/>
    </row>
    <row r="186" spans="9:14" x14ac:dyDescent="0.3">
      <c r="I186" s="46"/>
      <c r="K186" s="24"/>
      <c r="L186" s="24"/>
      <c r="M186" s="25"/>
      <c r="N186" s="26"/>
    </row>
    <row r="187" spans="9:14" x14ac:dyDescent="0.3">
      <c r="I187" s="46"/>
      <c r="K187" s="24"/>
      <c r="L187" s="24"/>
      <c r="M187" s="25"/>
      <c r="N187" s="26"/>
    </row>
    <row r="188" spans="9:14" x14ac:dyDescent="0.3">
      <c r="I188" s="46"/>
      <c r="K188" s="24"/>
      <c r="L188" s="24"/>
      <c r="M188" s="25"/>
      <c r="N188" s="26"/>
    </row>
    <row r="189" spans="9:14" x14ac:dyDescent="0.3">
      <c r="I189" s="46"/>
      <c r="K189" s="24"/>
      <c r="L189" s="24"/>
      <c r="M189" s="25"/>
      <c r="N189" s="26"/>
    </row>
    <row r="190" spans="9:14" x14ac:dyDescent="0.3">
      <c r="I190" s="46"/>
      <c r="K190" s="24"/>
      <c r="L190" s="24"/>
      <c r="M190" s="25"/>
      <c r="N190" s="26"/>
    </row>
    <row r="191" spans="9:14" x14ac:dyDescent="0.3">
      <c r="I191" s="46"/>
      <c r="K191" s="24"/>
      <c r="L191" s="24"/>
      <c r="M191" s="25"/>
      <c r="N191" s="26"/>
    </row>
    <row r="192" spans="9:14" x14ac:dyDescent="0.3">
      <c r="I192" s="46"/>
      <c r="K192" s="24"/>
      <c r="L192" s="24"/>
      <c r="M192" s="25"/>
      <c r="N192" s="26"/>
    </row>
    <row r="193" spans="9:14" x14ac:dyDescent="0.3">
      <c r="I193" s="46"/>
      <c r="K193" s="24"/>
      <c r="L193" s="24"/>
      <c r="M193" s="25"/>
      <c r="N193" s="26"/>
    </row>
    <row r="194" spans="9:14" x14ac:dyDescent="0.3">
      <c r="I194" s="46"/>
      <c r="K194" s="24"/>
      <c r="L194" s="24"/>
      <c r="M194" s="25"/>
      <c r="N194" s="26"/>
    </row>
    <row r="195" spans="9:14" x14ac:dyDescent="0.3">
      <c r="I195" s="46"/>
      <c r="K195" s="24"/>
      <c r="L195" s="24"/>
      <c r="M195" s="25"/>
      <c r="N195" s="26"/>
    </row>
    <row r="196" spans="9:14" x14ac:dyDescent="0.3">
      <c r="I196" s="46"/>
      <c r="K196" s="24"/>
      <c r="L196" s="24"/>
      <c r="M196" s="25"/>
      <c r="N196" s="26"/>
    </row>
    <row r="197" spans="9:14" x14ac:dyDescent="0.3">
      <c r="I197" s="46"/>
      <c r="K197" s="24"/>
      <c r="L197" s="24"/>
      <c r="M197" s="25"/>
      <c r="N197" s="26"/>
    </row>
    <row r="198" spans="9:14" x14ac:dyDescent="0.3">
      <c r="I198" s="46"/>
      <c r="K198" s="24"/>
      <c r="L198" s="24"/>
      <c r="M198" s="25"/>
      <c r="N198" s="26"/>
    </row>
    <row r="199" spans="9:14" x14ac:dyDescent="0.3">
      <c r="I199" s="46"/>
      <c r="K199" s="24"/>
      <c r="L199" s="24"/>
      <c r="M199" s="25"/>
      <c r="N199" s="26"/>
    </row>
    <row r="200" spans="9:14" x14ac:dyDescent="0.3">
      <c r="I200" s="46"/>
      <c r="K200" s="24"/>
      <c r="L200" s="24"/>
      <c r="M200" s="25"/>
      <c r="N200" s="26"/>
    </row>
    <row r="201" spans="9:14" x14ac:dyDescent="0.3">
      <c r="I201" s="46"/>
      <c r="K201" s="24"/>
      <c r="L201" s="24"/>
      <c r="M201" s="25"/>
      <c r="N201" s="26"/>
    </row>
    <row r="202" spans="9:14" x14ac:dyDescent="0.3">
      <c r="I202" s="46"/>
      <c r="K202" s="24"/>
      <c r="L202" s="24"/>
      <c r="M202" s="25"/>
      <c r="N202" s="26"/>
    </row>
    <row r="203" spans="9:14" x14ac:dyDescent="0.3">
      <c r="I203" s="46"/>
      <c r="K203" s="24"/>
      <c r="L203" s="24"/>
      <c r="M203" s="25"/>
      <c r="N203" s="26"/>
    </row>
    <row r="204" spans="9:14" x14ac:dyDescent="0.3">
      <c r="I204" s="46"/>
      <c r="K204" s="24"/>
      <c r="L204" s="24"/>
      <c r="M204" s="25"/>
      <c r="N204" s="26"/>
    </row>
    <row r="205" spans="9:14" x14ac:dyDescent="0.3">
      <c r="I205" s="46"/>
      <c r="K205" s="24"/>
      <c r="L205" s="24"/>
      <c r="M205" s="25"/>
      <c r="N205" s="26"/>
    </row>
    <row r="206" spans="9:14" x14ac:dyDescent="0.3">
      <c r="I206" s="46"/>
      <c r="K206" s="24"/>
      <c r="L206" s="24"/>
      <c r="M206" s="25"/>
      <c r="N206" s="26"/>
    </row>
    <row r="207" spans="9:14" x14ac:dyDescent="0.3">
      <c r="I207" s="46"/>
      <c r="K207" s="24"/>
      <c r="L207" s="24"/>
      <c r="M207" s="25"/>
      <c r="N207" s="26"/>
    </row>
    <row r="208" spans="9:14" x14ac:dyDescent="0.3">
      <c r="I208" s="46"/>
      <c r="K208" s="24"/>
      <c r="L208" s="24"/>
      <c r="M208" s="25"/>
      <c r="N208" s="26"/>
    </row>
    <row r="209" spans="9:14" x14ac:dyDescent="0.3">
      <c r="I209" s="46"/>
      <c r="K209" s="24"/>
      <c r="L209" s="24"/>
      <c r="M209" s="25"/>
      <c r="N209" s="26"/>
    </row>
    <row r="210" spans="9:14" x14ac:dyDescent="0.3">
      <c r="I210" s="46"/>
      <c r="K210" s="24"/>
      <c r="L210" s="24"/>
      <c r="M210" s="25"/>
      <c r="N210" s="26"/>
    </row>
    <row r="211" spans="9:14" x14ac:dyDescent="0.3">
      <c r="I211" s="46"/>
      <c r="K211" s="24"/>
      <c r="L211" s="24"/>
      <c r="M211" s="25"/>
      <c r="N211" s="26"/>
    </row>
    <row r="212" spans="9:14" x14ac:dyDescent="0.3">
      <c r="I212" s="46"/>
      <c r="K212" s="24"/>
      <c r="L212" s="24"/>
      <c r="M212" s="25"/>
      <c r="N212" s="26"/>
    </row>
    <row r="213" spans="9:14" x14ac:dyDescent="0.3">
      <c r="I213" s="46"/>
      <c r="K213" s="24"/>
      <c r="L213" s="24"/>
      <c r="M213" s="25"/>
      <c r="N213" s="26"/>
    </row>
    <row r="214" spans="9:14" x14ac:dyDescent="0.3">
      <c r="I214" s="46"/>
      <c r="K214" s="24"/>
      <c r="L214" s="24"/>
      <c r="M214" s="25"/>
      <c r="N214" s="26"/>
    </row>
    <row r="215" spans="9:14" x14ac:dyDescent="0.3">
      <c r="I215" s="46"/>
      <c r="K215" s="24"/>
      <c r="L215" s="24"/>
      <c r="M215" s="25"/>
      <c r="N215" s="26"/>
    </row>
    <row r="216" spans="9:14" x14ac:dyDescent="0.3">
      <c r="I216" s="46"/>
      <c r="K216" s="24"/>
      <c r="L216" s="24"/>
      <c r="M216" s="25"/>
      <c r="N216" s="26"/>
    </row>
    <row r="217" spans="9:14" x14ac:dyDescent="0.3">
      <c r="I217" s="46"/>
      <c r="K217" s="24"/>
      <c r="L217" s="24"/>
      <c r="M217" s="25"/>
      <c r="N217" s="26"/>
    </row>
    <row r="218" spans="9:14" x14ac:dyDescent="0.3">
      <c r="I218" s="46"/>
      <c r="K218" s="24"/>
      <c r="L218" s="24"/>
      <c r="M218" s="25"/>
      <c r="N218" s="26"/>
    </row>
    <row r="219" spans="9:14" x14ac:dyDescent="0.3">
      <c r="I219" s="46"/>
      <c r="K219" s="24"/>
      <c r="L219" s="24"/>
      <c r="M219" s="25"/>
      <c r="N219" s="26"/>
    </row>
    <row r="220" spans="9:14" x14ac:dyDescent="0.3">
      <c r="I220" s="46"/>
      <c r="K220" s="24"/>
      <c r="L220" s="24"/>
      <c r="M220" s="25"/>
      <c r="N220" s="26"/>
    </row>
    <row r="221" spans="9:14" x14ac:dyDescent="0.3">
      <c r="I221" s="46"/>
      <c r="K221" s="24"/>
      <c r="L221" s="24"/>
      <c r="M221" s="25"/>
      <c r="N221" s="26"/>
    </row>
    <row r="222" spans="9:14" x14ac:dyDescent="0.3">
      <c r="I222" s="46"/>
      <c r="K222" s="24"/>
      <c r="L222" s="24"/>
      <c r="M222" s="25"/>
      <c r="N222" s="26"/>
    </row>
    <row r="223" spans="9:14" x14ac:dyDescent="0.3">
      <c r="I223" s="46"/>
      <c r="K223" s="24"/>
      <c r="L223" s="24"/>
      <c r="M223" s="25"/>
      <c r="N223" s="26"/>
    </row>
    <row r="224" spans="9:14" x14ac:dyDescent="0.3">
      <c r="I224" s="46"/>
      <c r="K224" s="24"/>
      <c r="L224" s="24"/>
      <c r="M224" s="25"/>
      <c r="N224" s="26"/>
    </row>
    <row r="225" spans="9:14" x14ac:dyDescent="0.3">
      <c r="I225" s="46"/>
      <c r="K225" s="24"/>
      <c r="L225" s="24"/>
      <c r="M225" s="25"/>
      <c r="N225" s="26"/>
    </row>
    <row r="226" spans="9:14" x14ac:dyDescent="0.3">
      <c r="I226" s="46"/>
      <c r="K226" s="24"/>
      <c r="L226" s="24"/>
      <c r="M226" s="25"/>
      <c r="N226" s="26"/>
    </row>
    <row r="227" spans="9:14" x14ac:dyDescent="0.3">
      <c r="I227" s="46"/>
      <c r="K227" s="24"/>
      <c r="L227" s="24"/>
      <c r="M227" s="25"/>
      <c r="N227" s="26"/>
    </row>
    <row r="228" spans="9:14" x14ac:dyDescent="0.3">
      <c r="I228" s="46"/>
      <c r="K228" s="24"/>
      <c r="L228" s="24"/>
      <c r="M228" s="25"/>
      <c r="N228" s="26"/>
    </row>
    <row r="229" spans="9:14" x14ac:dyDescent="0.3">
      <c r="I229" s="46"/>
      <c r="K229" s="24"/>
      <c r="L229" s="24"/>
      <c r="M229" s="25"/>
      <c r="N229" s="26"/>
    </row>
    <row r="230" spans="9:14" x14ac:dyDescent="0.3">
      <c r="I230" s="46"/>
      <c r="K230" s="24"/>
      <c r="L230" s="24"/>
      <c r="M230" s="25"/>
      <c r="N230" s="26"/>
    </row>
    <row r="231" spans="9:14" x14ac:dyDescent="0.3">
      <c r="I231" s="46"/>
      <c r="K231" s="24"/>
      <c r="L231" s="24"/>
      <c r="M231" s="25"/>
      <c r="N231" s="26"/>
    </row>
    <row r="232" spans="9:14" x14ac:dyDescent="0.3">
      <c r="I232" s="46"/>
      <c r="K232" s="24"/>
      <c r="L232" s="24"/>
      <c r="M232" s="25"/>
      <c r="N232" s="26"/>
    </row>
    <row r="233" spans="9:14" x14ac:dyDescent="0.3">
      <c r="I233" s="46"/>
      <c r="K233" s="24"/>
      <c r="L233" s="24"/>
      <c r="M233" s="25"/>
      <c r="N233" s="26"/>
    </row>
    <row r="234" spans="9:14" x14ac:dyDescent="0.3">
      <c r="I234" s="46"/>
      <c r="K234" s="24"/>
      <c r="L234" s="24"/>
      <c r="M234" s="25"/>
      <c r="N234" s="26"/>
    </row>
    <row r="235" spans="9:14" x14ac:dyDescent="0.3">
      <c r="I235" s="46"/>
      <c r="K235" s="24"/>
      <c r="L235" s="24"/>
      <c r="M235" s="25"/>
      <c r="N235" s="26"/>
    </row>
    <row r="236" spans="9:14" x14ac:dyDescent="0.3">
      <c r="I236" s="46"/>
      <c r="K236" s="24"/>
      <c r="L236" s="24"/>
      <c r="M236" s="25"/>
      <c r="N236" s="26"/>
    </row>
    <row r="237" spans="9:14" x14ac:dyDescent="0.3">
      <c r="I237" s="46"/>
      <c r="K237" s="24"/>
      <c r="L237" s="24"/>
      <c r="M237" s="25"/>
      <c r="N237" s="26"/>
    </row>
    <row r="238" spans="9:14" x14ac:dyDescent="0.3">
      <c r="I238" s="46"/>
      <c r="K238" s="24"/>
      <c r="L238" s="24"/>
      <c r="M238" s="25"/>
      <c r="N238" s="26"/>
    </row>
    <row r="239" spans="9:14" x14ac:dyDescent="0.3">
      <c r="I239" s="46"/>
      <c r="K239" s="24"/>
      <c r="L239" s="24"/>
      <c r="M239" s="25"/>
      <c r="N239" s="26"/>
    </row>
    <row r="240" spans="9:14" x14ac:dyDescent="0.3">
      <c r="I240" s="46"/>
      <c r="K240" s="24"/>
      <c r="L240" s="24"/>
      <c r="M240" s="25"/>
      <c r="N240" s="26"/>
    </row>
    <row r="241" spans="9:14" x14ac:dyDescent="0.3">
      <c r="I241" s="46"/>
      <c r="K241" s="24"/>
      <c r="L241" s="24"/>
      <c r="M241" s="25"/>
      <c r="N241" s="26"/>
    </row>
    <row r="242" spans="9:14" x14ac:dyDescent="0.3">
      <c r="I242" s="46"/>
      <c r="K242" s="24"/>
      <c r="L242" s="24"/>
      <c r="M242" s="25"/>
      <c r="N242" s="26"/>
    </row>
    <row r="243" spans="9:14" x14ac:dyDescent="0.3">
      <c r="I243" s="46"/>
      <c r="K243" s="24"/>
      <c r="L243" s="24"/>
      <c r="M243" s="25"/>
      <c r="N243" s="26"/>
    </row>
    <row r="244" spans="9:14" x14ac:dyDescent="0.3">
      <c r="I244" s="46"/>
      <c r="K244" s="24"/>
      <c r="L244" s="24"/>
      <c r="M244" s="25"/>
      <c r="N244" s="26"/>
    </row>
    <row r="245" spans="9:14" x14ac:dyDescent="0.3">
      <c r="I245" s="46"/>
      <c r="K245" s="24"/>
      <c r="L245" s="24"/>
      <c r="M245" s="25"/>
      <c r="N245" s="26"/>
    </row>
    <row r="246" spans="9:14" x14ac:dyDescent="0.3">
      <c r="I246" s="46"/>
      <c r="K246" s="24"/>
      <c r="L246" s="24"/>
      <c r="M246" s="25"/>
      <c r="N246" s="26"/>
    </row>
    <row r="247" spans="9:14" x14ac:dyDescent="0.3">
      <c r="I247" s="46"/>
      <c r="K247" s="24"/>
      <c r="L247" s="24"/>
      <c r="M247" s="25"/>
      <c r="N247" s="26"/>
    </row>
    <row r="248" spans="9:14" x14ac:dyDescent="0.3">
      <c r="I248" s="46"/>
      <c r="K248" s="24"/>
      <c r="L248" s="24"/>
      <c r="M248" s="25"/>
      <c r="N248" s="26"/>
    </row>
    <row r="249" spans="9:14" x14ac:dyDescent="0.3">
      <c r="I249" s="46"/>
      <c r="K249" s="24"/>
      <c r="L249" s="24"/>
      <c r="M249" s="25"/>
      <c r="N249" s="26"/>
    </row>
    <row r="250" spans="9:14" x14ac:dyDescent="0.3">
      <c r="I250" s="46"/>
      <c r="K250" s="24"/>
      <c r="L250" s="24"/>
      <c r="M250" s="25"/>
      <c r="N250" s="26"/>
    </row>
    <row r="251" spans="9:14" x14ac:dyDescent="0.3">
      <c r="I251" s="46"/>
      <c r="K251" s="24"/>
      <c r="L251" s="24"/>
      <c r="M251" s="25"/>
      <c r="N251" s="26"/>
    </row>
    <row r="252" spans="9:14" x14ac:dyDescent="0.3">
      <c r="I252" s="46"/>
      <c r="K252" s="24"/>
      <c r="L252" s="24"/>
      <c r="M252" s="25"/>
      <c r="N252" s="26"/>
    </row>
    <row r="253" spans="9:14" x14ac:dyDescent="0.3">
      <c r="I253" s="46"/>
      <c r="K253" s="24"/>
      <c r="L253" s="24"/>
      <c r="M253" s="25"/>
      <c r="N253" s="26"/>
    </row>
    <row r="254" spans="9:14" x14ac:dyDescent="0.3">
      <c r="I254" s="46"/>
      <c r="K254" s="24"/>
      <c r="L254" s="24"/>
      <c r="M254" s="25"/>
      <c r="N254" s="26"/>
    </row>
    <row r="255" spans="9:14" x14ac:dyDescent="0.3">
      <c r="I255" s="46"/>
      <c r="K255" s="24"/>
      <c r="L255" s="24"/>
      <c r="M255" s="25"/>
      <c r="N255" s="26"/>
    </row>
    <row r="256" spans="9:14" x14ac:dyDescent="0.3">
      <c r="I256" s="46"/>
      <c r="K256" s="24"/>
      <c r="L256" s="24"/>
      <c r="M256" s="25"/>
      <c r="N256" s="26"/>
    </row>
    <row r="257" spans="9:14" x14ac:dyDescent="0.3">
      <c r="I257" s="46"/>
      <c r="K257" s="24"/>
      <c r="L257" s="24"/>
      <c r="M257" s="25"/>
      <c r="N257" s="26"/>
    </row>
    <row r="258" spans="9:14" x14ac:dyDescent="0.3">
      <c r="I258" s="46"/>
      <c r="K258" s="24"/>
      <c r="L258" s="24"/>
      <c r="M258" s="25"/>
      <c r="N258" s="26"/>
    </row>
    <row r="259" spans="9:14" x14ac:dyDescent="0.3">
      <c r="I259" s="46"/>
      <c r="K259" s="24"/>
      <c r="L259" s="24"/>
      <c r="M259" s="25"/>
      <c r="N259" s="26"/>
    </row>
    <row r="260" spans="9:14" x14ac:dyDescent="0.3">
      <c r="I260" s="46"/>
      <c r="K260" s="24"/>
      <c r="L260" s="24"/>
      <c r="M260" s="25"/>
      <c r="N260" s="26"/>
    </row>
    <row r="261" spans="9:14" x14ac:dyDescent="0.3">
      <c r="I261" s="46"/>
      <c r="K261" s="24"/>
      <c r="L261" s="24"/>
      <c r="M261" s="25"/>
      <c r="N261" s="26"/>
    </row>
    <row r="262" spans="9:14" x14ac:dyDescent="0.3">
      <c r="I262" s="46"/>
      <c r="K262" s="24"/>
      <c r="L262" s="24"/>
      <c r="M262" s="25"/>
      <c r="N262" s="26"/>
    </row>
    <row r="263" spans="9:14" x14ac:dyDescent="0.3">
      <c r="I263" s="46"/>
      <c r="K263" s="24"/>
      <c r="L263" s="24"/>
      <c r="M263" s="25"/>
      <c r="N263" s="26"/>
    </row>
    <row r="264" spans="9:14" x14ac:dyDescent="0.3">
      <c r="I264" s="46"/>
      <c r="K264" s="24"/>
      <c r="L264" s="24"/>
      <c r="M264" s="25"/>
      <c r="N264" s="26"/>
    </row>
    <row r="265" spans="9:14" x14ac:dyDescent="0.3">
      <c r="I265" s="46"/>
      <c r="K265" s="24"/>
      <c r="L265" s="24"/>
      <c r="M265" s="25"/>
      <c r="N265" s="26"/>
    </row>
    <row r="266" spans="9:14" x14ac:dyDescent="0.3">
      <c r="I266" s="46"/>
      <c r="K266" s="24"/>
      <c r="L266" s="24"/>
      <c r="M266" s="25"/>
      <c r="N266" s="26"/>
    </row>
    <row r="267" spans="9:14" x14ac:dyDescent="0.3">
      <c r="I267" s="46"/>
      <c r="K267" s="24"/>
      <c r="L267" s="24"/>
      <c r="M267" s="25"/>
      <c r="N267" s="26"/>
    </row>
    <row r="268" spans="9:14" x14ac:dyDescent="0.3">
      <c r="I268" s="46"/>
      <c r="K268" s="24"/>
      <c r="L268" s="24"/>
      <c r="M268" s="25"/>
      <c r="N268" s="26"/>
    </row>
    <row r="269" spans="9:14" x14ac:dyDescent="0.3">
      <c r="I269" s="46"/>
      <c r="K269" s="24"/>
      <c r="L269" s="24"/>
      <c r="M269" s="25"/>
      <c r="N269" s="26"/>
    </row>
    <row r="270" spans="9:14" x14ac:dyDescent="0.3">
      <c r="I270" s="46"/>
      <c r="K270" s="24"/>
      <c r="L270" s="24"/>
      <c r="M270" s="25"/>
      <c r="N270" s="26"/>
    </row>
    <row r="271" spans="9:14" x14ac:dyDescent="0.3">
      <c r="I271" s="46"/>
      <c r="K271" s="24"/>
      <c r="L271" s="24"/>
      <c r="M271" s="25"/>
      <c r="N271" s="26"/>
    </row>
    <row r="272" spans="9:14" x14ac:dyDescent="0.3">
      <c r="I272" s="46"/>
      <c r="K272" s="24"/>
      <c r="L272" s="24"/>
      <c r="M272" s="25"/>
      <c r="N272" s="26"/>
    </row>
    <row r="273" spans="9:14" x14ac:dyDescent="0.3">
      <c r="I273" s="46"/>
      <c r="K273" s="24"/>
      <c r="L273" s="24"/>
      <c r="M273" s="25"/>
      <c r="N273" s="26"/>
    </row>
    <row r="274" spans="9:14" x14ac:dyDescent="0.3">
      <c r="I274" s="46"/>
      <c r="K274" s="24"/>
      <c r="L274" s="24"/>
      <c r="M274" s="25"/>
      <c r="N274" s="26"/>
    </row>
    <row r="275" spans="9:14" x14ac:dyDescent="0.3">
      <c r="I275" s="46"/>
      <c r="K275" s="24"/>
      <c r="L275" s="24"/>
      <c r="M275" s="25"/>
      <c r="N275" s="26"/>
    </row>
    <row r="276" spans="9:14" x14ac:dyDescent="0.3">
      <c r="I276" s="46"/>
      <c r="K276" s="24"/>
      <c r="L276" s="24"/>
      <c r="M276" s="25"/>
      <c r="N276" s="26"/>
    </row>
    <row r="277" spans="9:14" x14ac:dyDescent="0.3">
      <c r="I277" s="46"/>
      <c r="K277" s="24"/>
      <c r="L277" s="24"/>
      <c r="M277" s="25"/>
      <c r="N277" s="26"/>
    </row>
    <row r="278" spans="9:14" x14ac:dyDescent="0.3">
      <c r="I278" s="46"/>
      <c r="K278" s="24"/>
      <c r="L278" s="24"/>
      <c r="M278" s="25"/>
      <c r="N278" s="26"/>
    </row>
    <row r="279" spans="9:14" x14ac:dyDescent="0.3">
      <c r="I279" s="46"/>
      <c r="K279" s="24"/>
      <c r="L279" s="24"/>
      <c r="M279" s="25"/>
      <c r="N279" s="26"/>
    </row>
    <row r="280" spans="9:14" x14ac:dyDescent="0.3">
      <c r="I280" s="46"/>
      <c r="K280" s="24"/>
      <c r="L280" s="24"/>
      <c r="M280" s="25"/>
      <c r="N280" s="26"/>
    </row>
    <row r="281" spans="9:14" x14ac:dyDescent="0.3">
      <c r="I281" s="46"/>
      <c r="K281" s="24"/>
      <c r="L281" s="24"/>
      <c r="M281" s="25"/>
      <c r="N281" s="26"/>
    </row>
    <row r="282" spans="9:14" x14ac:dyDescent="0.3">
      <c r="I282" s="46"/>
      <c r="K282" s="24"/>
      <c r="L282" s="24"/>
      <c r="M282" s="25"/>
      <c r="N282" s="26"/>
    </row>
    <row r="283" spans="9:14" x14ac:dyDescent="0.3">
      <c r="I283" s="46"/>
      <c r="K283" s="24"/>
      <c r="L283" s="24"/>
      <c r="M283" s="25"/>
      <c r="N283" s="26"/>
    </row>
    <row r="284" spans="9:14" x14ac:dyDescent="0.3">
      <c r="I284" s="46"/>
      <c r="K284" s="24"/>
      <c r="L284" s="24"/>
      <c r="M284" s="25"/>
      <c r="N284" s="26"/>
    </row>
    <row r="285" spans="9:14" x14ac:dyDescent="0.3">
      <c r="I285" s="46"/>
      <c r="K285" s="24"/>
      <c r="L285" s="24"/>
      <c r="M285" s="25"/>
      <c r="N285" s="26"/>
    </row>
    <row r="286" spans="9:14" x14ac:dyDescent="0.3">
      <c r="I286" s="46"/>
      <c r="K286" s="24"/>
      <c r="L286" s="24"/>
      <c r="M286" s="25"/>
      <c r="N286" s="26"/>
    </row>
    <row r="287" spans="9:14" x14ac:dyDescent="0.3">
      <c r="I287" s="46"/>
      <c r="K287" s="24"/>
      <c r="L287" s="24"/>
      <c r="M287" s="25"/>
      <c r="N287" s="26"/>
    </row>
    <row r="288" spans="9:14" x14ac:dyDescent="0.3">
      <c r="I288" s="46"/>
      <c r="K288" s="24"/>
      <c r="L288" s="24"/>
      <c r="M288" s="25"/>
      <c r="N288" s="26"/>
    </row>
    <row r="289" spans="9:14" x14ac:dyDescent="0.3">
      <c r="I289" s="46"/>
      <c r="K289" s="24"/>
      <c r="L289" s="24"/>
      <c r="M289" s="25"/>
      <c r="N289" s="26"/>
    </row>
    <row r="290" spans="9:14" x14ac:dyDescent="0.3">
      <c r="I290" s="46"/>
      <c r="K290" s="24"/>
      <c r="L290" s="24"/>
      <c r="M290" s="25"/>
      <c r="N290" s="26"/>
    </row>
    <row r="291" spans="9:14" x14ac:dyDescent="0.3">
      <c r="I291" s="46"/>
      <c r="K291" s="24"/>
      <c r="L291" s="24"/>
      <c r="M291" s="25"/>
      <c r="N291" s="26"/>
    </row>
    <row r="292" spans="9:14" x14ac:dyDescent="0.3">
      <c r="I292" s="46"/>
      <c r="K292" s="24"/>
      <c r="L292" s="24"/>
      <c r="M292" s="25"/>
      <c r="N292" s="26"/>
    </row>
    <row r="293" spans="9:14" x14ac:dyDescent="0.3">
      <c r="I293" s="46"/>
      <c r="K293" s="24"/>
      <c r="L293" s="24"/>
      <c r="M293" s="25"/>
      <c r="N293" s="26"/>
    </row>
    <row r="294" spans="9:14" x14ac:dyDescent="0.3">
      <c r="I294" s="46"/>
      <c r="K294" s="24"/>
      <c r="L294" s="24"/>
      <c r="M294" s="25"/>
      <c r="N294" s="26"/>
    </row>
    <row r="295" spans="9:14" x14ac:dyDescent="0.3">
      <c r="I295" s="46"/>
      <c r="K295" s="24"/>
      <c r="L295" s="24"/>
      <c r="M295" s="25"/>
      <c r="N295" s="26"/>
    </row>
    <row r="296" spans="9:14" x14ac:dyDescent="0.3">
      <c r="I296" s="46"/>
      <c r="K296" s="24"/>
      <c r="L296" s="24"/>
      <c r="M296" s="25"/>
      <c r="N296" s="26"/>
    </row>
    <row r="297" spans="9:14" x14ac:dyDescent="0.3">
      <c r="I297" s="46"/>
      <c r="K297" s="24"/>
      <c r="L297" s="24"/>
      <c r="M297" s="25"/>
      <c r="N297" s="26"/>
    </row>
    <row r="298" spans="9:14" x14ac:dyDescent="0.3">
      <c r="I298" s="46"/>
      <c r="K298" s="24"/>
      <c r="L298" s="24"/>
      <c r="M298" s="25"/>
      <c r="N298" s="26"/>
    </row>
    <row r="299" spans="9:14" x14ac:dyDescent="0.3">
      <c r="I299" s="46"/>
      <c r="K299" s="24"/>
      <c r="L299" s="24"/>
      <c r="M299" s="25"/>
      <c r="N299" s="26"/>
    </row>
    <row r="300" spans="9:14" x14ac:dyDescent="0.3">
      <c r="I300" s="46"/>
      <c r="K300" s="24"/>
      <c r="L300" s="24"/>
      <c r="M300" s="25"/>
      <c r="N300" s="26"/>
    </row>
    <row r="301" spans="9:14" x14ac:dyDescent="0.3">
      <c r="I301" s="46"/>
      <c r="K301" s="24"/>
      <c r="L301" s="24"/>
      <c r="M301" s="25"/>
      <c r="N301" s="26"/>
    </row>
    <row r="302" spans="9:14" x14ac:dyDescent="0.3">
      <c r="I302" s="46"/>
      <c r="K302" s="24"/>
      <c r="L302" s="24"/>
      <c r="M302" s="25"/>
      <c r="N302" s="26"/>
    </row>
    <row r="303" spans="9:14" x14ac:dyDescent="0.3">
      <c r="I303" s="46"/>
      <c r="K303" s="24"/>
      <c r="L303" s="24"/>
      <c r="M303" s="25"/>
      <c r="N303" s="26"/>
    </row>
    <row r="304" spans="9:14" x14ac:dyDescent="0.3">
      <c r="I304" s="46"/>
      <c r="K304" s="24"/>
      <c r="L304" s="24"/>
      <c r="M304" s="25"/>
      <c r="N304" s="26"/>
    </row>
    <row r="305" spans="9:14" x14ac:dyDescent="0.3">
      <c r="I305" s="46"/>
      <c r="K305" s="24"/>
      <c r="L305" s="24"/>
      <c r="M305" s="25"/>
      <c r="N305" s="26"/>
    </row>
    <row r="306" spans="9:14" x14ac:dyDescent="0.3">
      <c r="I306" s="46"/>
      <c r="K306" s="24"/>
      <c r="L306" s="24"/>
      <c r="M306" s="25"/>
      <c r="N306" s="26"/>
    </row>
    <row r="307" spans="9:14" x14ac:dyDescent="0.3">
      <c r="I307" s="46"/>
      <c r="K307" s="24"/>
      <c r="L307" s="24"/>
      <c r="M307" s="25"/>
      <c r="N307" s="26"/>
    </row>
    <row r="308" spans="9:14" x14ac:dyDescent="0.3">
      <c r="I308" s="46"/>
      <c r="K308" s="24"/>
      <c r="L308" s="24"/>
      <c r="M308" s="25"/>
      <c r="N308" s="26"/>
    </row>
    <row r="309" spans="9:14" x14ac:dyDescent="0.3">
      <c r="I309" s="46"/>
      <c r="K309" s="24"/>
      <c r="L309" s="24"/>
      <c r="M309" s="25"/>
      <c r="N309" s="26"/>
    </row>
    <row r="310" spans="9:14" x14ac:dyDescent="0.3">
      <c r="I310" s="46"/>
      <c r="K310" s="24"/>
      <c r="L310" s="24"/>
      <c r="M310" s="25"/>
      <c r="N310" s="26"/>
    </row>
    <row r="311" spans="9:14" x14ac:dyDescent="0.3">
      <c r="I311" s="46"/>
      <c r="K311" s="24"/>
      <c r="L311" s="24"/>
      <c r="M311" s="25"/>
      <c r="N311" s="26"/>
    </row>
    <row r="312" spans="9:14" x14ac:dyDescent="0.3">
      <c r="I312" s="46"/>
      <c r="K312" s="24"/>
      <c r="L312" s="24"/>
      <c r="M312" s="25"/>
      <c r="N312" s="26"/>
    </row>
    <row r="313" spans="9:14" x14ac:dyDescent="0.3">
      <c r="I313" s="46"/>
      <c r="K313" s="24"/>
      <c r="L313" s="24"/>
      <c r="M313" s="25"/>
      <c r="N313" s="26"/>
    </row>
    <row r="314" spans="9:14" x14ac:dyDescent="0.3">
      <c r="I314" s="46"/>
      <c r="K314" s="24"/>
      <c r="L314" s="24"/>
      <c r="M314" s="25"/>
      <c r="N314" s="26"/>
    </row>
    <row r="315" spans="9:14" x14ac:dyDescent="0.3">
      <c r="I315" s="46"/>
      <c r="K315" s="24"/>
      <c r="L315" s="24"/>
      <c r="M315" s="25"/>
      <c r="N315" s="26"/>
    </row>
    <row r="316" spans="9:14" x14ac:dyDescent="0.3">
      <c r="I316" s="46"/>
      <c r="K316" s="24"/>
      <c r="L316" s="24"/>
      <c r="M316" s="25"/>
      <c r="N316" s="26"/>
    </row>
    <row r="317" spans="9:14" x14ac:dyDescent="0.3">
      <c r="I317" s="46"/>
      <c r="K317" s="24"/>
      <c r="L317" s="24"/>
      <c r="M317" s="25"/>
      <c r="N317" s="26"/>
    </row>
    <row r="318" spans="9:14" x14ac:dyDescent="0.3">
      <c r="I318" s="46"/>
      <c r="K318" s="24"/>
      <c r="L318" s="24"/>
      <c r="M318" s="25"/>
      <c r="N318" s="26"/>
    </row>
    <row r="319" spans="9:14" x14ac:dyDescent="0.3">
      <c r="I319" s="46"/>
      <c r="K319" s="24"/>
      <c r="L319" s="24"/>
      <c r="M319" s="25"/>
      <c r="N319" s="26"/>
    </row>
    <row r="320" spans="9:14" x14ac:dyDescent="0.3">
      <c r="I320" s="46"/>
      <c r="K320" s="24"/>
      <c r="L320" s="24"/>
      <c r="M320" s="25"/>
      <c r="N320" s="26"/>
    </row>
    <row r="321" spans="9:14" x14ac:dyDescent="0.3">
      <c r="I321" s="46"/>
      <c r="K321" s="24"/>
      <c r="L321" s="24"/>
      <c r="M321" s="25"/>
      <c r="N321" s="26"/>
    </row>
    <row r="322" spans="9:14" x14ac:dyDescent="0.3">
      <c r="I322" s="46"/>
      <c r="K322" s="24"/>
      <c r="L322" s="24"/>
      <c r="M322" s="25"/>
      <c r="N322" s="26"/>
    </row>
    <row r="323" spans="9:14" x14ac:dyDescent="0.3">
      <c r="I323" s="46"/>
      <c r="K323" s="24"/>
      <c r="L323" s="24"/>
      <c r="M323" s="25"/>
      <c r="N323" s="26"/>
    </row>
    <row r="324" spans="9:14" x14ac:dyDescent="0.3">
      <c r="I324" s="46"/>
      <c r="K324" s="24"/>
      <c r="L324" s="24"/>
      <c r="M324" s="25"/>
      <c r="N324" s="26"/>
    </row>
    <row r="325" spans="9:14" x14ac:dyDescent="0.3">
      <c r="I325" s="46"/>
      <c r="K325" s="24"/>
      <c r="L325" s="24"/>
      <c r="M325" s="25"/>
      <c r="N325" s="26"/>
    </row>
    <row r="326" spans="9:14" x14ac:dyDescent="0.3">
      <c r="I326" s="46"/>
      <c r="K326" s="24"/>
      <c r="L326" s="24"/>
      <c r="M326" s="25"/>
      <c r="N326" s="26"/>
    </row>
    <row r="327" spans="9:14" x14ac:dyDescent="0.3">
      <c r="I327" s="46"/>
      <c r="K327" s="24"/>
      <c r="L327" s="24"/>
      <c r="M327" s="25"/>
      <c r="N327" s="26"/>
    </row>
    <row r="328" spans="9:14" x14ac:dyDescent="0.3">
      <c r="I328" s="46"/>
      <c r="K328" s="24"/>
      <c r="L328" s="24"/>
      <c r="M328" s="25"/>
      <c r="N328" s="26"/>
    </row>
    <row r="329" spans="9:14" x14ac:dyDescent="0.3">
      <c r="I329" s="46"/>
      <c r="K329" s="24"/>
      <c r="L329" s="24"/>
      <c r="M329" s="25"/>
      <c r="N329" s="26"/>
    </row>
    <row r="330" spans="9:14" x14ac:dyDescent="0.3">
      <c r="I330" s="46"/>
      <c r="K330" s="24"/>
      <c r="L330" s="24"/>
      <c r="M330" s="25"/>
      <c r="N330" s="26"/>
    </row>
    <row r="331" spans="9:14" x14ac:dyDescent="0.3">
      <c r="I331" s="46"/>
      <c r="K331" s="24"/>
      <c r="L331" s="24"/>
      <c r="M331" s="25"/>
      <c r="N331" s="26"/>
    </row>
    <row r="332" spans="9:14" x14ac:dyDescent="0.3">
      <c r="I332" s="46"/>
      <c r="K332" s="24"/>
      <c r="L332" s="24"/>
      <c r="M332" s="25"/>
      <c r="N332" s="26"/>
    </row>
    <row r="333" spans="9:14" x14ac:dyDescent="0.3">
      <c r="I333" s="46"/>
      <c r="K333" s="24"/>
      <c r="L333" s="24"/>
      <c r="M333" s="25"/>
      <c r="N333" s="26"/>
    </row>
    <row r="334" spans="9:14" x14ac:dyDescent="0.3">
      <c r="I334" s="46"/>
      <c r="K334" s="24"/>
      <c r="L334" s="24"/>
      <c r="M334" s="25"/>
      <c r="N334" s="26"/>
    </row>
    <row r="335" spans="9:14" x14ac:dyDescent="0.3">
      <c r="I335" s="46"/>
      <c r="K335" s="24"/>
      <c r="L335" s="24"/>
      <c r="M335" s="25"/>
      <c r="N335" s="26"/>
    </row>
    <row r="336" spans="9:14" x14ac:dyDescent="0.3">
      <c r="I336" s="46"/>
      <c r="K336" s="24"/>
      <c r="L336" s="24"/>
      <c r="M336" s="25"/>
      <c r="N336" s="26"/>
    </row>
    <row r="337" spans="9:14" x14ac:dyDescent="0.3">
      <c r="I337" s="46"/>
      <c r="K337" s="24"/>
      <c r="L337" s="24"/>
      <c r="M337" s="25"/>
      <c r="N337" s="26"/>
    </row>
    <row r="338" spans="9:14" x14ac:dyDescent="0.3">
      <c r="I338" s="46"/>
      <c r="K338" s="24"/>
      <c r="L338" s="24"/>
      <c r="M338" s="25"/>
      <c r="N338" s="26"/>
    </row>
    <row r="339" spans="9:14" x14ac:dyDescent="0.3">
      <c r="I339" s="46"/>
      <c r="K339" s="24"/>
      <c r="L339" s="24"/>
      <c r="M339" s="25"/>
      <c r="N339" s="26"/>
    </row>
    <row r="340" spans="9:14" x14ac:dyDescent="0.3">
      <c r="I340" s="46"/>
      <c r="K340" s="24"/>
      <c r="L340" s="24"/>
      <c r="M340" s="25"/>
      <c r="N340" s="26"/>
    </row>
    <row r="341" spans="9:14" x14ac:dyDescent="0.3">
      <c r="I341" s="46"/>
      <c r="K341" s="24"/>
      <c r="L341" s="24"/>
      <c r="M341" s="25"/>
      <c r="N341" s="26"/>
    </row>
    <row r="342" spans="9:14" x14ac:dyDescent="0.3">
      <c r="I342" s="46"/>
      <c r="K342" s="24"/>
      <c r="L342" s="24"/>
      <c r="M342" s="25"/>
      <c r="N342" s="26"/>
    </row>
    <row r="343" spans="9:14" x14ac:dyDescent="0.3">
      <c r="I343" s="46"/>
      <c r="K343" s="24"/>
      <c r="L343" s="24"/>
      <c r="M343" s="25"/>
      <c r="N343" s="26"/>
    </row>
    <row r="344" spans="9:14" x14ac:dyDescent="0.3">
      <c r="I344" s="46"/>
      <c r="K344" s="24"/>
      <c r="L344" s="24"/>
      <c r="M344" s="25"/>
      <c r="N344" s="26"/>
    </row>
    <row r="345" spans="9:14" x14ac:dyDescent="0.3">
      <c r="I345" s="46"/>
      <c r="K345" s="24"/>
      <c r="L345" s="24"/>
      <c r="M345" s="25"/>
      <c r="N345" s="26"/>
    </row>
    <row r="346" spans="9:14" x14ac:dyDescent="0.3">
      <c r="I346" s="46"/>
      <c r="K346" s="24"/>
      <c r="L346" s="24"/>
      <c r="M346" s="25"/>
      <c r="N346" s="26"/>
    </row>
    <row r="347" spans="9:14" x14ac:dyDescent="0.3">
      <c r="I347" s="46"/>
      <c r="K347" s="24"/>
      <c r="L347" s="24"/>
      <c r="M347" s="25"/>
      <c r="N347" s="26"/>
    </row>
    <row r="348" spans="9:14" x14ac:dyDescent="0.3">
      <c r="I348" s="46"/>
      <c r="K348" s="24"/>
      <c r="L348" s="24"/>
      <c r="M348" s="25"/>
      <c r="N348" s="26"/>
    </row>
    <row r="349" spans="9:14" x14ac:dyDescent="0.3">
      <c r="I349" s="46"/>
      <c r="K349" s="24"/>
      <c r="L349" s="24"/>
      <c r="M349" s="25"/>
      <c r="N349" s="26"/>
    </row>
    <row r="350" spans="9:14" x14ac:dyDescent="0.3">
      <c r="I350" s="46"/>
      <c r="K350" s="24"/>
      <c r="L350" s="24"/>
      <c r="M350" s="25"/>
      <c r="N350" s="26"/>
    </row>
    <row r="351" spans="9:14" x14ac:dyDescent="0.3">
      <c r="I351" s="46"/>
      <c r="K351" s="24"/>
      <c r="L351" s="24"/>
      <c r="M351" s="25"/>
      <c r="N351" s="26"/>
    </row>
    <row r="352" spans="9:14" x14ac:dyDescent="0.3">
      <c r="I352" s="46"/>
      <c r="K352" s="24"/>
      <c r="L352" s="24"/>
      <c r="M352" s="25"/>
      <c r="N352" s="26"/>
    </row>
    <row r="353" spans="9:14" x14ac:dyDescent="0.3">
      <c r="I353" s="46"/>
      <c r="K353" s="24"/>
      <c r="L353" s="24"/>
      <c r="M353" s="25"/>
      <c r="N353" s="26"/>
    </row>
    <row r="354" spans="9:14" x14ac:dyDescent="0.3">
      <c r="I354" s="46"/>
      <c r="K354" s="24"/>
      <c r="L354" s="24"/>
      <c r="M354" s="25"/>
      <c r="N354" s="26"/>
    </row>
    <row r="355" spans="9:14" x14ac:dyDescent="0.3">
      <c r="I355" s="46"/>
      <c r="K355" s="24"/>
      <c r="L355" s="24"/>
      <c r="M355" s="25"/>
      <c r="N355" s="26"/>
    </row>
    <row r="356" spans="9:14" x14ac:dyDescent="0.3">
      <c r="I356" s="46"/>
      <c r="K356" s="24"/>
      <c r="L356" s="24"/>
      <c r="M356" s="25"/>
      <c r="N356" s="26"/>
    </row>
    <row r="357" spans="9:14" x14ac:dyDescent="0.3">
      <c r="I357" s="46"/>
      <c r="K357" s="24"/>
      <c r="L357" s="24"/>
      <c r="M357" s="25"/>
      <c r="N357" s="26"/>
    </row>
    <row r="358" spans="9:14" x14ac:dyDescent="0.3">
      <c r="I358" s="46"/>
      <c r="K358" s="24"/>
      <c r="L358" s="24"/>
      <c r="M358" s="25"/>
      <c r="N358" s="26"/>
    </row>
    <row r="359" spans="9:14" x14ac:dyDescent="0.3">
      <c r="I359" s="46"/>
      <c r="K359" s="24"/>
      <c r="L359" s="24"/>
      <c r="M359" s="25"/>
      <c r="N359" s="26"/>
    </row>
    <row r="360" spans="9:14" x14ac:dyDescent="0.3">
      <c r="I360" s="46"/>
      <c r="K360" s="24"/>
      <c r="L360" s="24"/>
      <c r="M360" s="25"/>
      <c r="N360" s="26"/>
    </row>
    <row r="361" spans="9:14" x14ac:dyDescent="0.3">
      <c r="I361" s="46"/>
      <c r="K361" s="24"/>
      <c r="L361" s="24"/>
      <c r="M361" s="25"/>
      <c r="N361" s="26"/>
    </row>
    <row r="362" spans="9:14" x14ac:dyDescent="0.3">
      <c r="I362" s="46"/>
      <c r="K362" s="24"/>
      <c r="L362" s="24"/>
      <c r="M362" s="25"/>
      <c r="N362" s="26"/>
    </row>
    <row r="363" spans="9:14" x14ac:dyDescent="0.3">
      <c r="I363" s="46"/>
      <c r="K363" s="24"/>
      <c r="L363" s="24"/>
      <c r="M363" s="25"/>
      <c r="N363" s="26"/>
    </row>
    <row r="364" spans="9:14" x14ac:dyDescent="0.3">
      <c r="I364" s="46"/>
      <c r="K364" s="24"/>
      <c r="L364" s="24"/>
      <c r="M364" s="25"/>
      <c r="N364" s="26"/>
    </row>
    <row r="365" spans="9:14" x14ac:dyDescent="0.3">
      <c r="I365" s="46"/>
      <c r="K365" s="24"/>
      <c r="L365" s="24"/>
      <c r="M365" s="25"/>
      <c r="N365" s="26"/>
    </row>
    <row r="366" spans="9:14" x14ac:dyDescent="0.3">
      <c r="I366" s="46"/>
      <c r="K366" s="24"/>
      <c r="L366" s="24"/>
      <c r="M366" s="25"/>
      <c r="N366" s="26"/>
    </row>
    <row r="367" spans="9:14" x14ac:dyDescent="0.3">
      <c r="I367" s="46"/>
      <c r="K367" s="24"/>
      <c r="L367" s="24"/>
      <c r="M367" s="25"/>
      <c r="N367" s="26"/>
    </row>
    <row r="368" spans="9:14" x14ac:dyDescent="0.3">
      <c r="I368" s="46"/>
      <c r="K368" s="24"/>
      <c r="L368" s="24"/>
      <c r="M368" s="25"/>
      <c r="N368" s="26"/>
    </row>
    <row r="369" spans="9:14" x14ac:dyDescent="0.3">
      <c r="I369" s="46"/>
      <c r="K369" s="24"/>
      <c r="L369" s="24"/>
      <c r="M369" s="25"/>
      <c r="N369" s="26"/>
    </row>
    <row r="370" spans="9:14" x14ac:dyDescent="0.3">
      <c r="I370" s="46"/>
      <c r="K370" s="24"/>
      <c r="L370" s="24"/>
      <c r="M370" s="25"/>
      <c r="N370" s="26"/>
    </row>
    <row r="371" spans="9:14" x14ac:dyDescent="0.3">
      <c r="I371" s="46"/>
      <c r="K371" s="24"/>
      <c r="L371" s="24"/>
      <c r="M371" s="25"/>
      <c r="N371" s="26"/>
    </row>
    <row r="372" spans="9:14" x14ac:dyDescent="0.3">
      <c r="I372" s="46"/>
      <c r="K372" s="24"/>
      <c r="L372" s="24"/>
      <c r="M372" s="25"/>
      <c r="N372" s="26"/>
    </row>
    <row r="373" spans="9:14" x14ac:dyDescent="0.3">
      <c r="I373" s="46"/>
      <c r="K373" s="24"/>
      <c r="L373" s="24"/>
      <c r="M373" s="25"/>
      <c r="N373" s="26"/>
    </row>
    <row r="374" spans="9:14" x14ac:dyDescent="0.3">
      <c r="I374" s="46"/>
      <c r="K374" s="24"/>
      <c r="L374" s="24"/>
      <c r="M374" s="25"/>
      <c r="N374" s="26"/>
    </row>
    <row r="375" spans="9:14" x14ac:dyDescent="0.3">
      <c r="I375" s="46"/>
      <c r="K375" s="24"/>
      <c r="L375" s="24"/>
      <c r="M375" s="25"/>
      <c r="N375" s="26"/>
    </row>
    <row r="376" spans="9:14" x14ac:dyDescent="0.3">
      <c r="I376" s="46"/>
      <c r="K376" s="24"/>
      <c r="L376" s="24"/>
      <c r="M376" s="25"/>
      <c r="N376" s="26"/>
    </row>
    <row r="377" spans="9:14" x14ac:dyDescent="0.3">
      <c r="I377" s="46"/>
      <c r="K377" s="24"/>
      <c r="L377" s="24"/>
      <c r="M377" s="25"/>
      <c r="N377" s="26"/>
    </row>
    <row r="378" spans="9:14" x14ac:dyDescent="0.3">
      <c r="I378" s="46"/>
      <c r="K378" s="24"/>
      <c r="L378" s="24"/>
      <c r="M378" s="25"/>
      <c r="N378" s="26"/>
    </row>
    <row r="379" spans="9:14" x14ac:dyDescent="0.3">
      <c r="I379" s="46"/>
      <c r="K379" s="24"/>
      <c r="L379" s="24"/>
      <c r="M379" s="25"/>
      <c r="N379" s="26"/>
    </row>
    <row r="380" spans="9:14" x14ac:dyDescent="0.3">
      <c r="I380" s="46"/>
      <c r="K380" s="24"/>
      <c r="L380" s="24"/>
      <c r="M380" s="25"/>
      <c r="N380" s="26"/>
    </row>
    <row r="381" spans="9:14" x14ac:dyDescent="0.3">
      <c r="I381" s="46"/>
      <c r="K381" s="24"/>
      <c r="L381" s="24"/>
      <c r="M381" s="25"/>
      <c r="N381" s="26"/>
    </row>
    <row r="382" spans="9:14" x14ac:dyDescent="0.3">
      <c r="I382" s="46"/>
      <c r="K382" s="24"/>
      <c r="L382" s="24"/>
      <c r="M382" s="25"/>
      <c r="N382" s="26"/>
    </row>
    <row r="383" spans="9:14" x14ac:dyDescent="0.3">
      <c r="I383" s="46"/>
      <c r="K383" s="24"/>
      <c r="L383" s="24"/>
      <c r="M383" s="25"/>
      <c r="N383" s="26"/>
    </row>
    <row r="384" spans="9:14" x14ac:dyDescent="0.3">
      <c r="I384" s="46"/>
      <c r="K384" s="24"/>
      <c r="L384" s="24"/>
      <c r="M384" s="25"/>
      <c r="N384" s="26"/>
    </row>
    <row r="385" spans="9:14" x14ac:dyDescent="0.3">
      <c r="I385" s="46"/>
      <c r="K385" s="24"/>
      <c r="L385" s="24"/>
      <c r="M385" s="25"/>
      <c r="N385" s="26"/>
    </row>
    <row r="386" spans="9:14" x14ac:dyDescent="0.3">
      <c r="I386" s="46"/>
      <c r="K386" s="24"/>
      <c r="L386" s="24"/>
      <c r="M386" s="25"/>
      <c r="N386" s="26"/>
    </row>
    <row r="387" spans="9:14" x14ac:dyDescent="0.3">
      <c r="I387" s="46"/>
      <c r="K387" s="24"/>
      <c r="L387" s="24"/>
      <c r="M387" s="25"/>
      <c r="N387" s="26"/>
    </row>
    <row r="388" spans="9:14" x14ac:dyDescent="0.3">
      <c r="I388" s="46"/>
      <c r="K388" s="24"/>
      <c r="L388" s="24"/>
      <c r="M388" s="25"/>
      <c r="N388" s="26"/>
    </row>
    <row r="389" spans="9:14" x14ac:dyDescent="0.3">
      <c r="I389" s="46"/>
      <c r="K389" s="24"/>
      <c r="L389" s="24"/>
      <c r="M389" s="25"/>
      <c r="N389" s="26"/>
    </row>
    <row r="390" spans="9:14" x14ac:dyDescent="0.3">
      <c r="I390" s="46"/>
      <c r="K390" s="24"/>
      <c r="L390" s="24"/>
      <c r="M390" s="25"/>
      <c r="N390" s="26"/>
    </row>
    <row r="391" spans="9:14" x14ac:dyDescent="0.3">
      <c r="I391" s="46"/>
      <c r="K391" s="24"/>
      <c r="L391" s="24"/>
      <c r="M391" s="25"/>
      <c r="N391" s="26"/>
    </row>
    <row r="392" spans="9:14" x14ac:dyDescent="0.3">
      <c r="I392" s="46"/>
      <c r="K392" s="24"/>
      <c r="L392" s="24"/>
      <c r="M392" s="25"/>
      <c r="N392" s="26"/>
    </row>
    <row r="393" spans="9:14" x14ac:dyDescent="0.3">
      <c r="I393" s="46"/>
      <c r="K393" s="24"/>
      <c r="L393" s="24"/>
      <c r="M393" s="25"/>
      <c r="N393" s="26"/>
    </row>
    <row r="394" spans="9:14" x14ac:dyDescent="0.3">
      <c r="I394" s="46"/>
      <c r="K394" s="24"/>
      <c r="L394" s="24"/>
      <c r="M394" s="25"/>
      <c r="N394" s="26"/>
    </row>
    <row r="395" spans="9:14" x14ac:dyDescent="0.3">
      <c r="I395" s="46"/>
      <c r="K395" s="24"/>
      <c r="L395" s="24"/>
      <c r="M395" s="25"/>
      <c r="N395" s="26"/>
    </row>
    <row r="396" spans="9:14" x14ac:dyDescent="0.3">
      <c r="I396" s="46"/>
      <c r="K396" s="24"/>
      <c r="L396" s="24"/>
      <c r="M396" s="25"/>
      <c r="N396" s="26"/>
    </row>
    <row r="397" spans="9:14" x14ac:dyDescent="0.3">
      <c r="I397" s="46"/>
      <c r="K397" s="24"/>
      <c r="L397" s="24"/>
      <c r="M397" s="25"/>
      <c r="N397" s="26"/>
    </row>
    <row r="398" spans="9:14" x14ac:dyDescent="0.3">
      <c r="I398" s="46"/>
      <c r="K398" s="24"/>
      <c r="L398" s="24"/>
      <c r="M398" s="25"/>
      <c r="N398" s="26"/>
    </row>
    <row r="399" spans="9:14" x14ac:dyDescent="0.3">
      <c r="I399" s="46"/>
      <c r="K399" s="24"/>
      <c r="L399" s="24"/>
      <c r="M399" s="25"/>
      <c r="N399" s="26"/>
    </row>
    <row r="400" spans="9:14" x14ac:dyDescent="0.3">
      <c r="I400" s="46"/>
      <c r="K400" s="24"/>
      <c r="L400" s="24"/>
      <c r="M400" s="25"/>
      <c r="N400" s="26"/>
    </row>
    <row r="401" spans="9:14" x14ac:dyDescent="0.3">
      <c r="I401" s="46"/>
      <c r="K401" s="24"/>
      <c r="L401" s="24"/>
      <c r="M401" s="25"/>
      <c r="N401" s="26"/>
    </row>
    <row r="402" spans="9:14" x14ac:dyDescent="0.3">
      <c r="I402" s="46"/>
      <c r="K402" s="24"/>
      <c r="L402" s="24"/>
      <c r="M402" s="25"/>
      <c r="N402" s="26"/>
    </row>
    <row r="403" spans="9:14" x14ac:dyDescent="0.3">
      <c r="I403" s="46"/>
      <c r="K403" s="24"/>
      <c r="L403" s="24"/>
      <c r="M403" s="25"/>
      <c r="N403" s="26"/>
    </row>
    <row r="404" spans="9:14" x14ac:dyDescent="0.3">
      <c r="I404" s="46"/>
      <c r="K404" s="24"/>
      <c r="L404" s="24"/>
      <c r="M404" s="25"/>
      <c r="N404" s="26"/>
    </row>
    <row r="405" spans="9:14" x14ac:dyDescent="0.3">
      <c r="I405" s="46"/>
      <c r="K405" s="24"/>
      <c r="L405" s="24"/>
      <c r="M405" s="25"/>
      <c r="N405" s="26"/>
    </row>
    <row r="406" spans="9:14" x14ac:dyDescent="0.3">
      <c r="I406" s="46"/>
      <c r="K406" s="24"/>
      <c r="L406" s="24"/>
      <c r="M406" s="25"/>
      <c r="N406" s="26"/>
    </row>
    <row r="407" spans="9:14" x14ac:dyDescent="0.3">
      <c r="I407" s="46"/>
      <c r="K407" s="24"/>
      <c r="L407" s="24"/>
      <c r="M407" s="25"/>
      <c r="N407" s="26"/>
    </row>
    <row r="408" spans="9:14" x14ac:dyDescent="0.3">
      <c r="I408" s="46"/>
      <c r="K408" s="24"/>
      <c r="L408" s="24"/>
      <c r="M408" s="25"/>
      <c r="N408" s="26"/>
    </row>
    <row r="409" spans="9:14" x14ac:dyDescent="0.3">
      <c r="I409" s="46"/>
      <c r="K409" s="24"/>
      <c r="L409" s="24"/>
      <c r="M409" s="25"/>
      <c r="N409" s="26"/>
    </row>
    <row r="410" spans="9:14" x14ac:dyDescent="0.3">
      <c r="I410" s="46"/>
      <c r="K410" s="24"/>
      <c r="L410" s="24"/>
      <c r="M410" s="25"/>
      <c r="N410" s="26"/>
    </row>
    <row r="411" spans="9:14" x14ac:dyDescent="0.3">
      <c r="I411" s="46"/>
      <c r="K411" s="24"/>
      <c r="L411" s="24"/>
      <c r="M411" s="25"/>
      <c r="N411" s="26"/>
    </row>
    <row r="412" spans="9:14" x14ac:dyDescent="0.3">
      <c r="I412" s="46"/>
      <c r="K412" s="24"/>
      <c r="L412" s="24"/>
      <c r="M412" s="25"/>
      <c r="N412" s="26"/>
    </row>
    <row r="413" spans="9:14" x14ac:dyDescent="0.3">
      <c r="I413" s="46"/>
      <c r="K413" s="24"/>
      <c r="L413" s="24"/>
      <c r="M413" s="25"/>
      <c r="N413" s="26"/>
    </row>
    <row r="414" spans="9:14" x14ac:dyDescent="0.3">
      <c r="I414" s="46"/>
      <c r="K414" s="24"/>
      <c r="L414" s="24"/>
      <c r="M414" s="25"/>
      <c r="N414" s="26"/>
    </row>
    <row r="415" spans="9:14" x14ac:dyDescent="0.3">
      <c r="I415" s="46"/>
      <c r="K415" s="24"/>
      <c r="L415" s="24"/>
      <c r="M415" s="25"/>
      <c r="N415" s="26"/>
    </row>
    <row r="416" spans="9:14" x14ac:dyDescent="0.3">
      <c r="I416" s="46"/>
      <c r="K416" s="24"/>
      <c r="L416" s="24"/>
      <c r="M416" s="25"/>
      <c r="N416" s="26"/>
    </row>
    <row r="417" spans="9:14" x14ac:dyDescent="0.3">
      <c r="I417" s="46"/>
      <c r="K417" s="24"/>
      <c r="L417" s="24"/>
      <c r="M417" s="25"/>
      <c r="N417" s="26"/>
    </row>
    <row r="418" spans="9:14" x14ac:dyDescent="0.3">
      <c r="I418" s="46"/>
      <c r="K418" s="24"/>
      <c r="L418" s="24"/>
      <c r="M418" s="25"/>
      <c r="N418" s="26"/>
    </row>
    <row r="419" spans="9:14" x14ac:dyDescent="0.3">
      <c r="I419" s="46"/>
      <c r="K419" s="24"/>
      <c r="L419" s="24"/>
      <c r="M419" s="25"/>
      <c r="N419" s="26"/>
    </row>
    <row r="420" spans="9:14" x14ac:dyDescent="0.3">
      <c r="I420" s="46"/>
      <c r="K420" s="24"/>
      <c r="L420" s="24"/>
      <c r="M420" s="25"/>
      <c r="N420" s="26"/>
    </row>
    <row r="421" spans="9:14" x14ac:dyDescent="0.3">
      <c r="I421" s="46"/>
      <c r="K421" s="24"/>
      <c r="L421" s="24"/>
      <c r="M421" s="25"/>
      <c r="N421" s="26"/>
    </row>
    <row r="422" spans="9:14" x14ac:dyDescent="0.3">
      <c r="I422" s="46"/>
      <c r="K422" s="24"/>
      <c r="L422" s="24"/>
      <c r="M422" s="25"/>
      <c r="N422" s="26"/>
    </row>
    <row r="423" spans="9:14" x14ac:dyDescent="0.3">
      <c r="I423" s="46"/>
      <c r="L423" s="24"/>
      <c r="M423" s="25"/>
      <c r="N423" s="26"/>
    </row>
    <row r="424" spans="9:14" x14ac:dyDescent="0.3">
      <c r="I424" s="46"/>
      <c r="L424" s="24"/>
      <c r="M424" s="25"/>
      <c r="N424" s="26"/>
    </row>
    <row r="425" spans="9:14" x14ac:dyDescent="0.3">
      <c r="I425" s="46"/>
      <c r="L425" s="24"/>
      <c r="M425" s="25"/>
      <c r="N425" s="26"/>
    </row>
    <row r="426" spans="9:14" x14ac:dyDescent="0.3">
      <c r="I426" s="46"/>
      <c r="L426" s="24"/>
      <c r="M426" s="25"/>
      <c r="N426" s="26"/>
    </row>
    <row r="427" spans="9:14" x14ac:dyDescent="0.3">
      <c r="I427" s="46"/>
      <c r="L427" s="24"/>
      <c r="M427" s="25"/>
      <c r="N427" s="26"/>
    </row>
    <row r="428" spans="9:14" x14ac:dyDescent="0.3">
      <c r="I428" s="46"/>
      <c r="L428" s="24"/>
      <c r="M428" s="25"/>
      <c r="N428" s="26"/>
    </row>
    <row r="429" spans="9:14" x14ac:dyDescent="0.3">
      <c r="I429" s="46"/>
      <c r="L429" s="24"/>
      <c r="M429" s="25"/>
      <c r="N429" s="26"/>
    </row>
    <row r="430" spans="9:14" x14ac:dyDescent="0.3">
      <c r="I430" s="46"/>
      <c r="L430" s="24"/>
      <c r="M430" s="25"/>
      <c r="N430" s="26"/>
    </row>
    <row r="431" spans="9:14" x14ac:dyDescent="0.3">
      <c r="I431" s="46"/>
      <c r="L431" s="24"/>
      <c r="M431" s="25"/>
      <c r="N431" s="26"/>
    </row>
    <row r="432" spans="9:14" x14ac:dyDescent="0.3">
      <c r="I432" s="46"/>
      <c r="L432" s="24"/>
      <c r="M432" s="25"/>
      <c r="N432" s="26"/>
    </row>
    <row r="433" spans="9:14" x14ac:dyDescent="0.3">
      <c r="I433" s="46"/>
      <c r="L433" s="24"/>
      <c r="M433" s="25"/>
      <c r="N433" s="26"/>
    </row>
    <row r="434" spans="9:14" x14ac:dyDescent="0.3">
      <c r="I434" s="46"/>
      <c r="L434" s="24"/>
      <c r="M434" s="25"/>
      <c r="N434" s="26"/>
    </row>
    <row r="435" spans="9:14" x14ac:dyDescent="0.3">
      <c r="I435" s="46"/>
      <c r="L435" s="24"/>
      <c r="M435" s="25"/>
      <c r="N435" s="26"/>
    </row>
    <row r="436" spans="9:14" x14ac:dyDescent="0.3">
      <c r="I436" s="46"/>
      <c r="L436" s="24"/>
      <c r="M436" s="25"/>
      <c r="N436" s="26"/>
    </row>
    <row r="437" spans="9:14" x14ac:dyDescent="0.3">
      <c r="I437" s="46"/>
      <c r="L437" s="24"/>
      <c r="M437" s="25"/>
      <c r="N437" s="26"/>
    </row>
    <row r="438" spans="9:14" x14ac:dyDescent="0.3">
      <c r="I438" s="46"/>
      <c r="L438" s="24"/>
      <c r="M438" s="25"/>
      <c r="N438" s="26"/>
    </row>
    <row r="439" spans="9:14" x14ac:dyDescent="0.3">
      <c r="I439" s="46"/>
      <c r="L439" s="24"/>
      <c r="M439" s="25"/>
      <c r="N439" s="26"/>
    </row>
    <row r="440" spans="9:14" x14ac:dyDescent="0.3">
      <c r="I440" s="46"/>
      <c r="L440" s="24"/>
      <c r="M440" s="25"/>
      <c r="N440" s="26"/>
    </row>
    <row r="441" spans="9:14" x14ac:dyDescent="0.3">
      <c r="I441" s="46"/>
      <c r="L441" s="24"/>
      <c r="M441" s="25"/>
      <c r="N441" s="26"/>
    </row>
    <row r="442" spans="9:14" x14ac:dyDescent="0.3">
      <c r="I442" s="46"/>
      <c r="L442" s="24"/>
      <c r="M442" s="25"/>
      <c r="N442" s="26"/>
    </row>
    <row r="443" spans="9:14" x14ac:dyDescent="0.3">
      <c r="I443" s="46"/>
      <c r="L443" s="24"/>
      <c r="M443" s="25"/>
      <c r="N443" s="26"/>
    </row>
    <row r="444" spans="9:14" x14ac:dyDescent="0.3">
      <c r="I444" s="46"/>
      <c r="L444" s="24"/>
      <c r="M444" s="25"/>
      <c r="N444" s="26"/>
    </row>
    <row r="445" spans="9:14" x14ac:dyDescent="0.3">
      <c r="I445" s="46"/>
      <c r="L445" s="24"/>
      <c r="M445" s="25"/>
      <c r="N445" s="26"/>
    </row>
    <row r="446" spans="9:14" x14ac:dyDescent="0.3">
      <c r="I446" s="46"/>
      <c r="L446" s="24"/>
      <c r="M446" s="25"/>
      <c r="N446" s="26"/>
    </row>
    <row r="447" spans="9:14" x14ac:dyDescent="0.3">
      <c r="I447" s="46"/>
      <c r="L447" s="24"/>
      <c r="M447" s="25"/>
      <c r="N447" s="26"/>
    </row>
    <row r="448" spans="9:14" x14ac:dyDescent="0.3">
      <c r="I448" s="46"/>
      <c r="L448" s="24"/>
      <c r="M448" s="25"/>
      <c r="N448" s="26"/>
    </row>
    <row r="449" spans="9:14" x14ac:dyDescent="0.3">
      <c r="I449" s="46"/>
      <c r="L449" s="24"/>
      <c r="M449" s="25"/>
      <c r="N449" s="26"/>
    </row>
    <row r="450" spans="9:14" x14ac:dyDescent="0.3">
      <c r="I450" s="46"/>
      <c r="L450" s="24"/>
      <c r="M450" s="25"/>
      <c r="N450" s="26"/>
    </row>
    <row r="451" spans="9:14" x14ac:dyDescent="0.3">
      <c r="I451" s="46"/>
      <c r="L451" s="24"/>
      <c r="M451" s="25"/>
      <c r="N451" s="26"/>
    </row>
    <row r="452" spans="9:14" x14ac:dyDescent="0.3">
      <c r="I452" s="46"/>
      <c r="L452" s="24"/>
      <c r="M452" s="25"/>
      <c r="N452" s="26"/>
    </row>
    <row r="453" spans="9:14" x14ac:dyDescent="0.3">
      <c r="I453" s="46"/>
      <c r="L453" s="24"/>
      <c r="M453" s="25"/>
      <c r="N453" s="26"/>
    </row>
    <row r="454" spans="9:14" x14ac:dyDescent="0.3">
      <c r="I454" s="46"/>
      <c r="L454" s="24"/>
      <c r="M454" s="25"/>
      <c r="N454" s="26"/>
    </row>
    <row r="455" spans="9:14" x14ac:dyDescent="0.3">
      <c r="I455" s="46"/>
      <c r="L455" s="24"/>
      <c r="M455" s="25"/>
      <c r="N455" s="26"/>
    </row>
    <row r="456" spans="9:14" x14ac:dyDescent="0.3">
      <c r="I456" s="46"/>
      <c r="L456" s="24"/>
      <c r="M456" s="25"/>
      <c r="N456" s="26"/>
    </row>
    <row r="457" spans="9:14" x14ac:dyDescent="0.3">
      <c r="I457" s="46"/>
      <c r="L457" s="24"/>
      <c r="M457" s="25"/>
      <c r="N457" s="26"/>
    </row>
    <row r="458" spans="9:14" x14ac:dyDescent="0.3">
      <c r="I458" s="46"/>
      <c r="L458" s="24"/>
      <c r="M458" s="25"/>
      <c r="N458" s="26"/>
    </row>
    <row r="459" spans="9:14" x14ac:dyDescent="0.3">
      <c r="I459" s="46"/>
      <c r="L459" s="24"/>
      <c r="M459" s="25"/>
      <c r="N459" s="26"/>
    </row>
    <row r="460" spans="9:14" x14ac:dyDescent="0.3">
      <c r="I460" s="46"/>
      <c r="L460" s="24"/>
      <c r="M460" s="25"/>
      <c r="N460" s="26"/>
    </row>
    <row r="461" spans="9:14" x14ac:dyDescent="0.3">
      <c r="I461" s="46"/>
      <c r="L461" s="24"/>
      <c r="M461" s="25"/>
      <c r="N461" s="26"/>
    </row>
    <row r="462" spans="9:14" x14ac:dyDescent="0.3">
      <c r="I462" s="46"/>
      <c r="L462" s="24"/>
      <c r="M462" s="25"/>
      <c r="N462" s="26"/>
    </row>
    <row r="463" spans="9:14" x14ac:dyDescent="0.3">
      <c r="I463" s="46"/>
      <c r="L463" s="24"/>
      <c r="M463" s="25"/>
      <c r="N463" s="26"/>
    </row>
    <row r="464" spans="9:14" x14ac:dyDescent="0.3">
      <c r="I464" s="46"/>
      <c r="L464" s="24"/>
      <c r="M464" s="25"/>
      <c r="N464" s="26"/>
    </row>
    <row r="465" spans="9:14" x14ac:dyDescent="0.3">
      <c r="I465" s="46"/>
      <c r="L465" s="24"/>
      <c r="M465" s="25"/>
      <c r="N465" s="26"/>
    </row>
    <row r="466" spans="9:14" x14ac:dyDescent="0.3">
      <c r="I466" s="46"/>
      <c r="L466" s="24"/>
      <c r="M466" s="25"/>
      <c r="N466" s="26"/>
    </row>
    <row r="467" spans="9:14" x14ac:dyDescent="0.3">
      <c r="I467" s="46"/>
      <c r="L467" s="24"/>
      <c r="M467" s="25"/>
      <c r="N467" s="26"/>
    </row>
    <row r="468" spans="9:14" x14ac:dyDescent="0.3">
      <c r="I468" s="46"/>
      <c r="L468" s="24"/>
      <c r="M468" s="25"/>
      <c r="N468" s="26"/>
    </row>
    <row r="469" spans="9:14" x14ac:dyDescent="0.3">
      <c r="I469" s="46"/>
      <c r="L469" s="24"/>
      <c r="M469" s="25"/>
      <c r="N469" s="26"/>
    </row>
    <row r="470" spans="9:14" x14ac:dyDescent="0.3">
      <c r="I470" s="46"/>
      <c r="L470" s="24"/>
      <c r="M470" s="25"/>
      <c r="N470" s="26"/>
    </row>
    <row r="471" spans="9:14" x14ac:dyDescent="0.3">
      <c r="I471" s="46"/>
      <c r="L471" s="24"/>
      <c r="M471" s="25"/>
      <c r="N471" s="26"/>
    </row>
    <row r="472" spans="9:14" x14ac:dyDescent="0.3">
      <c r="I472" s="46"/>
      <c r="L472" s="24"/>
      <c r="M472" s="25"/>
      <c r="N472" s="26"/>
    </row>
    <row r="473" spans="9:14" x14ac:dyDescent="0.3">
      <c r="I473" s="46"/>
      <c r="L473" s="24"/>
      <c r="M473" s="25"/>
      <c r="N473" s="26"/>
    </row>
    <row r="474" spans="9:14" x14ac:dyDescent="0.3">
      <c r="I474" s="46"/>
      <c r="L474" s="24"/>
      <c r="M474" s="25"/>
      <c r="N474" s="26"/>
    </row>
    <row r="475" spans="9:14" x14ac:dyDescent="0.3">
      <c r="I475" s="46"/>
      <c r="L475" s="24"/>
      <c r="M475" s="25"/>
      <c r="N475" s="26"/>
    </row>
    <row r="476" spans="9:14" x14ac:dyDescent="0.3">
      <c r="I476" s="46"/>
      <c r="L476" s="24"/>
      <c r="M476" s="25"/>
      <c r="N476" s="26"/>
    </row>
    <row r="477" spans="9:14" x14ac:dyDescent="0.3">
      <c r="I477" s="46"/>
      <c r="L477" s="24"/>
      <c r="M477" s="25"/>
      <c r="N477" s="26"/>
    </row>
    <row r="478" spans="9:14" x14ac:dyDescent="0.3">
      <c r="I478" s="46"/>
      <c r="L478" s="24"/>
      <c r="M478" s="25"/>
      <c r="N478" s="26"/>
    </row>
    <row r="479" spans="9:14" x14ac:dyDescent="0.3">
      <c r="I479" s="46"/>
      <c r="L479" s="24"/>
      <c r="M479" s="25"/>
      <c r="N479" s="26"/>
    </row>
    <row r="480" spans="9:14" x14ac:dyDescent="0.3">
      <c r="I480" s="46"/>
      <c r="L480" s="24"/>
      <c r="M480" s="25"/>
      <c r="N480" s="26"/>
    </row>
    <row r="481" spans="9:14" x14ac:dyDescent="0.3">
      <c r="I481" s="46"/>
      <c r="L481" s="24"/>
      <c r="M481" s="25"/>
      <c r="N481" s="26"/>
    </row>
    <row r="482" spans="9:14" x14ac:dyDescent="0.3">
      <c r="I482" s="46"/>
      <c r="L482" s="24"/>
      <c r="M482" s="25"/>
      <c r="N482" s="26"/>
    </row>
    <row r="483" spans="9:14" x14ac:dyDescent="0.3">
      <c r="I483" s="46"/>
      <c r="L483" s="24"/>
      <c r="M483" s="25"/>
      <c r="N483" s="26"/>
    </row>
    <row r="484" spans="9:14" x14ac:dyDescent="0.3">
      <c r="I484" s="46"/>
      <c r="L484" s="24"/>
      <c r="M484" s="25"/>
      <c r="N484" s="26"/>
    </row>
    <row r="485" spans="9:14" x14ac:dyDescent="0.3">
      <c r="I485" s="46"/>
      <c r="L485" s="24"/>
      <c r="M485" s="25"/>
      <c r="N485" s="26"/>
    </row>
    <row r="486" spans="9:14" x14ac:dyDescent="0.3">
      <c r="I486" s="46"/>
      <c r="L486" s="24"/>
      <c r="M486" s="25"/>
      <c r="N486" s="26"/>
    </row>
    <row r="487" spans="9:14" x14ac:dyDescent="0.3">
      <c r="I487" s="46"/>
      <c r="L487" s="24"/>
      <c r="M487" s="25"/>
      <c r="N487" s="26"/>
    </row>
    <row r="488" spans="9:14" x14ac:dyDescent="0.3">
      <c r="I488" s="46"/>
      <c r="L488" s="24"/>
      <c r="M488" s="25"/>
      <c r="N488" s="26"/>
    </row>
    <row r="489" spans="9:14" x14ac:dyDescent="0.3">
      <c r="I489" s="46"/>
      <c r="L489" s="24"/>
      <c r="M489" s="25"/>
      <c r="N489" s="26"/>
    </row>
    <row r="490" spans="9:14" x14ac:dyDescent="0.3">
      <c r="I490" s="46"/>
      <c r="L490" s="24"/>
      <c r="M490" s="25"/>
      <c r="N490" s="26"/>
    </row>
    <row r="491" spans="9:14" x14ac:dyDescent="0.3">
      <c r="I491" s="46"/>
      <c r="L491" s="24"/>
      <c r="M491" s="25"/>
      <c r="N491" s="26"/>
    </row>
    <row r="492" spans="9:14" x14ac:dyDescent="0.3">
      <c r="I492" s="46"/>
      <c r="L492" s="24"/>
      <c r="M492" s="25"/>
      <c r="N492" s="26"/>
    </row>
    <row r="493" spans="9:14" x14ac:dyDescent="0.3">
      <c r="I493" s="46"/>
      <c r="L493" s="24"/>
      <c r="M493" s="25"/>
      <c r="N493" s="26"/>
    </row>
    <row r="494" spans="9:14" x14ac:dyDescent="0.3">
      <c r="I494" s="46"/>
      <c r="L494" s="24"/>
      <c r="M494" s="25"/>
      <c r="N494" s="26"/>
    </row>
    <row r="495" spans="9:14" x14ac:dyDescent="0.3">
      <c r="I495" s="46"/>
      <c r="L495" s="24"/>
      <c r="M495" s="25"/>
      <c r="N495" s="26"/>
    </row>
    <row r="496" spans="9:14" x14ac:dyDescent="0.3">
      <c r="I496" s="46"/>
      <c r="L496" s="24"/>
      <c r="M496" s="25"/>
      <c r="N496" s="26"/>
    </row>
    <row r="497" spans="9:14" x14ac:dyDescent="0.3">
      <c r="I497" s="46"/>
      <c r="L497" s="24"/>
      <c r="M497" s="25"/>
      <c r="N497" s="26"/>
    </row>
    <row r="498" spans="9:14" x14ac:dyDescent="0.3">
      <c r="I498" s="46"/>
      <c r="L498" s="24"/>
      <c r="M498" s="25"/>
      <c r="N498" s="26"/>
    </row>
    <row r="499" spans="9:14" x14ac:dyDescent="0.3">
      <c r="I499" s="46"/>
      <c r="L499" s="24"/>
      <c r="M499" s="25"/>
      <c r="N499" s="26"/>
    </row>
    <row r="500" spans="9:14" x14ac:dyDescent="0.3">
      <c r="I500" s="46"/>
      <c r="L500" s="24"/>
      <c r="M500" s="25"/>
      <c r="N500" s="26"/>
    </row>
    <row r="501" spans="9:14" x14ac:dyDescent="0.3">
      <c r="I501" s="46"/>
      <c r="L501" s="24"/>
      <c r="M501" s="25"/>
      <c r="N501" s="26"/>
    </row>
    <row r="502" spans="9:14" x14ac:dyDescent="0.3">
      <c r="I502" s="46"/>
      <c r="L502" s="24"/>
      <c r="M502" s="25"/>
      <c r="N502" s="26"/>
    </row>
    <row r="503" spans="9:14" x14ac:dyDescent="0.3">
      <c r="I503" s="46"/>
      <c r="L503" s="24"/>
      <c r="M503" s="25"/>
      <c r="N503" s="26"/>
    </row>
    <row r="504" spans="9:14" x14ac:dyDescent="0.3">
      <c r="I504" s="46"/>
      <c r="L504" s="24"/>
      <c r="M504" s="25"/>
      <c r="N504" s="26"/>
    </row>
    <row r="505" spans="9:14" x14ac:dyDescent="0.3">
      <c r="I505" s="46"/>
      <c r="L505" s="24"/>
      <c r="M505" s="25"/>
      <c r="N505" s="26"/>
    </row>
    <row r="506" spans="9:14" x14ac:dyDescent="0.3">
      <c r="I506" s="46"/>
      <c r="L506" s="24"/>
      <c r="M506" s="25"/>
      <c r="N506" s="26"/>
    </row>
    <row r="507" spans="9:14" x14ac:dyDescent="0.3">
      <c r="I507" s="46"/>
      <c r="L507" s="24"/>
      <c r="M507" s="25"/>
      <c r="N507" s="26"/>
    </row>
    <row r="508" spans="9:14" x14ac:dyDescent="0.3">
      <c r="I508" s="46"/>
      <c r="L508" s="24"/>
      <c r="M508" s="25"/>
      <c r="N508" s="26"/>
    </row>
    <row r="509" spans="9:14" x14ac:dyDescent="0.3">
      <c r="I509" s="46"/>
      <c r="L509" s="24"/>
      <c r="M509" s="25"/>
      <c r="N509" s="26"/>
    </row>
    <row r="510" spans="9:14" x14ac:dyDescent="0.3">
      <c r="I510" s="46"/>
      <c r="L510" s="24"/>
      <c r="M510" s="25"/>
      <c r="N510" s="26"/>
    </row>
    <row r="511" spans="9:14" x14ac:dyDescent="0.3">
      <c r="I511" s="46"/>
      <c r="L511" s="24"/>
      <c r="M511" s="25"/>
      <c r="N511" s="26"/>
    </row>
    <row r="512" spans="9:14" x14ac:dyDescent="0.3">
      <c r="I512" s="46"/>
      <c r="L512" s="24"/>
      <c r="M512" s="25"/>
      <c r="N512" s="26"/>
    </row>
    <row r="513" spans="9:14" x14ac:dyDescent="0.3">
      <c r="I513" s="46"/>
      <c r="L513" s="24"/>
      <c r="M513" s="25"/>
      <c r="N513" s="26"/>
    </row>
    <row r="514" spans="9:14" x14ac:dyDescent="0.3">
      <c r="I514" s="46"/>
      <c r="L514" s="24"/>
      <c r="M514" s="25"/>
      <c r="N514" s="26"/>
    </row>
    <row r="515" spans="9:14" x14ac:dyDescent="0.3">
      <c r="I515" s="46"/>
      <c r="L515" s="24"/>
      <c r="M515" s="25"/>
      <c r="N515" s="26"/>
    </row>
    <row r="516" spans="9:14" x14ac:dyDescent="0.3">
      <c r="I516" s="46"/>
      <c r="L516" s="24"/>
      <c r="M516" s="25"/>
      <c r="N516" s="26"/>
    </row>
    <row r="517" spans="9:14" x14ac:dyDescent="0.3">
      <c r="I517" s="46"/>
      <c r="L517" s="24"/>
      <c r="M517" s="25"/>
      <c r="N517" s="26"/>
    </row>
    <row r="518" spans="9:14" x14ac:dyDescent="0.3">
      <c r="I518" s="46"/>
      <c r="L518" s="24"/>
      <c r="M518" s="25"/>
      <c r="N518" s="26"/>
    </row>
    <row r="519" spans="9:14" x14ac:dyDescent="0.3">
      <c r="I519" s="46"/>
      <c r="L519" s="24"/>
      <c r="M519" s="25"/>
      <c r="N519" s="26"/>
    </row>
    <row r="520" spans="9:14" x14ac:dyDescent="0.3">
      <c r="I520" s="46"/>
      <c r="L520" s="24"/>
      <c r="M520" s="25"/>
      <c r="N520" s="26"/>
    </row>
    <row r="521" spans="9:14" x14ac:dyDescent="0.3">
      <c r="I521" s="46"/>
      <c r="L521" s="24"/>
      <c r="M521" s="25"/>
      <c r="N521" s="26"/>
    </row>
    <row r="522" spans="9:14" x14ac:dyDescent="0.3">
      <c r="I522" s="46"/>
      <c r="L522" s="24"/>
      <c r="M522" s="25"/>
      <c r="N522" s="26"/>
    </row>
    <row r="523" spans="9:14" x14ac:dyDescent="0.3">
      <c r="I523" s="46"/>
      <c r="L523" s="24"/>
      <c r="M523" s="25"/>
      <c r="N523" s="26"/>
    </row>
    <row r="524" spans="9:14" x14ac:dyDescent="0.3">
      <c r="I524" s="46"/>
      <c r="L524" s="24"/>
      <c r="M524" s="25"/>
      <c r="N524" s="26"/>
    </row>
    <row r="525" spans="9:14" x14ac:dyDescent="0.3">
      <c r="I525" s="46"/>
      <c r="L525" s="24"/>
      <c r="M525" s="25"/>
      <c r="N525" s="26"/>
    </row>
    <row r="526" spans="9:14" x14ac:dyDescent="0.3">
      <c r="I526" s="46"/>
      <c r="L526" s="24"/>
      <c r="M526" s="25"/>
      <c r="N526" s="26"/>
    </row>
    <row r="527" spans="9:14" x14ac:dyDescent="0.3">
      <c r="I527" s="46"/>
      <c r="L527" s="24"/>
      <c r="M527" s="25"/>
      <c r="N527" s="26"/>
    </row>
    <row r="528" spans="9:14" x14ac:dyDescent="0.3">
      <c r="I528" s="46"/>
      <c r="L528" s="24"/>
      <c r="M528" s="25"/>
      <c r="N528" s="26"/>
    </row>
    <row r="529" spans="9:14" x14ac:dyDescent="0.3">
      <c r="I529" s="46"/>
      <c r="L529" s="24"/>
      <c r="M529" s="25"/>
      <c r="N529" s="26"/>
    </row>
    <row r="530" spans="9:14" x14ac:dyDescent="0.3">
      <c r="I530" s="46"/>
      <c r="L530" s="24"/>
      <c r="M530" s="25"/>
      <c r="N530" s="26"/>
    </row>
    <row r="531" spans="9:14" x14ac:dyDescent="0.3">
      <c r="I531" s="46"/>
      <c r="L531" s="24"/>
      <c r="M531" s="25"/>
      <c r="N531" s="26"/>
    </row>
    <row r="532" spans="9:14" x14ac:dyDescent="0.3">
      <c r="I532" s="46"/>
      <c r="L532" s="24"/>
      <c r="M532" s="25"/>
      <c r="N532" s="26"/>
    </row>
    <row r="533" spans="9:14" x14ac:dyDescent="0.3">
      <c r="I533" s="46"/>
      <c r="L533" s="24"/>
      <c r="M533" s="25"/>
      <c r="N533" s="26"/>
    </row>
    <row r="534" spans="9:14" x14ac:dyDescent="0.3">
      <c r="I534" s="46"/>
      <c r="L534" s="24"/>
      <c r="M534" s="25"/>
      <c r="N534" s="26"/>
    </row>
    <row r="535" spans="9:14" x14ac:dyDescent="0.3">
      <c r="I535" s="46"/>
      <c r="L535" s="24"/>
      <c r="M535" s="25"/>
      <c r="N535" s="26"/>
    </row>
    <row r="536" spans="9:14" x14ac:dyDescent="0.3">
      <c r="I536" s="46"/>
      <c r="L536" s="24"/>
      <c r="M536" s="25"/>
      <c r="N536" s="26"/>
    </row>
    <row r="537" spans="9:14" x14ac:dyDescent="0.3">
      <c r="I537" s="46"/>
      <c r="L537" s="24"/>
      <c r="M537" s="25"/>
      <c r="N537" s="26"/>
    </row>
    <row r="538" spans="9:14" x14ac:dyDescent="0.3">
      <c r="I538" s="46"/>
      <c r="L538" s="24"/>
      <c r="M538" s="25"/>
      <c r="N538" s="26"/>
    </row>
    <row r="539" spans="9:14" x14ac:dyDescent="0.3">
      <c r="I539" s="46"/>
      <c r="L539" s="24"/>
      <c r="M539" s="25"/>
      <c r="N539" s="26"/>
    </row>
    <row r="540" spans="9:14" x14ac:dyDescent="0.3">
      <c r="I540" s="46"/>
      <c r="L540" s="24"/>
      <c r="M540" s="25"/>
      <c r="N540" s="26"/>
    </row>
    <row r="541" spans="9:14" x14ac:dyDescent="0.3">
      <c r="I541" s="46"/>
      <c r="L541" s="24"/>
      <c r="M541" s="25"/>
      <c r="N541" s="26"/>
    </row>
    <row r="542" spans="9:14" x14ac:dyDescent="0.3">
      <c r="I542" s="46"/>
      <c r="L542" s="24"/>
      <c r="M542" s="25"/>
      <c r="N542" s="26"/>
    </row>
    <row r="543" spans="9:14" x14ac:dyDescent="0.3">
      <c r="I543" s="46"/>
      <c r="L543" s="24"/>
      <c r="M543" s="25"/>
      <c r="N543" s="26"/>
    </row>
    <row r="544" spans="9:14" x14ac:dyDescent="0.3">
      <c r="I544" s="46"/>
      <c r="L544" s="24"/>
      <c r="M544" s="25"/>
      <c r="N544" s="26"/>
    </row>
    <row r="545" spans="9:14" x14ac:dyDescent="0.3">
      <c r="I545" s="46"/>
      <c r="L545" s="24"/>
      <c r="M545" s="25"/>
      <c r="N545" s="26"/>
    </row>
    <row r="546" spans="9:14" x14ac:dyDescent="0.3">
      <c r="I546" s="46"/>
      <c r="L546" s="24"/>
      <c r="M546" s="25"/>
      <c r="N546" s="26"/>
    </row>
    <row r="547" spans="9:14" x14ac:dyDescent="0.3">
      <c r="I547" s="46"/>
      <c r="L547" s="24"/>
      <c r="M547" s="25"/>
      <c r="N547" s="26"/>
    </row>
    <row r="548" spans="9:14" x14ac:dyDescent="0.3">
      <c r="I548" s="46"/>
      <c r="L548" s="24"/>
      <c r="M548" s="25"/>
      <c r="N548" s="26"/>
    </row>
    <row r="549" spans="9:14" x14ac:dyDescent="0.3">
      <c r="I549" s="46"/>
      <c r="L549" s="24"/>
      <c r="M549" s="25"/>
      <c r="N549" s="26"/>
    </row>
    <row r="550" spans="9:14" x14ac:dyDescent="0.3">
      <c r="I550" s="46"/>
      <c r="L550" s="24"/>
      <c r="M550" s="25"/>
      <c r="N550" s="26"/>
    </row>
    <row r="551" spans="9:14" x14ac:dyDescent="0.3">
      <c r="I551" s="46"/>
      <c r="L551" s="24"/>
      <c r="M551" s="25"/>
      <c r="N551" s="26"/>
    </row>
    <row r="552" spans="9:14" x14ac:dyDescent="0.3">
      <c r="I552" s="46"/>
      <c r="L552" s="24"/>
      <c r="M552" s="25"/>
      <c r="N552" s="26"/>
    </row>
    <row r="553" spans="9:14" x14ac:dyDescent="0.3">
      <c r="I553" s="46"/>
      <c r="L553" s="24"/>
      <c r="M553" s="25"/>
      <c r="N553" s="26"/>
    </row>
    <row r="554" spans="9:14" x14ac:dyDescent="0.3">
      <c r="I554" s="46"/>
      <c r="L554" s="24"/>
      <c r="M554" s="25"/>
      <c r="N554" s="26"/>
    </row>
    <row r="555" spans="9:14" x14ac:dyDescent="0.3">
      <c r="I555" s="46"/>
      <c r="L555" s="24"/>
      <c r="M555" s="25"/>
      <c r="N555" s="26"/>
    </row>
    <row r="556" spans="9:14" x14ac:dyDescent="0.3">
      <c r="I556" s="46"/>
      <c r="L556" s="24"/>
      <c r="M556" s="25"/>
      <c r="N556" s="26"/>
    </row>
    <row r="557" spans="9:14" x14ac:dyDescent="0.3">
      <c r="I557" s="46"/>
      <c r="L557" s="24"/>
      <c r="M557" s="25"/>
      <c r="N557" s="26"/>
    </row>
    <row r="558" spans="9:14" x14ac:dyDescent="0.3">
      <c r="I558" s="46"/>
      <c r="L558" s="24"/>
      <c r="M558" s="25"/>
      <c r="N558" s="26"/>
    </row>
    <row r="559" spans="9:14" x14ac:dyDescent="0.3">
      <c r="I559" s="46"/>
      <c r="L559" s="24"/>
      <c r="M559" s="25"/>
      <c r="N559" s="26"/>
    </row>
    <row r="560" spans="9:14" x14ac:dyDescent="0.3">
      <c r="I560" s="46"/>
      <c r="L560" s="24"/>
      <c r="M560" s="25"/>
      <c r="N560" s="26"/>
    </row>
    <row r="561" spans="9:14" x14ac:dyDescent="0.3">
      <c r="I561" s="46"/>
      <c r="L561" s="24"/>
      <c r="M561" s="25"/>
      <c r="N561" s="26"/>
    </row>
    <row r="562" spans="9:14" x14ac:dyDescent="0.3">
      <c r="I562" s="46"/>
      <c r="L562" s="24"/>
      <c r="M562" s="25"/>
      <c r="N562" s="26"/>
    </row>
    <row r="563" spans="9:14" x14ac:dyDescent="0.3">
      <c r="I563" s="46"/>
      <c r="L563" s="24"/>
      <c r="M563" s="25"/>
      <c r="N563" s="26"/>
    </row>
    <row r="564" spans="9:14" x14ac:dyDescent="0.3">
      <c r="I564" s="46"/>
      <c r="L564" s="24"/>
      <c r="M564" s="25"/>
      <c r="N564" s="26"/>
    </row>
    <row r="565" spans="9:14" x14ac:dyDescent="0.3">
      <c r="I565" s="46"/>
      <c r="L565" s="24"/>
      <c r="M565" s="25"/>
      <c r="N565" s="26"/>
    </row>
    <row r="566" spans="9:14" x14ac:dyDescent="0.3">
      <c r="I566" s="46"/>
      <c r="L566" s="24"/>
      <c r="M566" s="25"/>
      <c r="N566" s="26"/>
    </row>
    <row r="567" spans="9:14" x14ac:dyDescent="0.3">
      <c r="I567" s="46"/>
      <c r="L567" s="24"/>
      <c r="M567" s="25"/>
      <c r="N567" s="26"/>
    </row>
    <row r="568" spans="9:14" x14ac:dyDescent="0.3">
      <c r="I568" s="46"/>
      <c r="L568" s="24"/>
      <c r="M568" s="25"/>
      <c r="N568" s="26"/>
    </row>
    <row r="569" spans="9:14" x14ac:dyDescent="0.3">
      <c r="I569" s="46"/>
      <c r="L569" s="24"/>
      <c r="M569" s="25"/>
      <c r="N569" s="26"/>
    </row>
    <row r="570" spans="9:14" x14ac:dyDescent="0.3">
      <c r="I570" s="46"/>
      <c r="L570" s="24"/>
      <c r="M570" s="25"/>
      <c r="N570" s="26"/>
    </row>
    <row r="571" spans="9:14" x14ac:dyDescent="0.3">
      <c r="I571" s="46"/>
      <c r="L571" s="24"/>
      <c r="M571" s="25"/>
      <c r="N571" s="26"/>
    </row>
    <row r="572" spans="9:14" x14ac:dyDescent="0.3">
      <c r="I572" s="46"/>
      <c r="L572" s="24"/>
      <c r="M572" s="25"/>
      <c r="N572" s="26"/>
    </row>
    <row r="573" spans="9:14" x14ac:dyDescent="0.3">
      <c r="I573" s="46"/>
      <c r="L573" s="24"/>
      <c r="M573" s="25"/>
      <c r="N573" s="26"/>
    </row>
    <row r="574" spans="9:14" x14ac:dyDescent="0.3">
      <c r="I574" s="46"/>
      <c r="L574" s="24"/>
      <c r="M574" s="25"/>
      <c r="N574" s="26"/>
    </row>
    <row r="575" spans="9:14" x14ac:dyDescent="0.3">
      <c r="I575" s="46"/>
      <c r="L575" s="24"/>
      <c r="M575" s="25"/>
      <c r="N575" s="26"/>
    </row>
    <row r="576" spans="9:14" x14ac:dyDescent="0.3">
      <c r="I576" s="46"/>
      <c r="L576" s="24"/>
      <c r="M576" s="25"/>
      <c r="N576" s="26"/>
    </row>
    <row r="577" spans="9:14" x14ac:dyDescent="0.3">
      <c r="I577" s="46"/>
      <c r="L577" s="24"/>
      <c r="M577" s="25"/>
      <c r="N577" s="26"/>
    </row>
    <row r="578" spans="9:14" x14ac:dyDescent="0.3">
      <c r="I578" s="46"/>
      <c r="L578" s="24"/>
      <c r="M578" s="25"/>
      <c r="N578" s="26"/>
    </row>
    <row r="579" spans="9:14" x14ac:dyDescent="0.3">
      <c r="I579" s="46"/>
      <c r="L579" s="24"/>
      <c r="M579" s="25"/>
      <c r="N579" s="26"/>
    </row>
    <row r="580" spans="9:14" x14ac:dyDescent="0.3">
      <c r="I580" s="46"/>
      <c r="L580" s="24"/>
      <c r="M580" s="25"/>
      <c r="N580" s="26"/>
    </row>
    <row r="581" spans="9:14" x14ac:dyDescent="0.3">
      <c r="I581" s="46"/>
      <c r="L581" s="24"/>
      <c r="M581" s="25"/>
      <c r="N581" s="26"/>
    </row>
    <row r="582" spans="9:14" x14ac:dyDescent="0.3">
      <c r="I582" s="46"/>
      <c r="L582" s="24"/>
      <c r="M582" s="25"/>
      <c r="N582" s="26"/>
    </row>
    <row r="583" spans="9:14" x14ac:dyDescent="0.3">
      <c r="I583" s="46"/>
      <c r="L583" s="24"/>
      <c r="M583" s="25"/>
      <c r="N583" s="26"/>
    </row>
    <row r="584" spans="9:14" x14ac:dyDescent="0.3">
      <c r="I584" s="46"/>
      <c r="L584" s="24"/>
      <c r="M584" s="25"/>
      <c r="N584" s="26"/>
    </row>
    <row r="585" spans="9:14" x14ac:dyDescent="0.3">
      <c r="I585" s="46"/>
      <c r="L585" s="24"/>
      <c r="M585" s="25"/>
      <c r="N585" s="26"/>
    </row>
    <row r="586" spans="9:14" x14ac:dyDescent="0.3">
      <c r="I586" s="46"/>
      <c r="L586" s="24"/>
      <c r="M586" s="25"/>
      <c r="N586" s="26"/>
    </row>
    <row r="587" spans="9:14" x14ac:dyDescent="0.3">
      <c r="I587" s="46"/>
      <c r="L587" s="24"/>
      <c r="M587" s="25"/>
      <c r="N587" s="26"/>
    </row>
    <row r="588" spans="9:14" x14ac:dyDescent="0.3">
      <c r="I588" s="46"/>
      <c r="L588" s="24"/>
      <c r="M588" s="25"/>
      <c r="N588" s="26"/>
    </row>
    <row r="589" spans="9:14" x14ac:dyDescent="0.3">
      <c r="I589" s="46"/>
      <c r="L589" s="24"/>
      <c r="M589" s="25"/>
      <c r="N589" s="26"/>
    </row>
    <row r="590" spans="9:14" x14ac:dyDescent="0.3">
      <c r="I590" s="46"/>
      <c r="L590" s="24"/>
      <c r="M590" s="25"/>
      <c r="N590" s="26"/>
    </row>
    <row r="591" spans="9:14" x14ac:dyDescent="0.3">
      <c r="I591" s="46"/>
      <c r="L591" s="24"/>
      <c r="M591" s="25"/>
      <c r="N591" s="26"/>
    </row>
    <row r="592" spans="9:14" x14ac:dyDescent="0.3">
      <c r="I592" s="46"/>
      <c r="L592" s="24"/>
      <c r="M592" s="25"/>
      <c r="N592" s="26"/>
    </row>
    <row r="593" spans="9:14" x14ac:dyDescent="0.3">
      <c r="I593" s="46"/>
      <c r="L593" s="24"/>
      <c r="M593" s="25"/>
      <c r="N593" s="26"/>
    </row>
    <row r="594" spans="9:14" x14ac:dyDescent="0.3">
      <c r="I594" s="46"/>
      <c r="L594" s="24"/>
      <c r="M594" s="25"/>
      <c r="N594" s="26"/>
    </row>
    <row r="595" spans="9:14" x14ac:dyDescent="0.3">
      <c r="I595" s="46"/>
      <c r="L595" s="24"/>
      <c r="M595" s="25"/>
      <c r="N595" s="26"/>
    </row>
    <row r="596" spans="9:14" x14ac:dyDescent="0.3">
      <c r="I596" s="46"/>
      <c r="L596" s="24"/>
      <c r="M596" s="25"/>
      <c r="N596" s="26"/>
    </row>
    <row r="597" spans="9:14" x14ac:dyDescent="0.3">
      <c r="I597" s="46"/>
      <c r="L597" s="24"/>
      <c r="M597" s="25"/>
      <c r="N597" s="26"/>
    </row>
    <row r="598" spans="9:14" x14ac:dyDescent="0.3">
      <c r="I598" s="46"/>
      <c r="L598" s="24"/>
      <c r="M598" s="25"/>
      <c r="N598" s="26"/>
    </row>
    <row r="599" spans="9:14" x14ac:dyDescent="0.3">
      <c r="I599" s="46"/>
      <c r="L599" s="24"/>
      <c r="M599" s="25"/>
      <c r="N599" s="26"/>
    </row>
    <row r="600" spans="9:14" x14ac:dyDescent="0.3">
      <c r="I600" s="46"/>
      <c r="L600" s="24"/>
      <c r="M600" s="25"/>
      <c r="N600" s="26"/>
    </row>
    <row r="601" spans="9:14" x14ac:dyDescent="0.3">
      <c r="I601" s="46"/>
      <c r="L601" s="24"/>
      <c r="M601" s="25"/>
      <c r="N601" s="26"/>
    </row>
    <row r="602" spans="9:14" x14ac:dyDescent="0.3">
      <c r="I602" s="46"/>
      <c r="L602" s="24"/>
      <c r="M602" s="25"/>
      <c r="N602" s="26"/>
    </row>
    <row r="603" spans="9:14" x14ac:dyDescent="0.3">
      <c r="I603" s="46"/>
      <c r="L603" s="24"/>
      <c r="M603" s="25"/>
      <c r="N603" s="26"/>
    </row>
    <row r="604" spans="9:14" x14ac:dyDescent="0.3">
      <c r="I604" s="46"/>
      <c r="L604" s="24"/>
      <c r="M604" s="25"/>
      <c r="N604" s="26"/>
    </row>
    <row r="605" spans="9:14" x14ac:dyDescent="0.3">
      <c r="I605" s="46"/>
      <c r="L605" s="24"/>
      <c r="M605" s="25"/>
      <c r="N605" s="26"/>
    </row>
    <row r="606" spans="9:14" x14ac:dyDescent="0.3">
      <c r="I606" s="46"/>
      <c r="L606" s="24"/>
      <c r="M606" s="25"/>
      <c r="N606" s="26"/>
    </row>
    <row r="607" spans="9:14" x14ac:dyDescent="0.3">
      <c r="I607" s="46"/>
      <c r="L607" s="24"/>
      <c r="M607" s="25"/>
      <c r="N607" s="26"/>
    </row>
    <row r="608" spans="9:14" x14ac:dyDescent="0.3">
      <c r="I608" s="46"/>
      <c r="L608" s="24"/>
      <c r="M608" s="25"/>
      <c r="N608" s="26"/>
    </row>
    <row r="609" spans="9:9" x14ac:dyDescent="0.3">
      <c r="I609" s="46"/>
    </row>
  </sheetData>
  <mergeCells count="4">
    <mergeCell ref="A1:V1"/>
    <mergeCell ref="A2:G2"/>
    <mergeCell ref="I2:K2"/>
    <mergeCell ref="P2:U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 workbook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2026-04-08T06:32:04Z</dcterms:created>
  <dcterms:modified xsi:type="dcterms:W3CDTF">2026-04-08T06:32:34Z</dcterms:modified>
</cp:coreProperties>
</file>