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busi\OneDrive\Desktop\Groundwater-Analysis-System\Examples\"/>
    </mc:Choice>
  </mc:AlternateContent>
  <xr:revisionPtr revIDLastSave="0" documentId="8_{ADA88746-1A9D-4868-8C5D-70BD33E419B5}" xr6:coauthVersionLast="47" xr6:coauthVersionMax="47" xr10:uidLastSave="{00000000-0000-0000-0000-000000000000}"/>
  <bookViews>
    <workbookView xWindow="-108" yWindow="-108" windowWidth="23256" windowHeight="12456" xr2:uid="{4544305F-340F-428F-8D25-B644055DCFD3}"/>
  </bookViews>
  <sheets>
    <sheet name="Upper Komati (Main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L2" i="1" s="1"/>
  <c r="H34" i="1"/>
  <c r="I34" i="1" s="1"/>
  <c r="H32" i="1"/>
  <c r="I32" i="1" s="1"/>
  <c r="H30" i="1"/>
  <c r="I30" i="1" s="1"/>
  <c r="H28" i="1"/>
  <c r="I28" i="1" s="1"/>
  <c r="H26" i="1"/>
  <c r="I26" i="1" s="1"/>
  <c r="H24" i="1"/>
  <c r="I24" i="1" s="1"/>
  <c r="H22" i="1"/>
  <c r="I22" i="1" s="1"/>
  <c r="H21" i="1"/>
  <c r="I21" i="1" s="1"/>
  <c r="H20" i="1"/>
  <c r="I20" i="1" s="1"/>
  <c r="G20" i="1"/>
  <c r="G18" i="1"/>
  <c r="H18" i="1" s="1"/>
  <c r="I18" i="1" s="1"/>
  <c r="H17" i="1"/>
  <c r="I17" i="1" s="1"/>
  <c r="H16" i="1"/>
  <c r="I16" i="1" s="1"/>
  <c r="H15" i="1"/>
  <c r="I15" i="1" s="1"/>
  <c r="H13" i="1"/>
  <c r="I13" i="1" s="1"/>
  <c r="H12" i="1"/>
  <c r="I12" i="1" s="1"/>
  <c r="H11" i="1"/>
  <c r="I11" i="1" s="1"/>
  <c r="H9" i="1"/>
  <c r="I9" i="1" s="1"/>
  <c r="H8" i="1"/>
  <c r="I8" i="1" s="1"/>
  <c r="C8" i="1"/>
  <c r="D8" i="1" s="1"/>
  <c r="H7" i="1"/>
  <c r="I7" i="1" s="1"/>
  <c r="G7" i="1"/>
  <c r="N2" i="1"/>
  <c r="I2" i="1"/>
  <c r="G2" i="1"/>
  <c r="H43" i="1" s="1"/>
  <c r="I43" i="1" s="1"/>
  <c r="D2" i="1"/>
  <c r="B2" i="1"/>
  <c r="C33" i="1" s="1"/>
  <c r="D33" i="1" s="1"/>
  <c r="M31" i="1" l="1"/>
  <c r="N31" i="1" s="1"/>
  <c r="M27" i="1"/>
  <c r="N27" i="1" s="1"/>
  <c r="M23" i="1"/>
  <c r="N23" i="1" s="1"/>
  <c r="M44" i="1"/>
  <c r="N44" i="1" s="1"/>
  <c r="M40" i="1"/>
  <c r="N40" i="1" s="1"/>
  <c r="M36" i="1"/>
  <c r="N36" i="1" s="1"/>
  <c r="M19" i="1"/>
  <c r="N19" i="1" s="1"/>
  <c r="M6" i="1"/>
  <c r="N6" i="1" s="1"/>
  <c r="M33" i="1"/>
  <c r="N33" i="1" s="1"/>
  <c r="M29" i="1"/>
  <c r="N29" i="1" s="1"/>
  <c r="M14" i="1"/>
  <c r="N14" i="1" s="1"/>
  <c r="M32" i="1"/>
  <c r="N32" i="1" s="1"/>
  <c r="M28" i="1"/>
  <c r="N28" i="1" s="1"/>
  <c r="M24" i="1"/>
  <c r="N24" i="1" s="1"/>
  <c r="M20" i="1"/>
  <c r="N20" i="1" s="1"/>
  <c r="M15" i="1"/>
  <c r="N15" i="1" s="1"/>
  <c r="M11" i="1"/>
  <c r="N11" i="1" s="1"/>
  <c r="M7" i="1"/>
  <c r="N7" i="1" s="1"/>
  <c r="M41" i="1"/>
  <c r="N41" i="1" s="1"/>
  <c r="M37" i="1"/>
  <c r="N37" i="1" s="1"/>
  <c r="M25" i="1"/>
  <c r="N25" i="1" s="1"/>
  <c r="M21" i="1"/>
  <c r="N21" i="1" s="1"/>
  <c r="M16" i="1"/>
  <c r="N16" i="1" s="1"/>
  <c r="M12" i="1"/>
  <c r="N12" i="1" s="1"/>
  <c r="M8" i="1"/>
  <c r="N8" i="1" s="1"/>
  <c r="M42" i="1"/>
  <c r="N42" i="1" s="1"/>
  <c r="M38" i="1"/>
  <c r="N38" i="1" s="1"/>
  <c r="M4" i="1"/>
  <c r="N4" i="1" s="1"/>
  <c r="M10" i="1"/>
  <c r="N10" i="1" s="1"/>
  <c r="M30" i="1"/>
  <c r="N30" i="1" s="1"/>
  <c r="M26" i="1"/>
  <c r="N26" i="1" s="1"/>
  <c r="M22" i="1"/>
  <c r="N22" i="1" s="1"/>
  <c r="M17" i="1"/>
  <c r="N17" i="1" s="1"/>
  <c r="M13" i="1"/>
  <c r="N13" i="1" s="1"/>
  <c r="M9" i="1"/>
  <c r="N9" i="1" s="1"/>
  <c r="M43" i="1"/>
  <c r="N43" i="1" s="1"/>
  <c r="M39" i="1"/>
  <c r="N39" i="1" s="1"/>
  <c r="M35" i="1"/>
  <c r="N35" i="1" s="1"/>
  <c r="M18" i="1"/>
  <c r="N18" i="1" s="1"/>
  <c r="M5" i="1"/>
  <c r="N5" i="1" s="1"/>
  <c r="H4" i="1"/>
  <c r="I4" i="1" s="1"/>
  <c r="C7" i="1"/>
  <c r="D7" i="1" s="1"/>
  <c r="C20" i="1"/>
  <c r="D20" i="1" s="1"/>
  <c r="C37" i="1"/>
  <c r="D37" i="1" s="1"/>
  <c r="H38" i="1"/>
  <c r="I38" i="1" s="1"/>
  <c r="C41" i="1"/>
  <c r="D41" i="1" s="1"/>
  <c r="H42" i="1"/>
  <c r="I42" i="1" s="1"/>
  <c r="C11" i="1"/>
  <c r="D11" i="1" s="1"/>
  <c r="C24" i="1"/>
  <c r="D24" i="1" s="1"/>
  <c r="H25" i="1"/>
  <c r="I25" i="1" s="1"/>
  <c r="C28" i="1"/>
  <c r="D28" i="1" s="1"/>
  <c r="H29" i="1"/>
  <c r="I29" i="1" s="1"/>
  <c r="C32" i="1"/>
  <c r="D32" i="1" s="1"/>
  <c r="H33" i="1"/>
  <c r="I33" i="1" s="1"/>
  <c r="C15" i="1"/>
  <c r="D15" i="1" s="1"/>
  <c r="C6" i="1"/>
  <c r="D6" i="1" s="1"/>
  <c r="C19" i="1"/>
  <c r="D19" i="1" s="1"/>
  <c r="M34" i="1"/>
  <c r="N34" i="1" s="1"/>
  <c r="C36" i="1"/>
  <c r="D36" i="1" s="1"/>
  <c r="H37" i="1"/>
  <c r="I37" i="1" s="1"/>
  <c r="C40" i="1"/>
  <c r="D40" i="1" s="1"/>
  <c r="H41" i="1"/>
  <c r="I41" i="1" s="1"/>
  <c r="C44" i="1"/>
  <c r="D44" i="1" s="1"/>
  <c r="C18" i="1"/>
  <c r="D18" i="1" s="1"/>
  <c r="C27" i="1"/>
  <c r="D27" i="1" s="1"/>
  <c r="C31" i="1"/>
  <c r="D31" i="1" s="1"/>
  <c r="C5" i="1"/>
  <c r="D5" i="1" s="1"/>
  <c r="H6" i="1"/>
  <c r="I6" i="1" s="1"/>
  <c r="H19" i="1"/>
  <c r="I19" i="1" s="1"/>
  <c r="C35" i="1"/>
  <c r="D35" i="1" s="1"/>
  <c r="H36" i="1"/>
  <c r="I36" i="1" s="1"/>
  <c r="C39" i="1"/>
  <c r="D39" i="1" s="1"/>
  <c r="H40" i="1"/>
  <c r="I40" i="1" s="1"/>
  <c r="C43" i="1"/>
  <c r="D43" i="1" s="1"/>
  <c r="H44" i="1"/>
  <c r="I44" i="1" s="1"/>
  <c r="C12" i="1"/>
  <c r="D12" i="1" s="1"/>
  <c r="C9" i="1"/>
  <c r="D9" i="1" s="1"/>
  <c r="C13" i="1"/>
  <c r="D13" i="1" s="1"/>
  <c r="H14" i="1"/>
  <c r="I14" i="1" s="1"/>
  <c r="C17" i="1"/>
  <c r="D17" i="1" s="1"/>
  <c r="C22" i="1"/>
  <c r="D22" i="1" s="1"/>
  <c r="H23" i="1"/>
  <c r="I23" i="1" s="1"/>
  <c r="C26" i="1"/>
  <c r="D26" i="1" s="1"/>
  <c r="H27" i="1"/>
  <c r="I27" i="1" s="1"/>
  <c r="C30" i="1"/>
  <c r="D30" i="1" s="1"/>
  <c r="H31" i="1"/>
  <c r="I31" i="1" s="1"/>
  <c r="C34" i="1"/>
  <c r="D34" i="1" s="1"/>
  <c r="C21" i="1"/>
  <c r="D21" i="1" s="1"/>
  <c r="C10" i="1"/>
  <c r="D10" i="1" s="1"/>
  <c r="C14" i="1"/>
  <c r="D14" i="1" s="1"/>
  <c r="C23" i="1"/>
  <c r="D23" i="1" s="1"/>
  <c r="H10" i="1"/>
  <c r="I10" i="1" s="1"/>
  <c r="C4" i="1"/>
  <c r="D4" i="1" s="1"/>
  <c r="H5" i="1"/>
  <c r="I5" i="1" s="1"/>
  <c r="H35" i="1"/>
  <c r="I35" i="1" s="1"/>
  <c r="C38" i="1"/>
  <c r="D38" i="1" s="1"/>
  <c r="H39" i="1"/>
  <c r="I39" i="1" s="1"/>
  <c r="C42" i="1"/>
  <c r="D42" i="1" s="1"/>
  <c r="C16" i="1"/>
  <c r="D16" i="1" s="1"/>
  <c r="C25" i="1"/>
  <c r="D25" i="1" s="1"/>
  <c r="C29" i="1"/>
  <c r="D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tc={558BBED0-A01A-4082-B9A3-EBDE0D3F9BD4}</author>
  </authors>
  <commentList>
    <comment ref="B40" authorId="0" shapeId="0" xr:uid="{558BBED0-A01A-4082-B9A3-EBDE0D3F9BD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data from 01-11 Oct 2025</t>
      </text>
    </comment>
  </commentList>
</comments>
</file>

<file path=xl/sharedStrings.xml><?xml version="1.0" encoding="utf-8"?>
<sst xmlns="http://schemas.openxmlformats.org/spreadsheetml/2006/main" count="21" uniqueCount="13">
  <si>
    <t>BASEFLOW</t>
  </si>
  <si>
    <t>RECHARGE</t>
  </si>
  <si>
    <t>Groundwater level</t>
  </si>
  <si>
    <t xml:space="preserve">Average </t>
  </si>
  <si>
    <t>St Dev</t>
  </si>
  <si>
    <t>Average Recharge</t>
  </si>
  <si>
    <t>Average Groundwater level</t>
  </si>
  <si>
    <t>Date</t>
  </si>
  <si>
    <t>Baseflow(m3/s)</t>
  </si>
  <si>
    <t>Xi - Xm</t>
  </si>
  <si>
    <t>SDI</t>
  </si>
  <si>
    <t>Recharge (mm)</t>
  </si>
  <si>
    <t>gw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</si>
</sst>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2" fontId="1" fillId="3" borderId="1" xfId="0" applyNumberFormat="1" applyFont="1" applyFill="1" applyBorder="1"/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7" fontId="0" fillId="0" borderId="1" xfId="0" applyNumberFormat="1" applyBorder="1" applyAlignment="1">
      <alignment horizontal="center"/>
    </xf>
    <xf numFmtId="2" fontId="3" fillId="0" borderId="1" xfId="0" applyNumberFormat="1" applyFont="1" applyBorder="1"/>
    <xf numFmtId="2" fontId="0" fillId="0" borderId="1" xfId="0" applyNumberFormat="1" applyBorder="1"/>
    <xf numFmtId="17" fontId="1" fillId="0" borderId="1" xfId="0" applyNumberFormat="1" applyFon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4" fillId="0" borderId="1" xfId="0" applyFont="1" applyBorder="1"/>
    <xf numFmtId="14" fontId="2" fillId="0" borderId="1" xfId="0" applyNumberFormat="1" applyFont="1" applyBorder="1"/>
    <xf numFmtId="0" fontId="1" fillId="0" borderId="1" xfId="0" applyFont="1" applyBorder="1"/>
    <xf numFmtId="2" fontId="3" fillId="0" borderId="1" xfId="0" applyNumberFormat="1" applyFon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Komati-Usuthu%20reporting_Recent%20Template%20stations%20(March%202026).xlsx" TargetMode="External"/><Relationship Id="rId2" Type="http://schemas.openxmlformats.org/officeDocument/2006/relationships/externalLinkPath" Target="file:///C:\Users\sbusi\Downloads\Komati-Usuthu%20reporting_Recent%20Template%20stations%20(March%202026).xlsx" TargetMode="External"/><Relationship Id="rId1" Type="http://schemas.openxmlformats.org/officeDocument/2006/relationships/externalLinkPath" Target="/Users/sbusi/Downloads/Komati-Usuthu%20reporting_Recent%20Template%20stations%20(March%20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segai (Main)"/>
      <sheetName val="Assegai"/>
      <sheetName val="Ngwempisi (Main)"/>
      <sheetName val="Ngwempisi"/>
      <sheetName val="Upper Komati (Main)"/>
      <sheetName val="Upper Komati"/>
      <sheetName val="Lower Komati Monthly (Main)"/>
      <sheetName val="Lower Komati"/>
    </sheetNames>
    <sheetDataSet>
      <sheetData sheetId="0"/>
      <sheetData sheetId="1"/>
      <sheetData sheetId="2"/>
      <sheetData sheetId="3"/>
      <sheetData sheetId="4">
        <row r="4">
          <cell r="F4">
            <v>44835</v>
          </cell>
          <cell r="G4">
            <v>2.032</v>
          </cell>
          <cell r="L4">
            <v>923.48499999999979</v>
          </cell>
        </row>
        <row r="5">
          <cell r="F5">
            <v>44866</v>
          </cell>
          <cell r="G5">
            <v>18.033999999999999</v>
          </cell>
          <cell r="L5">
            <v>923.36833333333323</v>
          </cell>
        </row>
        <row r="6">
          <cell r="F6">
            <v>44896</v>
          </cell>
          <cell r="G6">
            <v>40.131999999999998</v>
          </cell>
          <cell r="L6">
            <v>924.70833333333314</v>
          </cell>
        </row>
        <row r="7">
          <cell r="F7">
            <v>44927</v>
          </cell>
          <cell r="G7">
            <v>42.164000000000001</v>
          </cell>
          <cell r="L7">
            <v>926.21</v>
          </cell>
        </row>
        <row r="8">
          <cell r="F8">
            <v>44958</v>
          </cell>
          <cell r="G8">
            <v>44.195999999999998</v>
          </cell>
          <cell r="L8">
            <v>925.69333333333327</v>
          </cell>
        </row>
        <row r="9">
          <cell r="F9">
            <v>44986</v>
          </cell>
          <cell r="G9">
            <v>6.35</v>
          </cell>
          <cell r="L9">
            <v>926.64166666666654</v>
          </cell>
        </row>
        <row r="10">
          <cell r="F10">
            <v>45017</v>
          </cell>
          <cell r="G10">
            <v>2.794</v>
          </cell>
          <cell r="L10">
            <v>925.42</v>
          </cell>
        </row>
        <row r="11">
          <cell r="F11">
            <v>45047</v>
          </cell>
          <cell r="G11">
            <v>5.3339999999999996</v>
          </cell>
          <cell r="L11">
            <v>924.50999999999988</v>
          </cell>
        </row>
        <row r="12">
          <cell r="F12">
            <v>45078</v>
          </cell>
          <cell r="G12">
            <v>4.8259999999999996</v>
          </cell>
          <cell r="L12">
            <v>924.42333333333318</v>
          </cell>
        </row>
        <row r="13">
          <cell r="F13">
            <v>45108</v>
          </cell>
          <cell r="G13">
            <v>3.302</v>
          </cell>
          <cell r="L13">
            <v>923.92833333333328</v>
          </cell>
        </row>
        <row r="14">
          <cell r="F14">
            <v>45139</v>
          </cell>
          <cell r="G14">
            <v>3.556</v>
          </cell>
          <cell r="L14">
            <v>923.69</v>
          </cell>
        </row>
        <row r="15">
          <cell r="F15">
            <v>45170</v>
          </cell>
          <cell r="G15">
            <v>2.286</v>
          </cell>
          <cell r="L15">
            <v>923.61</v>
          </cell>
        </row>
        <row r="16">
          <cell r="F16">
            <v>45200</v>
          </cell>
          <cell r="G16">
            <v>2.286</v>
          </cell>
          <cell r="L16">
            <v>923.55</v>
          </cell>
        </row>
        <row r="17">
          <cell r="F17">
            <v>45231</v>
          </cell>
          <cell r="G17">
            <v>9.1440000000000001</v>
          </cell>
          <cell r="L17">
            <v>923.77</v>
          </cell>
        </row>
        <row r="18">
          <cell r="F18">
            <v>45261</v>
          </cell>
          <cell r="G18">
            <v>9.1440000000000001</v>
          </cell>
          <cell r="L18">
            <v>923.69</v>
          </cell>
        </row>
        <row r="19">
          <cell r="F19">
            <v>45292</v>
          </cell>
          <cell r="G19">
            <v>9.1440000000000001</v>
          </cell>
          <cell r="L19">
            <v>924.59</v>
          </cell>
        </row>
        <row r="20">
          <cell r="F20">
            <v>45323</v>
          </cell>
          <cell r="G20">
            <v>7.4930000000000003</v>
          </cell>
          <cell r="L20">
            <v>924.23</v>
          </cell>
        </row>
        <row r="21">
          <cell r="F21">
            <v>45352</v>
          </cell>
          <cell r="G21">
            <v>5.8419999999999996</v>
          </cell>
          <cell r="L21">
            <v>924.65</v>
          </cell>
        </row>
        <row r="22">
          <cell r="F22">
            <v>45383</v>
          </cell>
          <cell r="G22">
            <v>5.3339999999999996</v>
          </cell>
          <cell r="L22">
            <v>924.31</v>
          </cell>
        </row>
        <row r="23">
          <cell r="F23">
            <v>45413</v>
          </cell>
          <cell r="G23">
            <v>2.794</v>
          </cell>
          <cell r="L23">
            <v>923.7</v>
          </cell>
        </row>
        <row r="24">
          <cell r="F24">
            <v>45444</v>
          </cell>
          <cell r="G24">
            <v>2.286</v>
          </cell>
          <cell r="L24">
            <v>923.51</v>
          </cell>
        </row>
        <row r="25">
          <cell r="F25">
            <v>45474</v>
          </cell>
          <cell r="G25">
            <v>2.286</v>
          </cell>
          <cell r="L25">
            <v>923.40333333333331</v>
          </cell>
        </row>
        <row r="26">
          <cell r="F26">
            <v>45505</v>
          </cell>
          <cell r="G26">
            <v>1.524</v>
          </cell>
          <cell r="L26">
            <v>923.27</v>
          </cell>
        </row>
        <row r="27">
          <cell r="F27">
            <v>45536</v>
          </cell>
          <cell r="G27">
            <v>1.27</v>
          </cell>
          <cell r="L27">
            <v>923.06</v>
          </cell>
        </row>
        <row r="28">
          <cell r="F28">
            <v>45566</v>
          </cell>
          <cell r="G28">
            <v>3.81</v>
          </cell>
          <cell r="L28">
            <v>923.11</v>
          </cell>
        </row>
        <row r="29">
          <cell r="F29">
            <v>45597</v>
          </cell>
          <cell r="G29">
            <v>3.81</v>
          </cell>
          <cell r="L29">
            <v>923.02</v>
          </cell>
        </row>
        <row r="30">
          <cell r="F30">
            <v>45627</v>
          </cell>
          <cell r="G30">
            <v>9.1440000000000001</v>
          </cell>
          <cell r="L30">
            <v>922.9</v>
          </cell>
        </row>
        <row r="31">
          <cell r="F31">
            <v>45658</v>
          </cell>
          <cell r="G31">
            <v>41.91</v>
          </cell>
          <cell r="L31">
            <v>924.52</v>
          </cell>
        </row>
      </sheetData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langelani Marikele" id="{F179904F-036D-47D5-B93D-3136248806FE}" userId="S::marikelet@iucma.co.za::07ca8eb7-6030-4d7f-b16b-36f71c558a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0" dT="2025-11-20T12:10:22.81" personId="{F179904F-036D-47D5-B93D-3136248806FE}" id="{558BBED0-A01A-4082-B9A3-EBDE0D3F9BD4}">
    <text>missing data from 01-11 Oct 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8DDF-4376-430D-AB5C-2998D25B83C3}">
  <dimension ref="A1:N642"/>
  <sheetViews>
    <sheetView tabSelected="1" zoomScale="90" zoomScaleNormal="90" workbookViewId="0">
      <selection activeCell="E18" sqref="E18"/>
    </sheetView>
  </sheetViews>
  <sheetFormatPr defaultRowHeight="14.4" x14ac:dyDescent="0.3"/>
  <cols>
    <col min="1" max="1" width="17.33203125" style="19" bestFit="1" customWidth="1"/>
    <col min="2" max="2" width="15" style="12" bestFit="1" customWidth="1"/>
    <col min="3" max="3" width="12.5546875" style="16" customWidth="1"/>
    <col min="4" max="4" width="14" style="16" customWidth="1"/>
    <col min="5" max="5" width="22" customWidth="1"/>
    <col min="6" max="6" width="20.88671875" style="19" customWidth="1"/>
    <col min="7" max="7" width="19.33203125" style="16" customWidth="1"/>
    <col min="8" max="8" width="16.109375" style="15" customWidth="1"/>
    <col min="9" max="9" width="18.5546875" style="15" customWidth="1"/>
    <col min="11" max="11" width="25.6640625" style="16" bestFit="1" customWidth="1"/>
    <col min="12" max="12" width="19.33203125" style="16" customWidth="1"/>
    <col min="13" max="13" width="16.109375" style="16" customWidth="1"/>
    <col min="14" max="14" width="17.33203125" style="16" customWidth="1"/>
  </cols>
  <sheetData>
    <row r="1" spans="1:14" x14ac:dyDescent="0.3">
      <c r="A1" s="1" t="s">
        <v>0</v>
      </c>
      <c r="B1" s="1"/>
      <c r="C1" s="1"/>
      <c r="D1" s="1"/>
      <c r="F1" s="1" t="s">
        <v>1</v>
      </c>
      <c r="G1" s="1"/>
      <c r="H1" s="1"/>
      <c r="I1" s="1"/>
      <c r="K1" s="1" t="s">
        <v>2</v>
      </c>
      <c r="L1" s="1"/>
      <c r="M1" s="1"/>
      <c r="N1" s="1"/>
    </row>
    <row r="2" spans="1:14" x14ac:dyDescent="0.3">
      <c r="A2" s="2" t="s">
        <v>3</v>
      </c>
      <c r="B2" s="3">
        <f>AVERAGE(B4:B642)</f>
        <v>5.1400095382568427</v>
      </c>
      <c r="C2" s="2" t="s">
        <v>4</v>
      </c>
      <c r="D2" s="2">
        <f>_xlfn.STDEV.S(B4:B642)</f>
        <v>3.0888911894252207</v>
      </c>
      <c r="F2" s="2" t="s">
        <v>5</v>
      </c>
      <c r="G2" s="4">
        <f>AVERAGE(G4:G200)</f>
        <v>10.119731707317076</v>
      </c>
      <c r="H2" s="5" t="s">
        <v>4</v>
      </c>
      <c r="I2" s="5">
        <f>_xlfn.STDEV.S(G4:G200)</f>
        <v>12.439986750443886</v>
      </c>
      <c r="K2" s="2" t="s">
        <v>6</v>
      </c>
      <c r="L2" s="3">
        <f>AVERAGE(L4:L200)</f>
        <v>924.31967479674802</v>
      </c>
      <c r="M2" s="2" t="s">
        <v>4</v>
      </c>
      <c r="N2" s="2">
        <f>_xlfn.STDEV.S(L4:L171)</f>
        <v>1.0697214213881503</v>
      </c>
    </row>
    <row r="3" spans="1:14" x14ac:dyDescent="0.3">
      <c r="A3" s="6" t="s">
        <v>7</v>
      </c>
      <c r="B3" s="7" t="s">
        <v>8</v>
      </c>
      <c r="C3" s="8" t="s">
        <v>9</v>
      </c>
      <c r="D3" s="8" t="s">
        <v>10</v>
      </c>
      <c r="F3" s="8" t="s">
        <v>7</v>
      </c>
      <c r="G3" s="8" t="s">
        <v>11</v>
      </c>
      <c r="H3" s="9" t="s">
        <v>9</v>
      </c>
      <c r="I3" s="9" t="s">
        <v>10</v>
      </c>
      <c r="K3" s="8" t="s">
        <v>7</v>
      </c>
      <c r="L3" s="8" t="s">
        <v>12</v>
      </c>
      <c r="M3" s="8" t="s">
        <v>9</v>
      </c>
      <c r="N3" s="8" t="s">
        <v>10</v>
      </c>
    </row>
    <row r="4" spans="1:14" x14ac:dyDescent="0.3">
      <c r="A4" s="10">
        <v>44835</v>
      </c>
      <c r="B4" s="11">
        <v>3.1686774193548386</v>
      </c>
      <c r="C4" s="12">
        <f>B4-$B$2</f>
        <v>-1.9713321189020041</v>
      </c>
      <c r="D4" s="12">
        <f>C4/$D$2</f>
        <v>-0.63820057036998723</v>
      </c>
      <c r="F4" s="13">
        <v>44835</v>
      </c>
      <c r="G4" s="14">
        <v>2.032</v>
      </c>
      <c r="H4" s="15">
        <f>G4-G$2</f>
        <v>-8.0877317073170758</v>
      </c>
      <c r="I4" s="15">
        <f>H4/I$2</f>
        <v>-0.65013989721721266</v>
      </c>
      <c r="K4" s="13">
        <v>44835</v>
      </c>
      <c r="L4" s="12">
        <v>923.48499999999979</v>
      </c>
      <c r="M4" s="12">
        <f>L4-$L$2</f>
        <v>-0.83467479674823153</v>
      </c>
      <c r="N4" s="14">
        <f>M4/$N$2</f>
        <v>-0.78027305059021368</v>
      </c>
    </row>
    <row r="5" spans="1:14" x14ac:dyDescent="0.3">
      <c r="A5" s="10">
        <v>44866</v>
      </c>
      <c r="B5" s="11">
        <v>3.2846666666666664</v>
      </c>
      <c r="C5" s="12">
        <f>B5-$B$2</f>
        <v>-1.8553428715901763</v>
      </c>
      <c r="D5" s="12">
        <f t="shared" ref="D5:D44" si="0">C5/$D$2</f>
        <v>-0.60065012258829931</v>
      </c>
      <c r="F5" s="13">
        <v>44866</v>
      </c>
      <c r="G5" s="14">
        <v>18.033999999999999</v>
      </c>
      <c r="H5" s="15">
        <f t="shared" ref="H5:H44" si="1">G5-G$2</f>
        <v>7.9142682926829231</v>
      </c>
      <c r="I5" s="15">
        <f t="shared" ref="I5:I44" si="2">H5/I$2</f>
        <v>0.63619587797394761</v>
      </c>
      <c r="K5" s="13">
        <v>44866</v>
      </c>
      <c r="L5" s="12">
        <v>923.36833333333323</v>
      </c>
      <c r="M5" s="12">
        <f t="shared" ref="M5:M44" si="3">L5-$L$2</f>
        <v>-0.95134146341479209</v>
      </c>
      <c r="N5" s="14">
        <f t="shared" ref="N5:N44" si="4">M5/$N$2</f>
        <v>-0.88933571338625761</v>
      </c>
    </row>
    <row r="6" spans="1:14" x14ac:dyDescent="0.3">
      <c r="A6" s="10">
        <v>44896</v>
      </c>
      <c r="B6" s="11">
        <v>5.5487096774193549</v>
      </c>
      <c r="C6" s="12">
        <f t="shared" ref="C6:C44" si="5">B6-$B$2</f>
        <v>0.40870013916251224</v>
      </c>
      <c r="D6" s="12">
        <f t="shared" si="0"/>
        <v>0.13231289614917222</v>
      </c>
      <c r="F6" s="13">
        <v>44896</v>
      </c>
      <c r="G6" s="14">
        <v>40.131999999999998</v>
      </c>
      <c r="H6" s="15">
        <f t="shared" si="1"/>
        <v>30.012268292682922</v>
      </c>
      <c r="I6" s="15">
        <f t="shared" si="2"/>
        <v>2.4125643294284069</v>
      </c>
      <c r="K6" s="13">
        <v>44896</v>
      </c>
      <c r="L6" s="12">
        <v>924.70833333333314</v>
      </c>
      <c r="M6" s="12">
        <f t="shared" si="3"/>
        <v>0.38865853658512606</v>
      </c>
      <c r="N6" s="14">
        <f t="shared" si="4"/>
        <v>0.36332687072936592</v>
      </c>
    </row>
    <row r="7" spans="1:14" x14ac:dyDescent="0.3">
      <c r="A7" s="10">
        <v>44927</v>
      </c>
      <c r="B7" s="11">
        <v>8.8729032258064517</v>
      </c>
      <c r="C7" s="12">
        <f t="shared" si="5"/>
        <v>3.732893687549609</v>
      </c>
      <c r="D7" s="12">
        <f t="shared" si="0"/>
        <v>1.2084898620997473</v>
      </c>
      <c r="F7" s="13">
        <v>44927</v>
      </c>
      <c r="G7" s="14">
        <f>AVERAGE(G6,G8)</f>
        <v>42.164000000000001</v>
      </c>
      <c r="H7" s="15">
        <f t="shared" si="1"/>
        <v>32.044268292682929</v>
      </c>
      <c r="I7" s="15">
        <f t="shared" si="2"/>
        <v>2.5759085548495073</v>
      </c>
      <c r="K7" s="13">
        <v>44927</v>
      </c>
      <c r="L7" s="12">
        <v>926.21</v>
      </c>
      <c r="M7" s="12">
        <f t="shared" si="3"/>
        <v>1.8903252032520186</v>
      </c>
      <c r="N7" s="14">
        <f t="shared" si="4"/>
        <v>1.7671191447199324</v>
      </c>
    </row>
    <row r="8" spans="1:14" x14ac:dyDescent="0.3">
      <c r="A8" s="10">
        <v>44958</v>
      </c>
      <c r="B8" s="11">
        <v>12.055714285714286</v>
      </c>
      <c r="C8" s="12">
        <f t="shared" si="5"/>
        <v>6.9157047474574433</v>
      </c>
      <c r="D8" s="12">
        <f t="shared" si="0"/>
        <v>2.2388955529198533</v>
      </c>
      <c r="F8" s="13">
        <v>44958</v>
      </c>
      <c r="G8" s="14">
        <v>44.195999999999998</v>
      </c>
      <c r="H8" s="15">
        <f t="shared" si="1"/>
        <v>34.076268292682926</v>
      </c>
      <c r="I8" s="15">
        <f t="shared" si="2"/>
        <v>2.7392527802706068</v>
      </c>
      <c r="K8" s="13">
        <v>44958</v>
      </c>
      <c r="L8" s="12">
        <v>925.69333333333327</v>
      </c>
      <c r="M8" s="12">
        <f t="shared" si="3"/>
        <v>1.3736585365852534</v>
      </c>
      <c r="N8" s="14">
        <f t="shared" si="4"/>
        <v>1.2841273523369212</v>
      </c>
    </row>
    <row r="9" spans="1:14" x14ac:dyDescent="0.3">
      <c r="A9" s="10">
        <v>44986</v>
      </c>
      <c r="B9" s="11">
        <v>13.645483870967745</v>
      </c>
      <c r="C9" s="12">
        <f t="shared" si="5"/>
        <v>8.5054743327109019</v>
      </c>
      <c r="D9" s="12">
        <f t="shared" si="0"/>
        <v>2.7535687763393168</v>
      </c>
      <c r="F9" s="13">
        <v>44986</v>
      </c>
      <c r="G9" s="14">
        <v>6.35</v>
      </c>
      <c r="H9" s="15">
        <f t="shared" si="1"/>
        <v>-3.7697317073170762</v>
      </c>
      <c r="I9" s="15">
        <f t="shared" si="2"/>
        <v>-0.30303341819737578</v>
      </c>
      <c r="K9" s="13">
        <v>44986</v>
      </c>
      <c r="L9" s="12">
        <v>926.64166666666654</v>
      </c>
      <c r="M9" s="12">
        <f t="shared" si="3"/>
        <v>2.32199186991852</v>
      </c>
      <c r="N9" s="14">
        <f t="shared" si="4"/>
        <v>2.1706509970655072</v>
      </c>
    </row>
    <row r="10" spans="1:14" x14ac:dyDescent="0.3">
      <c r="A10" s="10">
        <v>45017</v>
      </c>
      <c r="B10" s="11">
        <v>11.042066666666665</v>
      </c>
      <c r="C10" s="12">
        <f t="shared" si="5"/>
        <v>5.9020571284098224</v>
      </c>
      <c r="D10" s="12">
        <f t="shared" si="0"/>
        <v>1.910736496194958</v>
      </c>
      <c r="F10" s="13">
        <v>45017</v>
      </c>
      <c r="G10" s="14">
        <v>2.794</v>
      </c>
      <c r="H10" s="15">
        <f t="shared" si="1"/>
        <v>-7.3257317073170753</v>
      </c>
      <c r="I10" s="15">
        <f t="shared" si="2"/>
        <v>-0.58888581268430029</v>
      </c>
      <c r="K10" s="13">
        <v>45017</v>
      </c>
      <c r="L10" s="12">
        <v>925.42</v>
      </c>
      <c r="M10" s="12">
        <f t="shared" si="3"/>
        <v>1.1003252032519413</v>
      </c>
      <c r="N10" s="14">
        <f t="shared" si="4"/>
        <v>1.0286091137859774</v>
      </c>
    </row>
    <row r="11" spans="1:14" x14ac:dyDescent="0.3">
      <c r="A11" s="10">
        <v>45047</v>
      </c>
      <c r="B11" s="11">
        <v>8.7354838709677427</v>
      </c>
      <c r="C11" s="12">
        <f t="shared" si="5"/>
        <v>3.5954743327109</v>
      </c>
      <c r="D11" s="12">
        <f t="shared" si="0"/>
        <v>1.1640016148901458</v>
      </c>
      <c r="F11" s="13">
        <v>45047</v>
      </c>
      <c r="G11" s="14">
        <v>5.3339999999999996</v>
      </c>
      <c r="H11" s="15">
        <f t="shared" si="1"/>
        <v>-4.7857317073170762</v>
      </c>
      <c r="I11" s="15">
        <f t="shared" si="2"/>
        <v>-0.3847055309079257</v>
      </c>
      <c r="K11" s="13">
        <v>45047</v>
      </c>
      <c r="L11" s="12">
        <v>924.50999999999988</v>
      </c>
      <c r="M11" s="12">
        <f t="shared" si="3"/>
        <v>0.19032520325185942</v>
      </c>
      <c r="N11" s="14">
        <f t="shared" si="4"/>
        <v>0.17792034397598511</v>
      </c>
    </row>
    <row r="12" spans="1:14" x14ac:dyDescent="0.3">
      <c r="A12" s="10">
        <v>45078</v>
      </c>
      <c r="B12" s="11">
        <v>6.6693333333333333</v>
      </c>
      <c r="C12" s="12">
        <f t="shared" si="5"/>
        <v>1.5293237950764906</v>
      </c>
      <c r="D12" s="12">
        <f t="shared" si="0"/>
        <v>0.49510445700130551</v>
      </c>
      <c r="F12" s="13">
        <v>45078</v>
      </c>
      <c r="G12" s="14">
        <v>4.8259999999999996</v>
      </c>
      <c r="H12" s="15">
        <f t="shared" si="1"/>
        <v>-5.2937317073170762</v>
      </c>
      <c r="I12" s="15">
        <f t="shared" si="2"/>
        <v>-0.42554158726320063</v>
      </c>
      <c r="K12" s="13">
        <v>45078</v>
      </c>
      <c r="L12" s="12">
        <v>924.42333333333318</v>
      </c>
      <c r="M12" s="12">
        <f t="shared" si="3"/>
        <v>0.10365853658515789</v>
      </c>
      <c r="N12" s="14">
        <f t="shared" si="4"/>
        <v>9.6902365898817691E-2</v>
      </c>
    </row>
    <row r="13" spans="1:14" x14ac:dyDescent="0.3">
      <c r="A13" s="10">
        <v>45108</v>
      </c>
      <c r="B13" s="11">
        <v>5.2335483870967741</v>
      </c>
      <c r="C13" s="12">
        <f t="shared" si="5"/>
        <v>9.3538848839931354E-2</v>
      </c>
      <c r="D13" s="12">
        <f t="shared" si="0"/>
        <v>3.028233858161155E-2</v>
      </c>
      <c r="F13" s="13">
        <v>45108</v>
      </c>
      <c r="G13" s="14">
        <v>3.302</v>
      </c>
      <c r="H13" s="15">
        <f t="shared" si="1"/>
        <v>-6.8177317073170762</v>
      </c>
      <c r="I13" s="15">
        <f t="shared" si="2"/>
        <v>-0.54804975632902542</v>
      </c>
      <c r="K13" s="13">
        <v>45108</v>
      </c>
      <c r="L13" s="12">
        <v>923.92833333333328</v>
      </c>
      <c r="M13" s="12">
        <f t="shared" si="3"/>
        <v>-0.39134146341473297</v>
      </c>
      <c r="N13" s="14">
        <f t="shared" si="4"/>
        <v>-0.36583493196471573</v>
      </c>
    </row>
    <row r="14" spans="1:14" x14ac:dyDescent="0.3">
      <c r="A14" s="10">
        <v>45139</v>
      </c>
      <c r="B14" s="11">
        <v>4.1180645161290315</v>
      </c>
      <c r="C14" s="12">
        <f t="shared" si="5"/>
        <v>-1.0219450221278112</v>
      </c>
      <c r="D14" s="12">
        <f t="shared" si="0"/>
        <v>-0.33084526435454475</v>
      </c>
      <c r="F14" s="13">
        <v>45139</v>
      </c>
      <c r="G14" s="14">
        <v>3.556</v>
      </c>
      <c r="H14" s="15">
        <f t="shared" si="1"/>
        <v>-6.5637317073170758</v>
      </c>
      <c r="I14" s="15">
        <f t="shared" si="2"/>
        <v>-0.52763172815138792</v>
      </c>
      <c r="K14" s="13">
        <v>45139</v>
      </c>
      <c r="L14" s="12">
        <v>923.69</v>
      </c>
      <c r="M14" s="12">
        <f t="shared" si="3"/>
        <v>-0.62967479674796323</v>
      </c>
      <c r="N14" s="14">
        <f t="shared" si="4"/>
        <v>-0.58863437167674015</v>
      </c>
    </row>
    <row r="15" spans="1:14" x14ac:dyDescent="0.3">
      <c r="A15" s="10">
        <v>45170</v>
      </c>
      <c r="B15" s="11">
        <v>0.9</v>
      </c>
      <c r="C15" s="12">
        <f t="shared" si="5"/>
        <v>-4.2400095382568423</v>
      </c>
      <c r="D15" s="12">
        <f t="shared" si="0"/>
        <v>-1.372663936098643</v>
      </c>
      <c r="F15" s="13">
        <v>45170</v>
      </c>
      <c r="G15" s="14">
        <v>2.286</v>
      </c>
      <c r="H15" s="15">
        <f t="shared" si="1"/>
        <v>-7.8337317073170762</v>
      </c>
      <c r="I15" s="15">
        <f t="shared" si="2"/>
        <v>-0.62972186903957528</v>
      </c>
      <c r="K15" s="13">
        <v>45170</v>
      </c>
      <c r="L15" s="12">
        <v>923.61</v>
      </c>
      <c r="M15" s="12">
        <f t="shared" si="3"/>
        <v>-0.70967479674800416</v>
      </c>
      <c r="N15" s="14">
        <f t="shared" si="4"/>
        <v>-0.66342019759413362</v>
      </c>
    </row>
    <row r="16" spans="1:14" x14ac:dyDescent="0.3">
      <c r="A16" s="10">
        <v>45200</v>
      </c>
      <c r="B16" s="11">
        <v>2.71</v>
      </c>
      <c r="C16" s="12">
        <f t="shared" si="5"/>
        <v>-2.4300095382568427</v>
      </c>
      <c r="D16" s="12">
        <f t="shared" si="0"/>
        <v>-0.7866931494951811</v>
      </c>
      <c r="F16" s="13">
        <v>45200</v>
      </c>
      <c r="G16" s="14">
        <v>2.286</v>
      </c>
      <c r="H16" s="15">
        <f t="shared" si="1"/>
        <v>-7.8337317073170762</v>
      </c>
      <c r="I16" s="15">
        <f t="shared" si="2"/>
        <v>-0.62972186903957528</v>
      </c>
      <c r="K16" s="13">
        <v>45200</v>
      </c>
      <c r="L16" s="16">
        <v>923.55</v>
      </c>
      <c r="M16" s="12">
        <f t="shared" si="3"/>
        <v>-0.76967479674806327</v>
      </c>
      <c r="N16" s="14">
        <f t="shared" si="4"/>
        <v>-0.71950956703220537</v>
      </c>
    </row>
    <row r="17" spans="1:14" x14ac:dyDescent="0.3">
      <c r="A17" s="10">
        <v>45231</v>
      </c>
      <c r="B17" s="11">
        <v>2.89</v>
      </c>
      <c r="C17" s="12">
        <f t="shared" si="5"/>
        <v>-2.2500095382568426</v>
      </c>
      <c r="D17" s="12">
        <f t="shared" si="0"/>
        <v>-0.72841981160091407</v>
      </c>
      <c r="F17" s="13">
        <v>45231</v>
      </c>
      <c r="G17" s="14">
        <v>9.1440000000000001</v>
      </c>
      <c r="H17" s="15">
        <f t="shared" si="1"/>
        <v>-0.9757317073170757</v>
      </c>
      <c r="I17" s="15">
        <f t="shared" si="2"/>
        <v>-7.8435108243363638E-2</v>
      </c>
      <c r="K17" s="13">
        <v>45231</v>
      </c>
      <c r="L17" s="16">
        <v>923.77</v>
      </c>
      <c r="M17" s="12">
        <f t="shared" si="3"/>
        <v>-0.54967479674803599</v>
      </c>
      <c r="N17" s="14">
        <f t="shared" si="4"/>
        <v>-0.51384854575945293</v>
      </c>
    </row>
    <row r="18" spans="1:14" x14ac:dyDescent="0.3">
      <c r="A18" s="10">
        <v>45261</v>
      </c>
      <c r="B18" s="11">
        <v>3.62</v>
      </c>
      <c r="C18" s="12">
        <f t="shared" si="5"/>
        <v>-1.5200095382568426</v>
      </c>
      <c r="D18" s="12">
        <f t="shared" si="0"/>
        <v>-0.49208905236305367</v>
      </c>
      <c r="F18" s="13">
        <v>45261</v>
      </c>
      <c r="G18" s="14">
        <f>AVERAGE(G17,G19)</f>
        <v>9.1440000000000001</v>
      </c>
      <c r="H18" s="15">
        <f t="shared" si="1"/>
        <v>-0.9757317073170757</v>
      </c>
      <c r="I18" s="15">
        <f t="shared" si="2"/>
        <v>-7.8435108243363638E-2</v>
      </c>
      <c r="K18" s="13">
        <v>45261</v>
      </c>
      <c r="L18" s="12">
        <v>923.69</v>
      </c>
      <c r="M18" s="12">
        <f t="shared" si="3"/>
        <v>-0.62967479674796323</v>
      </c>
      <c r="N18" s="14">
        <f t="shared" si="4"/>
        <v>-0.58863437167674015</v>
      </c>
    </row>
    <row r="19" spans="1:14" x14ac:dyDescent="0.3">
      <c r="A19" s="10">
        <v>45292</v>
      </c>
      <c r="B19" s="11">
        <v>6.56</v>
      </c>
      <c r="C19" s="12">
        <f t="shared" si="5"/>
        <v>1.4199904617431569</v>
      </c>
      <c r="D19" s="12">
        <f t="shared" si="0"/>
        <v>0.45970879990997288</v>
      </c>
      <c r="F19" s="13">
        <v>45292</v>
      </c>
      <c r="G19" s="14">
        <v>9.1440000000000001</v>
      </c>
      <c r="H19" s="15">
        <f t="shared" si="1"/>
        <v>-0.9757317073170757</v>
      </c>
      <c r="I19" s="15">
        <f t="shared" si="2"/>
        <v>-7.8435108243363638E-2</v>
      </c>
      <c r="K19" s="13">
        <v>45292</v>
      </c>
      <c r="L19" s="16">
        <v>924.59</v>
      </c>
      <c r="M19" s="12">
        <f t="shared" si="3"/>
        <v>0.27032520325201403</v>
      </c>
      <c r="N19" s="14">
        <f t="shared" si="4"/>
        <v>0.25270616989348488</v>
      </c>
    </row>
    <row r="20" spans="1:14" x14ac:dyDescent="0.3">
      <c r="A20" s="10">
        <v>45323</v>
      </c>
      <c r="B20" s="11">
        <v>6.59</v>
      </c>
      <c r="C20" s="12">
        <f t="shared" si="5"/>
        <v>1.4499904617431572</v>
      </c>
      <c r="D20" s="12">
        <f t="shared" si="0"/>
        <v>0.46942102289235077</v>
      </c>
      <c r="F20" s="13">
        <v>45323</v>
      </c>
      <c r="G20" s="14">
        <f>AVERAGE(G19,G21)</f>
        <v>7.4930000000000003</v>
      </c>
      <c r="H20" s="15">
        <f t="shared" si="1"/>
        <v>-2.6267317073170755</v>
      </c>
      <c r="I20" s="15">
        <f t="shared" si="2"/>
        <v>-0.21115229139800715</v>
      </c>
      <c r="K20" s="13">
        <v>45323</v>
      </c>
      <c r="L20" s="16">
        <v>924.23</v>
      </c>
      <c r="M20" s="12">
        <f t="shared" si="3"/>
        <v>-8.9674796747999608E-2</v>
      </c>
      <c r="N20" s="14">
        <f t="shared" si="4"/>
        <v>-8.3830046734626393E-2</v>
      </c>
    </row>
    <row r="21" spans="1:14" x14ac:dyDescent="0.3">
      <c r="A21" s="10">
        <v>45352</v>
      </c>
      <c r="B21" s="11">
        <v>5.7109505664816069</v>
      </c>
      <c r="C21" s="12">
        <f t="shared" si="5"/>
        <v>0.57094102822476422</v>
      </c>
      <c r="D21" s="12">
        <f t="shared" si="0"/>
        <v>0.18483688586356603</v>
      </c>
      <c r="F21" s="13">
        <v>45352</v>
      </c>
      <c r="G21" s="14">
        <v>5.8419999999999996</v>
      </c>
      <c r="H21" s="15">
        <f t="shared" si="1"/>
        <v>-4.2777317073170762</v>
      </c>
      <c r="I21" s="15">
        <f t="shared" si="2"/>
        <v>-0.34386947455265077</v>
      </c>
      <c r="K21" s="13">
        <v>45352</v>
      </c>
      <c r="L21" s="16">
        <v>924.65</v>
      </c>
      <c r="M21" s="12">
        <f t="shared" si="3"/>
        <v>0.33032520325195946</v>
      </c>
      <c r="N21" s="14">
        <f t="shared" si="4"/>
        <v>0.30879553933145026</v>
      </c>
    </row>
    <row r="22" spans="1:14" x14ac:dyDescent="0.3">
      <c r="A22" s="10">
        <v>45383</v>
      </c>
      <c r="B22" s="11">
        <v>5.0882608695652163</v>
      </c>
      <c r="C22" s="12">
        <f t="shared" si="5"/>
        <v>-5.174866869162642E-2</v>
      </c>
      <c r="D22" s="12">
        <f t="shared" si="0"/>
        <v>-1.6753153645808996E-2</v>
      </c>
      <c r="F22" s="13">
        <v>45383</v>
      </c>
      <c r="G22" s="14">
        <v>5.3339999999999996</v>
      </c>
      <c r="H22" s="15">
        <f t="shared" si="1"/>
        <v>-4.7857317073170762</v>
      </c>
      <c r="I22" s="15">
        <f t="shared" si="2"/>
        <v>-0.3847055309079257</v>
      </c>
      <c r="K22" s="13">
        <v>45383</v>
      </c>
      <c r="L22" s="16">
        <v>924.31</v>
      </c>
      <c r="M22" s="12">
        <f t="shared" si="3"/>
        <v>-9.6747967480723673E-3</v>
      </c>
      <c r="N22" s="14">
        <f t="shared" si="4"/>
        <v>-9.0442208173391811E-3</v>
      </c>
    </row>
    <row r="23" spans="1:14" x14ac:dyDescent="0.3">
      <c r="A23" s="10">
        <v>45413</v>
      </c>
      <c r="B23" s="11">
        <v>4.2924017123608849</v>
      </c>
      <c r="C23" s="12">
        <f t="shared" si="5"/>
        <v>-0.84760782589595784</v>
      </c>
      <c r="D23" s="12">
        <f t="shared" si="0"/>
        <v>-0.2744052068903341</v>
      </c>
      <c r="F23" s="13">
        <v>45413</v>
      </c>
      <c r="G23" s="14">
        <v>2.794</v>
      </c>
      <c r="H23" s="15">
        <f t="shared" si="1"/>
        <v>-7.3257317073170753</v>
      </c>
      <c r="I23" s="15">
        <f t="shared" si="2"/>
        <v>-0.58888581268430029</v>
      </c>
      <c r="K23" s="13">
        <v>45413</v>
      </c>
      <c r="L23" s="16">
        <v>923.7</v>
      </c>
      <c r="M23" s="12">
        <f t="shared" si="3"/>
        <v>-0.61967479674797232</v>
      </c>
      <c r="N23" s="12">
        <f t="shared" si="4"/>
        <v>-0.57928614343707929</v>
      </c>
    </row>
    <row r="24" spans="1:14" x14ac:dyDescent="0.3">
      <c r="A24" s="10">
        <v>45444</v>
      </c>
      <c r="B24" s="11">
        <v>3.45</v>
      </c>
      <c r="C24" s="12">
        <f t="shared" si="5"/>
        <v>-1.6900095382568425</v>
      </c>
      <c r="D24" s="12">
        <f t="shared" si="0"/>
        <v>-0.54712498259652798</v>
      </c>
      <c r="F24" s="13">
        <v>45444</v>
      </c>
      <c r="G24" s="16">
        <v>2.286</v>
      </c>
      <c r="H24" s="15">
        <f t="shared" si="1"/>
        <v>-7.8337317073170762</v>
      </c>
      <c r="I24" s="15">
        <f t="shared" si="2"/>
        <v>-0.62972186903957528</v>
      </c>
      <c r="K24" s="13">
        <v>45444</v>
      </c>
      <c r="L24" s="16">
        <v>923.51</v>
      </c>
      <c r="M24" s="12">
        <f t="shared" si="3"/>
        <v>-0.80967479674802689</v>
      </c>
      <c r="N24" s="12">
        <f t="shared" si="4"/>
        <v>-0.75690247999084892</v>
      </c>
    </row>
    <row r="25" spans="1:14" x14ac:dyDescent="0.3">
      <c r="A25" s="10">
        <v>45474</v>
      </c>
      <c r="B25" s="11">
        <v>2.72</v>
      </c>
      <c r="C25" s="12">
        <f t="shared" si="5"/>
        <v>-2.4200095382568425</v>
      </c>
      <c r="D25" s="12">
        <f t="shared" si="0"/>
        <v>-0.78345574183438838</v>
      </c>
      <c r="F25" s="13">
        <v>45474</v>
      </c>
      <c r="G25" s="16">
        <v>2.286</v>
      </c>
      <c r="H25" s="15">
        <f t="shared" si="1"/>
        <v>-7.8337317073170762</v>
      </c>
      <c r="I25" s="15">
        <f t="shared" si="2"/>
        <v>-0.62972186903957528</v>
      </c>
      <c r="K25" s="13">
        <v>45474</v>
      </c>
      <c r="L25" s="12">
        <v>923.40333333333331</v>
      </c>
      <c r="M25" s="12">
        <f t="shared" si="3"/>
        <v>-0.91634146341471023</v>
      </c>
      <c r="N25" s="12">
        <f t="shared" si="4"/>
        <v>-0.85661691454733813</v>
      </c>
    </row>
    <row r="26" spans="1:14" x14ac:dyDescent="0.3">
      <c r="A26" s="10">
        <v>45505</v>
      </c>
      <c r="B26" s="11">
        <v>2.1539999999999999</v>
      </c>
      <c r="C26" s="12">
        <f t="shared" si="5"/>
        <v>-2.9860095382568428</v>
      </c>
      <c r="D26" s="12">
        <f t="shared" si="0"/>
        <v>-0.9666930154352501</v>
      </c>
      <c r="F26" s="13">
        <v>45505</v>
      </c>
      <c r="G26" s="16">
        <v>1.524</v>
      </c>
      <c r="H26" s="15">
        <f t="shared" si="1"/>
        <v>-8.5957317073170749</v>
      </c>
      <c r="I26" s="15">
        <f t="shared" si="2"/>
        <v>-0.69097595357248753</v>
      </c>
      <c r="K26" s="13">
        <v>45505</v>
      </c>
      <c r="L26" s="16">
        <v>923.27</v>
      </c>
      <c r="M26" s="12">
        <f t="shared" si="3"/>
        <v>-1.049674796748036</v>
      </c>
      <c r="N26" s="12">
        <f t="shared" si="4"/>
        <v>-0.98125995774292307</v>
      </c>
    </row>
    <row r="27" spans="1:14" x14ac:dyDescent="0.3">
      <c r="A27" s="10">
        <v>45536</v>
      </c>
      <c r="B27" s="11">
        <v>1.7470000000000001</v>
      </c>
      <c r="C27" s="12">
        <f t="shared" si="5"/>
        <v>-3.3930095382568428</v>
      </c>
      <c r="D27" s="12">
        <f t="shared" si="0"/>
        <v>-1.0984555072295092</v>
      </c>
      <c r="F27" s="13">
        <v>45536</v>
      </c>
      <c r="G27" s="15">
        <v>1.27</v>
      </c>
      <c r="H27" s="15">
        <f t="shared" si="1"/>
        <v>-8.8497317073170763</v>
      </c>
      <c r="I27" s="15">
        <f t="shared" si="2"/>
        <v>-0.71139398175012514</v>
      </c>
      <c r="K27" s="13">
        <v>45536</v>
      </c>
      <c r="L27" s="16">
        <v>923.06</v>
      </c>
      <c r="M27" s="12">
        <f t="shared" si="3"/>
        <v>-1.2596747967480724</v>
      </c>
      <c r="N27" s="12">
        <f t="shared" si="4"/>
        <v>-1.1775727507760145</v>
      </c>
    </row>
    <row r="28" spans="1:14" x14ac:dyDescent="0.3">
      <c r="A28" s="10">
        <v>45566</v>
      </c>
      <c r="B28" s="11">
        <v>1.4658059999999999</v>
      </c>
      <c r="C28" s="12">
        <f t="shared" si="5"/>
        <v>-3.674203538256843</v>
      </c>
      <c r="D28" s="12">
        <f t="shared" si="0"/>
        <v>-1.189489468206401</v>
      </c>
      <c r="E28" s="22"/>
      <c r="F28" s="13">
        <v>45566</v>
      </c>
      <c r="G28" s="15">
        <v>3.81</v>
      </c>
      <c r="H28" s="15">
        <f t="shared" si="1"/>
        <v>-6.3097317073170753</v>
      </c>
      <c r="I28" s="15">
        <f t="shared" si="2"/>
        <v>-0.50721369997375043</v>
      </c>
      <c r="K28" s="13">
        <v>45566</v>
      </c>
      <c r="L28" s="16">
        <v>923.11</v>
      </c>
      <c r="M28" s="12">
        <f t="shared" si="3"/>
        <v>-1.2096747967480042</v>
      </c>
      <c r="N28" s="12">
        <f t="shared" si="4"/>
        <v>-1.1308316095776039</v>
      </c>
    </row>
    <row r="29" spans="1:14" x14ac:dyDescent="0.3">
      <c r="A29" s="10">
        <v>45597</v>
      </c>
      <c r="B29" s="11">
        <v>1.6819999999999999</v>
      </c>
      <c r="C29" s="12">
        <f t="shared" si="5"/>
        <v>-3.4580095382568428</v>
      </c>
      <c r="D29" s="12">
        <f t="shared" si="0"/>
        <v>-1.1194986570246612</v>
      </c>
      <c r="F29" s="13">
        <v>45597</v>
      </c>
      <c r="G29" s="15">
        <v>3.81</v>
      </c>
      <c r="H29" s="15">
        <f t="shared" si="1"/>
        <v>-6.3097317073170753</v>
      </c>
      <c r="I29" s="15">
        <f t="shared" si="2"/>
        <v>-0.50721369997375043</v>
      </c>
      <c r="K29" s="13">
        <v>45597</v>
      </c>
      <c r="L29" s="16">
        <v>923.02</v>
      </c>
      <c r="M29" s="12">
        <f t="shared" si="3"/>
        <v>-1.299674796748036</v>
      </c>
      <c r="N29" s="12">
        <f t="shared" si="4"/>
        <v>-1.2149656637346582</v>
      </c>
    </row>
    <row r="30" spans="1:14" x14ac:dyDescent="0.3">
      <c r="A30" s="10">
        <v>45627</v>
      </c>
      <c r="B30" s="11">
        <v>2.0099999999999998</v>
      </c>
      <c r="C30" s="12">
        <f t="shared" si="5"/>
        <v>-3.1300095382568429</v>
      </c>
      <c r="D30" s="12">
        <f t="shared" si="0"/>
        <v>-1.0133116857506637</v>
      </c>
      <c r="F30" s="13">
        <v>45627</v>
      </c>
      <c r="G30" s="16">
        <v>9.1440000000000001</v>
      </c>
      <c r="H30" s="15">
        <f t="shared" si="1"/>
        <v>-0.9757317073170757</v>
      </c>
      <c r="I30" s="15">
        <f t="shared" si="2"/>
        <v>-7.8435108243363638E-2</v>
      </c>
      <c r="K30" s="13">
        <v>45627</v>
      </c>
      <c r="L30" s="16">
        <v>922.9</v>
      </c>
      <c r="M30" s="12">
        <f t="shared" si="3"/>
        <v>-1.4196747967480405</v>
      </c>
      <c r="N30" s="12">
        <f t="shared" si="4"/>
        <v>-1.3271444026106953</v>
      </c>
    </row>
    <row r="31" spans="1:14" x14ac:dyDescent="0.3">
      <c r="A31" s="10">
        <v>45658</v>
      </c>
      <c r="B31" s="11">
        <v>5.7703199999999999</v>
      </c>
      <c r="C31" s="12">
        <f t="shared" si="5"/>
        <v>0.63031046174315719</v>
      </c>
      <c r="D31" s="12">
        <f t="shared" si="0"/>
        <v>0.20405719175250231</v>
      </c>
      <c r="F31" s="13">
        <v>45658</v>
      </c>
      <c r="G31" s="16">
        <v>41.91</v>
      </c>
      <c r="H31" s="15">
        <f t="shared" si="1"/>
        <v>31.790268292682921</v>
      </c>
      <c r="I31" s="15">
        <f t="shared" si="2"/>
        <v>2.555490526671869</v>
      </c>
      <c r="K31" s="13">
        <v>45658</v>
      </c>
      <c r="L31" s="16">
        <v>924.52</v>
      </c>
      <c r="M31" s="12">
        <f t="shared" si="3"/>
        <v>0.20032520325196401</v>
      </c>
      <c r="N31" s="12">
        <f t="shared" si="4"/>
        <v>0.1872685722157523</v>
      </c>
    </row>
    <row r="32" spans="1:14" x14ac:dyDescent="0.3">
      <c r="A32" s="10">
        <v>45689</v>
      </c>
      <c r="B32" s="11">
        <v>7.61</v>
      </c>
      <c r="C32" s="12">
        <f t="shared" si="5"/>
        <v>2.4699904617431576</v>
      </c>
      <c r="D32" s="12">
        <f t="shared" si="0"/>
        <v>0.79963660429319694</v>
      </c>
      <c r="F32" s="13">
        <v>45689</v>
      </c>
      <c r="G32" s="16">
        <v>6.0960000000000001</v>
      </c>
      <c r="H32" s="15">
        <f t="shared" si="1"/>
        <v>-4.0237317073170757</v>
      </c>
      <c r="I32" s="15">
        <f t="shared" si="2"/>
        <v>-0.32345144637501322</v>
      </c>
      <c r="K32" s="13">
        <v>45689</v>
      </c>
      <c r="L32" s="16">
        <v>925.66</v>
      </c>
      <c r="M32" s="12">
        <f t="shared" si="3"/>
        <v>1.3403252032519504</v>
      </c>
      <c r="N32" s="12">
        <f t="shared" si="4"/>
        <v>1.2529665915380515</v>
      </c>
    </row>
    <row r="33" spans="1:14" x14ac:dyDescent="0.3">
      <c r="A33" s="10">
        <v>45717</v>
      </c>
      <c r="B33" s="11">
        <v>7.23</v>
      </c>
      <c r="C33" s="12">
        <f t="shared" si="5"/>
        <v>2.0899904617431577</v>
      </c>
      <c r="D33" s="12">
        <f t="shared" si="0"/>
        <v>0.67661511318307788</v>
      </c>
      <c r="F33" s="13">
        <v>45717</v>
      </c>
      <c r="G33" s="16">
        <v>7.62</v>
      </c>
      <c r="H33" s="15">
        <f t="shared" si="1"/>
        <v>-2.4997317073170757</v>
      </c>
      <c r="I33" s="15">
        <f t="shared" si="2"/>
        <v>-0.20094327730918843</v>
      </c>
      <c r="K33" s="13">
        <v>45717</v>
      </c>
      <c r="L33" s="16">
        <v>925.35</v>
      </c>
      <c r="M33" s="12">
        <f t="shared" si="3"/>
        <v>1.0303252032520049</v>
      </c>
      <c r="N33" s="12">
        <f t="shared" si="4"/>
        <v>0.96317151610835106</v>
      </c>
    </row>
    <row r="34" spans="1:14" x14ac:dyDescent="0.3">
      <c r="A34" s="10">
        <v>45748</v>
      </c>
      <c r="B34" s="11">
        <v>6.97</v>
      </c>
      <c r="C34" s="12">
        <f t="shared" si="5"/>
        <v>1.829990461743157</v>
      </c>
      <c r="D34" s="12">
        <f t="shared" si="0"/>
        <v>0.59244251400246983</v>
      </c>
      <c r="F34" s="13">
        <v>45748</v>
      </c>
      <c r="G34" s="16">
        <v>20.32</v>
      </c>
      <c r="H34" s="15">
        <f t="shared" si="1"/>
        <v>10.200268292682924</v>
      </c>
      <c r="I34" s="15">
        <f t="shared" si="2"/>
        <v>0.81995813157268493</v>
      </c>
      <c r="K34" s="13">
        <v>45748</v>
      </c>
      <c r="L34" s="16">
        <f>AVERAGE(L32:L33)</f>
        <v>925.505</v>
      </c>
      <c r="M34" s="12">
        <f t="shared" si="3"/>
        <v>1.1853252032519777</v>
      </c>
      <c r="N34" s="12">
        <f t="shared" si="4"/>
        <v>1.1080690538232012</v>
      </c>
    </row>
    <row r="35" spans="1:14" x14ac:dyDescent="0.3">
      <c r="A35" s="10">
        <v>45778</v>
      </c>
      <c r="B35" s="11">
        <v>7.25</v>
      </c>
      <c r="C35" s="12">
        <f t="shared" si="5"/>
        <v>2.1099904617431573</v>
      </c>
      <c r="D35" s="12">
        <f t="shared" si="0"/>
        <v>0.68308992850466299</v>
      </c>
      <c r="F35" s="13">
        <v>45778</v>
      </c>
      <c r="G35" s="16">
        <v>0</v>
      </c>
      <c r="H35" s="15">
        <f t="shared" si="1"/>
        <v>-10.119731707317076</v>
      </c>
      <c r="I35" s="15">
        <f t="shared" si="2"/>
        <v>-0.81348412263831238</v>
      </c>
      <c r="K35" s="13">
        <v>45778</v>
      </c>
      <c r="L35" s="16">
        <v>924.46</v>
      </c>
      <c r="M35" s="12">
        <f t="shared" si="3"/>
        <v>0.14032520325201858</v>
      </c>
      <c r="N35" s="12">
        <f t="shared" si="4"/>
        <v>0.13117920277778689</v>
      </c>
    </row>
    <row r="36" spans="1:14" x14ac:dyDescent="0.3">
      <c r="A36" s="10">
        <v>45809</v>
      </c>
      <c r="B36" s="11">
        <v>6.0023</v>
      </c>
      <c r="C36" s="12">
        <f t="shared" si="5"/>
        <v>0.86229046174315727</v>
      </c>
      <c r="D36" s="12">
        <f t="shared" si="0"/>
        <v>0.27915857466756927</v>
      </c>
      <c r="F36" s="13">
        <v>45809</v>
      </c>
      <c r="G36" s="16">
        <v>5.3339999999999996</v>
      </c>
      <c r="H36" s="15">
        <f t="shared" si="1"/>
        <v>-4.7857317073170762</v>
      </c>
      <c r="I36" s="15">
        <f t="shared" si="2"/>
        <v>-0.3847055309079257</v>
      </c>
      <c r="K36" s="13">
        <v>45809</v>
      </c>
      <c r="L36" s="16">
        <v>924.17</v>
      </c>
      <c r="M36" s="12">
        <f t="shared" si="3"/>
        <v>-0.14967479674805872</v>
      </c>
      <c r="N36" s="12">
        <f t="shared" si="4"/>
        <v>-0.13991941617269807</v>
      </c>
    </row>
    <row r="37" spans="1:14" x14ac:dyDescent="0.3">
      <c r="A37" s="10">
        <v>45839</v>
      </c>
      <c r="B37" s="11">
        <v>4.7805999999999997</v>
      </c>
      <c r="C37" s="12">
        <f t="shared" si="5"/>
        <v>-0.35940953825684296</v>
      </c>
      <c r="D37" s="12">
        <f t="shared" si="0"/>
        <v>-0.11635551925146373</v>
      </c>
      <c r="F37" s="13">
        <v>45839</v>
      </c>
      <c r="G37" s="16">
        <v>3.302</v>
      </c>
      <c r="H37" s="15">
        <f t="shared" si="1"/>
        <v>-6.8177317073170762</v>
      </c>
      <c r="I37" s="15">
        <f t="shared" si="2"/>
        <v>-0.54804975632902542</v>
      </c>
      <c r="K37" s="13">
        <v>45839</v>
      </c>
      <c r="L37" s="16">
        <v>923.89</v>
      </c>
      <c r="M37" s="12">
        <f t="shared" si="3"/>
        <v>-0.42967479674803144</v>
      </c>
      <c r="N37" s="12">
        <f t="shared" si="4"/>
        <v>-0.40166980688341586</v>
      </c>
    </row>
    <row r="38" spans="1:14" x14ac:dyDescent="0.3">
      <c r="A38" s="10">
        <v>45870</v>
      </c>
      <c r="B38" s="11">
        <v>2.4119999999999999</v>
      </c>
      <c r="C38" s="12">
        <f t="shared" si="5"/>
        <v>-2.7280095382568428</v>
      </c>
      <c r="D38" s="12">
        <f t="shared" si="0"/>
        <v>-0.88316789778680083</v>
      </c>
      <c r="F38" s="13">
        <v>45870</v>
      </c>
      <c r="G38" s="16">
        <v>2.286</v>
      </c>
      <c r="H38" s="15">
        <f t="shared" si="1"/>
        <v>-7.8337317073170762</v>
      </c>
      <c r="I38" s="15">
        <f t="shared" si="2"/>
        <v>-0.62972186903957528</v>
      </c>
      <c r="K38" s="13">
        <v>45870</v>
      </c>
      <c r="L38" s="16">
        <v>923.82</v>
      </c>
      <c r="M38" s="12">
        <f t="shared" si="3"/>
        <v>-0.49967479674796778</v>
      </c>
      <c r="N38" s="12">
        <f t="shared" si="4"/>
        <v>-0.46710740456104216</v>
      </c>
    </row>
    <row r="39" spans="1:14" x14ac:dyDescent="0.3">
      <c r="A39" s="10">
        <v>45901</v>
      </c>
      <c r="B39" s="11">
        <v>0.90900000000000003</v>
      </c>
      <c r="C39" s="12">
        <f t="shared" si="5"/>
        <v>-4.2310095382568429</v>
      </c>
      <c r="D39" s="12">
        <f t="shared" si="0"/>
        <v>-1.3697502692039298</v>
      </c>
      <c r="F39" s="13">
        <v>45901</v>
      </c>
      <c r="G39" s="16">
        <v>1.27</v>
      </c>
      <c r="H39" s="15">
        <f t="shared" si="1"/>
        <v>-8.8497317073170763</v>
      </c>
      <c r="I39" s="15">
        <f t="shared" si="2"/>
        <v>-0.71139398175012514</v>
      </c>
      <c r="K39" s="13">
        <v>45901</v>
      </c>
      <c r="L39" s="17">
        <v>923.45</v>
      </c>
      <c r="M39" s="12">
        <f t="shared" si="3"/>
        <v>-0.86967479674797232</v>
      </c>
      <c r="N39" s="12">
        <f t="shared" si="4"/>
        <v>-0.81299184942881431</v>
      </c>
    </row>
    <row r="40" spans="1:14" x14ac:dyDescent="0.3">
      <c r="A40" s="10">
        <v>45931</v>
      </c>
      <c r="B40" s="11">
        <v>1.766</v>
      </c>
      <c r="C40" s="12">
        <f t="shared" si="5"/>
        <v>-3.3740095382568427</v>
      </c>
      <c r="D40" s="12">
        <f t="shared" si="0"/>
        <v>-1.0923044326740032</v>
      </c>
      <c r="F40" s="13">
        <v>45931</v>
      </c>
      <c r="G40" s="16">
        <v>1.524</v>
      </c>
      <c r="H40" s="15">
        <f t="shared" si="1"/>
        <v>-8.5957317073170749</v>
      </c>
      <c r="I40" s="15">
        <f t="shared" si="2"/>
        <v>-0.69097595357248753</v>
      </c>
      <c r="K40" s="13">
        <v>45931</v>
      </c>
      <c r="L40" s="17">
        <v>923.49</v>
      </c>
      <c r="M40" s="12">
        <f t="shared" si="3"/>
        <v>-0.8296747967480087</v>
      </c>
      <c r="N40" s="12">
        <f t="shared" si="4"/>
        <v>-0.77559893647017075</v>
      </c>
    </row>
    <row r="41" spans="1:14" x14ac:dyDescent="0.3">
      <c r="A41" s="10">
        <v>45962</v>
      </c>
      <c r="B41" s="11">
        <v>2.2309999999999999</v>
      </c>
      <c r="C41" s="12">
        <f t="shared" si="5"/>
        <v>-2.9090095382568428</v>
      </c>
      <c r="D41" s="12">
        <f t="shared" si="0"/>
        <v>-0.94176497644714696</v>
      </c>
      <c r="F41" s="13">
        <v>45962</v>
      </c>
      <c r="G41" s="16">
        <v>19.812000000000001</v>
      </c>
      <c r="H41" s="15">
        <f t="shared" si="1"/>
        <v>9.6922682926829253</v>
      </c>
      <c r="I41" s="15">
        <f t="shared" si="2"/>
        <v>0.77912207521741006</v>
      </c>
      <c r="K41" s="13">
        <v>45962</v>
      </c>
      <c r="L41" s="17">
        <v>923.53</v>
      </c>
      <c r="M41" s="12">
        <f t="shared" si="3"/>
        <v>-0.78967479674804508</v>
      </c>
      <c r="N41" s="12">
        <f t="shared" si="4"/>
        <v>-0.73820602351152709</v>
      </c>
    </row>
    <row r="42" spans="1:14" x14ac:dyDescent="0.3">
      <c r="A42" s="10">
        <v>45992</v>
      </c>
      <c r="B42" s="11">
        <v>4.7739000000000003</v>
      </c>
      <c r="C42" s="12">
        <f t="shared" si="5"/>
        <v>-0.36610953825684245</v>
      </c>
      <c r="D42" s="12">
        <f t="shared" si="0"/>
        <v>-0.11852458238419461</v>
      </c>
      <c r="F42" s="13">
        <v>45992</v>
      </c>
      <c r="G42" s="16">
        <v>20.32</v>
      </c>
      <c r="H42" s="15">
        <f t="shared" si="1"/>
        <v>10.200268292682924</v>
      </c>
      <c r="I42" s="15">
        <f t="shared" si="2"/>
        <v>0.81995813157268493</v>
      </c>
      <c r="K42" s="13">
        <v>45992</v>
      </c>
      <c r="L42" s="17">
        <v>925.68</v>
      </c>
      <c r="M42" s="12">
        <f t="shared" si="3"/>
        <v>1.3603252032519322</v>
      </c>
      <c r="N42" s="12">
        <f t="shared" si="4"/>
        <v>1.2716630480173734</v>
      </c>
    </row>
    <row r="43" spans="1:14" x14ac:dyDescent="0.3">
      <c r="A43" s="10">
        <v>46023</v>
      </c>
      <c r="B43" s="11">
        <v>8.2506000000000004</v>
      </c>
      <c r="C43" s="12">
        <f t="shared" si="5"/>
        <v>3.1105904617431577</v>
      </c>
      <c r="D43" s="12">
        <f t="shared" si="0"/>
        <v>1.0070249390435715</v>
      </c>
      <c r="F43" s="13">
        <v>46023</v>
      </c>
      <c r="G43" s="16">
        <v>30.734000000000002</v>
      </c>
      <c r="H43" s="15">
        <f t="shared" si="1"/>
        <v>20.614268292682926</v>
      </c>
      <c r="I43" s="15">
        <f t="shared" si="2"/>
        <v>1.6570972868558211</v>
      </c>
      <c r="K43" s="13">
        <v>46023</v>
      </c>
      <c r="L43" s="17">
        <v>927.22</v>
      </c>
      <c r="M43" s="12">
        <f t="shared" si="3"/>
        <v>2.9003252032520095</v>
      </c>
      <c r="N43" s="12">
        <f t="shared" si="4"/>
        <v>2.7112901969265337</v>
      </c>
    </row>
    <row r="44" spans="1:14" x14ac:dyDescent="0.3">
      <c r="A44" s="10">
        <v>46054</v>
      </c>
      <c r="B44" s="11">
        <v>8.8195999999999994</v>
      </c>
      <c r="C44" s="12">
        <f t="shared" si="5"/>
        <v>3.6795904617431567</v>
      </c>
      <c r="D44" s="12">
        <f t="shared" si="0"/>
        <v>1.1912334349426705</v>
      </c>
      <c r="F44" s="13">
        <v>46054</v>
      </c>
      <c r="G44" s="16">
        <v>4.0640000000000001</v>
      </c>
      <c r="H44" s="15">
        <f t="shared" si="1"/>
        <v>-6.0557317073170758</v>
      </c>
      <c r="I44" s="15">
        <f t="shared" si="2"/>
        <v>-0.48679567179611299</v>
      </c>
      <c r="K44" s="13">
        <v>46054</v>
      </c>
      <c r="L44" s="17">
        <v>925.91</v>
      </c>
      <c r="M44" s="12">
        <f t="shared" si="3"/>
        <v>1.5903252032519504</v>
      </c>
      <c r="N44" s="12">
        <f t="shared" si="4"/>
        <v>1.4866722975297866</v>
      </c>
    </row>
    <row r="45" spans="1:14" x14ac:dyDescent="0.3">
      <c r="A45" s="18"/>
      <c r="B45" s="11"/>
    </row>
    <row r="46" spans="1:14" x14ac:dyDescent="0.3">
      <c r="A46" s="18"/>
      <c r="B46" s="11"/>
    </row>
    <row r="47" spans="1:14" x14ac:dyDescent="0.3">
      <c r="A47" s="18"/>
      <c r="B47" s="11"/>
    </row>
    <row r="48" spans="1:14" x14ac:dyDescent="0.3">
      <c r="A48" s="18"/>
      <c r="B48" s="11"/>
    </row>
    <row r="49" spans="1:2" x14ac:dyDescent="0.3">
      <c r="A49" s="18"/>
      <c r="B49" s="11"/>
    </row>
    <row r="50" spans="1:2" x14ac:dyDescent="0.3">
      <c r="A50" s="18"/>
      <c r="B50" s="11"/>
    </row>
    <row r="51" spans="1:2" x14ac:dyDescent="0.3">
      <c r="A51" s="18"/>
      <c r="B51" s="11"/>
    </row>
    <row r="52" spans="1:2" x14ac:dyDescent="0.3">
      <c r="A52" s="18"/>
      <c r="B52" s="11"/>
    </row>
    <row r="53" spans="1:2" x14ac:dyDescent="0.3">
      <c r="A53" s="18"/>
      <c r="B53" s="11"/>
    </row>
    <row r="54" spans="1:2" x14ac:dyDescent="0.3">
      <c r="A54" s="18"/>
      <c r="B54" s="11"/>
    </row>
    <row r="55" spans="1:2" x14ac:dyDescent="0.3">
      <c r="A55" s="18"/>
      <c r="B55" s="11"/>
    </row>
    <row r="56" spans="1:2" x14ac:dyDescent="0.3">
      <c r="A56" s="18"/>
      <c r="B56" s="11"/>
    </row>
    <row r="57" spans="1:2" x14ac:dyDescent="0.3">
      <c r="A57" s="18"/>
      <c r="B57" s="11"/>
    </row>
    <row r="58" spans="1:2" x14ac:dyDescent="0.3">
      <c r="A58" s="18"/>
      <c r="B58" s="11"/>
    </row>
    <row r="59" spans="1:2" x14ac:dyDescent="0.3">
      <c r="A59" s="18"/>
      <c r="B59" s="11"/>
    </row>
    <row r="60" spans="1:2" x14ac:dyDescent="0.3">
      <c r="A60" s="18"/>
      <c r="B60" s="11"/>
    </row>
    <row r="61" spans="1:2" x14ac:dyDescent="0.3">
      <c r="A61" s="18"/>
      <c r="B61" s="11"/>
    </row>
    <row r="62" spans="1:2" x14ac:dyDescent="0.3">
      <c r="A62" s="18"/>
      <c r="B62" s="11"/>
    </row>
    <row r="63" spans="1:2" x14ac:dyDescent="0.3">
      <c r="A63" s="18"/>
      <c r="B63" s="11"/>
    </row>
    <row r="64" spans="1:2" x14ac:dyDescent="0.3">
      <c r="A64" s="18"/>
      <c r="B64" s="11"/>
    </row>
    <row r="65" spans="1:2" x14ac:dyDescent="0.3">
      <c r="A65" s="18"/>
      <c r="B65" s="11"/>
    </row>
    <row r="66" spans="1:2" x14ac:dyDescent="0.3">
      <c r="A66" s="18"/>
      <c r="B66" s="11"/>
    </row>
    <row r="67" spans="1:2" x14ac:dyDescent="0.3">
      <c r="A67" s="18"/>
      <c r="B67" s="11"/>
    </row>
    <row r="68" spans="1:2" x14ac:dyDescent="0.3">
      <c r="A68" s="18"/>
      <c r="B68" s="11"/>
    </row>
    <row r="69" spans="1:2" x14ac:dyDescent="0.3">
      <c r="A69" s="18"/>
      <c r="B69" s="11"/>
    </row>
    <row r="70" spans="1:2" x14ac:dyDescent="0.3">
      <c r="A70" s="18"/>
      <c r="B70" s="11"/>
    </row>
    <row r="71" spans="1:2" x14ac:dyDescent="0.3">
      <c r="A71" s="18"/>
      <c r="B71" s="11"/>
    </row>
    <row r="72" spans="1:2" x14ac:dyDescent="0.3">
      <c r="A72" s="18"/>
      <c r="B72" s="11"/>
    </row>
    <row r="73" spans="1:2" x14ac:dyDescent="0.3">
      <c r="A73" s="18"/>
      <c r="B73" s="11"/>
    </row>
    <row r="74" spans="1:2" x14ac:dyDescent="0.3">
      <c r="A74" s="18"/>
      <c r="B74" s="11"/>
    </row>
    <row r="75" spans="1:2" x14ac:dyDescent="0.3">
      <c r="A75" s="18"/>
      <c r="B75" s="11"/>
    </row>
    <row r="76" spans="1:2" x14ac:dyDescent="0.3">
      <c r="A76" s="18"/>
      <c r="B76" s="11"/>
    </row>
    <row r="77" spans="1:2" x14ac:dyDescent="0.3">
      <c r="A77" s="18"/>
      <c r="B77" s="11"/>
    </row>
    <row r="78" spans="1:2" x14ac:dyDescent="0.3">
      <c r="A78" s="18"/>
      <c r="B78" s="11"/>
    </row>
    <row r="79" spans="1:2" x14ac:dyDescent="0.3">
      <c r="A79" s="18"/>
      <c r="B79" s="11"/>
    </row>
    <row r="80" spans="1:2" x14ac:dyDescent="0.3">
      <c r="A80" s="18"/>
      <c r="B80" s="11"/>
    </row>
    <row r="81" spans="1:2" x14ac:dyDescent="0.3">
      <c r="A81" s="18"/>
      <c r="B81" s="11"/>
    </row>
    <row r="82" spans="1:2" x14ac:dyDescent="0.3">
      <c r="A82" s="18"/>
      <c r="B82" s="11"/>
    </row>
    <row r="83" spans="1:2" x14ac:dyDescent="0.3">
      <c r="A83" s="18"/>
      <c r="B83" s="11"/>
    </row>
    <row r="84" spans="1:2" x14ac:dyDescent="0.3">
      <c r="A84" s="18"/>
      <c r="B84" s="11"/>
    </row>
    <row r="85" spans="1:2" x14ac:dyDescent="0.3">
      <c r="A85" s="18"/>
      <c r="B85" s="11"/>
    </row>
    <row r="86" spans="1:2" x14ac:dyDescent="0.3">
      <c r="A86" s="18"/>
      <c r="B86" s="11"/>
    </row>
    <row r="87" spans="1:2" x14ac:dyDescent="0.3">
      <c r="A87" s="18"/>
      <c r="B87" s="11"/>
    </row>
    <row r="88" spans="1:2" x14ac:dyDescent="0.3">
      <c r="A88" s="18"/>
      <c r="B88" s="11"/>
    </row>
    <row r="89" spans="1:2" x14ac:dyDescent="0.3">
      <c r="A89" s="18"/>
      <c r="B89" s="11"/>
    </row>
    <row r="90" spans="1:2" x14ac:dyDescent="0.3">
      <c r="A90" s="18"/>
      <c r="B90" s="11"/>
    </row>
    <row r="91" spans="1:2" x14ac:dyDescent="0.3">
      <c r="A91" s="18"/>
      <c r="B91" s="11"/>
    </row>
    <row r="92" spans="1:2" x14ac:dyDescent="0.3">
      <c r="A92" s="18"/>
      <c r="B92" s="11"/>
    </row>
    <row r="93" spans="1:2" x14ac:dyDescent="0.3">
      <c r="A93" s="18"/>
      <c r="B93" s="11"/>
    </row>
    <row r="94" spans="1:2" x14ac:dyDescent="0.3">
      <c r="A94" s="18"/>
      <c r="B94" s="11"/>
    </row>
    <row r="95" spans="1:2" x14ac:dyDescent="0.3">
      <c r="A95" s="18"/>
      <c r="B95" s="11"/>
    </row>
    <row r="96" spans="1:2" x14ac:dyDescent="0.3">
      <c r="A96" s="18"/>
      <c r="B96" s="11"/>
    </row>
    <row r="97" spans="1:2" x14ac:dyDescent="0.3">
      <c r="A97" s="18"/>
      <c r="B97" s="11"/>
    </row>
    <row r="98" spans="1:2" x14ac:dyDescent="0.3">
      <c r="A98" s="18"/>
      <c r="B98" s="11"/>
    </row>
    <row r="99" spans="1:2" x14ac:dyDescent="0.3">
      <c r="A99" s="18"/>
      <c r="B99" s="11"/>
    </row>
    <row r="100" spans="1:2" x14ac:dyDescent="0.3">
      <c r="A100" s="18"/>
      <c r="B100" s="11"/>
    </row>
    <row r="101" spans="1:2" x14ac:dyDescent="0.3">
      <c r="A101" s="18"/>
      <c r="B101" s="11"/>
    </row>
    <row r="102" spans="1:2" x14ac:dyDescent="0.3">
      <c r="A102" s="18"/>
      <c r="B102" s="11"/>
    </row>
    <row r="103" spans="1:2" x14ac:dyDescent="0.3">
      <c r="A103" s="18"/>
      <c r="B103" s="11"/>
    </row>
    <row r="104" spans="1:2" x14ac:dyDescent="0.3">
      <c r="A104" s="18"/>
      <c r="B104" s="11"/>
    </row>
    <row r="105" spans="1:2" x14ac:dyDescent="0.3">
      <c r="A105" s="18"/>
      <c r="B105" s="11"/>
    </row>
    <row r="106" spans="1:2" x14ac:dyDescent="0.3">
      <c r="A106" s="18"/>
      <c r="B106" s="11"/>
    </row>
    <row r="107" spans="1:2" x14ac:dyDescent="0.3">
      <c r="A107" s="18"/>
      <c r="B107" s="11"/>
    </row>
    <row r="108" spans="1:2" x14ac:dyDescent="0.3">
      <c r="A108" s="18"/>
      <c r="B108" s="11"/>
    </row>
    <row r="109" spans="1:2" x14ac:dyDescent="0.3">
      <c r="A109" s="18"/>
      <c r="B109" s="11"/>
    </row>
    <row r="110" spans="1:2" x14ac:dyDescent="0.3">
      <c r="A110" s="18"/>
      <c r="B110" s="11"/>
    </row>
    <row r="111" spans="1:2" x14ac:dyDescent="0.3">
      <c r="A111" s="18"/>
      <c r="B111" s="11"/>
    </row>
    <row r="112" spans="1:2" x14ac:dyDescent="0.3">
      <c r="A112" s="18"/>
      <c r="B112" s="11"/>
    </row>
    <row r="113" spans="1:2" x14ac:dyDescent="0.3">
      <c r="A113" s="18"/>
      <c r="B113" s="11"/>
    </row>
    <row r="114" spans="1:2" x14ac:dyDescent="0.3">
      <c r="A114" s="18"/>
      <c r="B114" s="11"/>
    </row>
    <row r="115" spans="1:2" x14ac:dyDescent="0.3">
      <c r="A115" s="18"/>
      <c r="B115" s="11"/>
    </row>
    <row r="116" spans="1:2" x14ac:dyDescent="0.3">
      <c r="A116" s="18"/>
      <c r="B116" s="11"/>
    </row>
    <row r="117" spans="1:2" x14ac:dyDescent="0.3">
      <c r="A117" s="18"/>
      <c r="B117" s="11"/>
    </row>
    <row r="118" spans="1:2" x14ac:dyDescent="0.3">
      <c r="A118" s="18"/>
      <c r="B118" s="11"/>
    </row>
    <row r="119" spans="1:2" x14ac:dyDescent="0.3">
      <c r="A119" s="18"/>
      <c r="B119" s="11"/>
    </row>
    <row r="120" spans="1:2" x14ac:dyDescent="0.3">
      <c r="A120" s="18"/>
      <c r="B120" s="11"/>
    </row>
    <row r="121" spans="1:2" x14ac:dyDescent="0.3">
      <c r="A121" s="18"/>
      <c r="B121" s="11"/>
    </row>
    <row r="122" spans="1:2" x14ac:dyDescent="0.3">
      <c r="A122" s="18"/>
      <c r="B122" s="11"/>
    </row>
    <row r="123" spans="1:2" x14ac:dyDescent="0.3">
      <c r="A123" s="18"/>
      <c r="B123" s="11"/>
    </row>
    <row r="124" spans="1:2" x14ac:dyDescent="0.3">
      <c r="A124" s="18"/>
      <c r="B124" s="11"/>
    </row>
    <row r="125" spans="1:2" x14ac:dyDescent="0.3">
      <c r="A125" s="18"/>
      <c r="B125" s="11"/>
    </row>
    <row r="126" spans="1:2" x14ac:dyDescent="0.3">
      <c r="A126" s="18"/>
      <c r="B126" s="11"/>
    </row>
    <row r="127" spans="1:2" x14ac:dyDescent="0.3">
      <c r="A127" s="18"/>
      <c r="B127" s="11"/>
    </row>
    <row r="128" spans="1:2" x14ac:dyDescent="0.3">
      <c r="A128" s="18"/>
      <c r="B128" s="11"/>
    </row>
    <row r="129" spans="1:2" x14ac:dyDescent="0.3">
      <c r="A129" s="18"/>
      <c r="B129" s="11"/>
    </row>
    <row r="130" spans="1:2" x14ac:dyDescent="0.3">
      <c r="A130" s="18"/>
      <c r="B130" s="11"/>
    </row>
    <row r="131" spans="1:2" x14ac:dyDescent="0.3">
      <c r="A131" s="18"/>
      <c r="B131" s="11"/>
    </row>
    <row r="132" spans="1:2" x14ac:dyDescent="0.3">
      <c r="A132" s="18"/>
      <c r="B132" s="11"/>
    </row>
    <row r="133" spans="1:2" x14ac:dyDescent="0.3">
      <c r="A133" s="18"/>
      <c r="B133" s="11"/>
    </row>
    <row r="134" spans="1:2" x14ac:dyDescent="0.3">
      <c r="A134" s="18"/>
      <c r="B134" s="11"/>
    </row>
    <row r="135" spans="1:2" x14ac:dyDescent="0.3">
      <c r="A135" s="18"/>
      <c r="B135" s="11"/>
    </row>
    <row r="136" spans="1:2" x14ac:dyDescent="0.3">
      <c r="A136" s="18"/>
      <c r="B136" s="11"/>
    </row>
    <row r="137" spans="1:2" x14ac:dyDescent="0.3">
      <c r="A137" s="18"/>
      <c r="B137" s="11"/>
    </row>
    <row r="138" spans="1:2" x14ac:dyDescent="0.3">
      <c r="A138" s="18"/>
      <c r="B138" s="11"/>
    </row>
    <row r="139" spans="1:2" x14ac:dyDescent="0.3">
      <c r="A139" s="18"/>
      <c r="B139" s="11"/>
    </row>
    <row r="140" spans="1:2" x14ac:dyDescent="0.3">
      <c r="A140" s="18"/>
      <c r="B140" s="11"/>
    </row>
    <row r="141" spans="1:2" x14ac:dyDescent="0.3">
      <c r="A141" s="18"/>
      <c r="B141" s="11"/>
    </row>
    <row r="142" spans="1:2" x14ac:dyDescent="0.3">
      <c r="A142" s="18"/>
      <c r="B142" s="11"/>
    </row>
    <row r="143" spans="1:2" x14ac:dyDescent="0.3">
      <c r="A143" s="18"/>
      <c r="B143" s="11"/>
    </row>
    <row r="144" spans="1:2" x14ac:dyDescent="0.3">
      <c r="A144" s="18"/>
      <c r="B144" s="11"/>
    </row>
    <row r="145" spans="1:2" x14ac:dyDescent="0.3">
      <c r="A145" s="18"/>
      <c r="B145" s="11"/>
    </row>
    <row r="146" spans="1:2" x14ac:dyDescent="0.3">
      <c r="A146" s="18"/>
      <c r="B146" s="11"/>
    </row>
    <row r="147" spans="1:2" x14ac:dyDescent="0.3">
      <c r="A147" s="18"/>
      <c r="B147" s="11"/>
    </row>
    <row r="148" spans="1:2" x14ac:dyDescent="0.3">
      <c r="A148" s="18"/>
      <c r="B148" s="11"/>
    </row>
    <row r="149" spans="1:2" x14ac:dyDescent="0.3">
      <c r="A149" s="18"/>
      <c r="B149" s="11"/>
    </row>
    <row r="150" spans="1:2" x14ac:dyDescent="0.3">
      <c r="A150" s="18"/>
      <c r="B150" s="11"/>
    </row>
    <row r="151" spans="1:2" x14ac:dyDescent="0.3">
      <c r="A151" s="18"/>
      <c r="B151" s="11"/>
    </row>
    <row r="152" spans="1:2" x14ac:dyDescent="0.3">
      <c r="A152" s="18"/>
      <c r="B152" s="11"/>
    </row>
    <row r="153" spans="1:2" x14ac:dyDescent="0.3">
      <c r="A153" s="18"/>
      <c r="B153" s="11"/>
    </row>
    <row r="154" spans="1:2" x14ac:dyDescent="0.3">
      <c r="A154" s="18"/>
      <c r="B154" s="11"/>
    </row>
    <row r="155" spans="1:2" x14ac:dyDescent="0.3">
      <c r="A155" s="18"/>
      <c r="B155" s="11"/>
    </row>
    <row r="156" spans="1:2" x14ac:dyDescent="0.3">
      <c r="A156" s="18"/>
      <c r="B156" s="11"/>
    </row>
    <row r="157" spans="1:2" x14ac:dyDescent="0.3">
      <c r="A157" s="18"/>
      <c r="B157" s="11"/>
    </row>
    <row r="158" spans="1:2" x14ac:dyDescent="0.3">
      <c r="A158" s="18"/>
      <c r="B158" s="11"/>
    </row>
    <row r="159" spans="1:2" x14ac:dyDescent="0.3">
      <c r="A159" s="18"/>
      <c r="B159" s="11"/>
    </row>
    <row r="160" spans="1:2" x14ac:dyDescent="0.3">
      <c r="A160" s="18"/>
      <c r="B160" s="11"/>
    </row>
    <row r="161" spans="1:2" x14ac:dyDescent="0.3">
      <c r="A161" s="18"/>
      <c r="B161" s="11"/>
    </row>
    <row r="162" spans="1:2" x14ac:dyDescent="0.3">
      <c r="A162" s="18"/>
      <c r="B162" s="11"/>
    </row>
    <row r="163" spans="1:2" x14ac:dyDescent="0.3">
      <c r="A163" s="18"/>
      <c r="B163" s="11"/>
    </row>
    <row r="164" spans="1:2" x14ac:dyDescent="0.3">
      <c r="A164" s="18"/>
      <c r="B164" s="11"/>
    </row>
    <row r="165" spans="1:2" x14ac:dyDescent="0.3">
      <c r="A165" s="18"/>
      <c r="B165" s="11"/>
    </row>
    <row r="166" spans="1:2" x14ac:dyDescent="0.3">
      <c r="A166" s="18"/>
      <c r="B166" s="11"/>
    </row>
    <row r="167" spans="1:2" x14ac:dyDescent="0.3">
      <c r="A167" s="18"/>
      <c r="B167" s="11"/>
    </row>
    <row r="168" spans="1:2" x14ac:dyDescent="0.3">
      <c r="A168" s="18"/>
      <c r="B168" s="11"/>
    </row>
    <row r="169" spans="1:2" x14ac:dyDescent="0.3">
      <c r="A169" s="18"/>
      <c r="B169" s="11"/>
    </row>
    <row r="170" spans="1:2" x14ac:dyDescent="0.3">
      <c r="A170" s="18"/>
      <c r="B170" s="11"/>
    </row>
    <row r="171" spans="1:2" x14ac:dyDescent="0.3">
      <c r="A171" s="18"/>
      <c r="B171" s="11"/>
    </row>
    <row r="172" spans="1:2" x14ac:dyDescent="0.3">
      <c r="A172" s="18"/>
      <c r="B172" s="11"/>
    </row>
    <row r="173" spans="1:2" x14ac:dyDescent="0.3">
      <c r="A173" s="18"/>
      <c r="B173" s="11"/>
    </row>
    <row r="174" spans="1:2" x14ac:dyDescent="0.3">
      <c r="A174" s="18"/>
      <c r="B174" s="11"/>
    </row>
    <row r="175" spans="1:2" x14ac:dyDescent="0.3">
      <c r="A175" s="18"/>
      <c r="B175" s="11"/>
    </row>
    <row r="176" spans="1:2" x14ac:dyDescent="0.3">
      <c r="A176" s="18"/>
      <c r="B176" s="11"/>
    </row>
    <row r="177" spans="1:2" x14ac:dyDescent="0.3">
      <c r="A177" s="18"/>
      <c r="B177" s="11"/>
    </row>
    <row r="178" spans="1:2" x14ac:dyDescent="0.3">
      <c r="A178" s="18"/>
      <c r="B178" s="11"/>
    </row>
    <row r="179" spans="1:2" x14ac:dyDescent="0.3">
      <c r="A179" s="18"/>
      <c r="B179" s="11"/>
    </row>
    <row r="180" spans="1:2" x14ac:dyDescent="0.3">
      <c r="A180" s="18"/>
      <c r="B180" s="11"/>
    </row>
    <row r="181" spans="1:2" x14ac:dyDescent="0.3">
      <c r="A181" s="18"/>
      <c r="B181" s="11"/>
    </row>
    <row r="182" spans="1:2" x14ac:dyDescent="0.3">
      <c r="A182" s="18"/>
      <c r="B182" s="11"/>
    </row>
    <row r="183" spans="1:2" x14ac:dyDescent="0.3">
      <c r="A183" s="18"/>
      <c r="B183" s="11"/>
    </row>
    <row r="184" spans="1:2" x14ac:dyDescent="0.3">
      <c r="A184" s="18"/>
      <c r="B184" s="11"/>
    </row>
    <row r="185" spans="1:2" x14ac:dyDescent="0.3">
      <c r="A185" s="18"/>
      <c r="B185" s="11"/>
    </row>
    <row r="186" spans="1:2" x14ac:dyDescent="0.3">
      <c r="A186" s="18"/>
      <c r="B186" s="11"/>
    </row>
    <row r="187" spans="1:2" x14ac:dyDescent="0.3">
      <c r="A187" s="18"/>
      <c r="B187" s="11"/>
    </row>
    <row r="188" spans="1:2" x14ac:dyDescent="0.3">
      <c r="A188" s="18"/>
      <c r="B188" s="11"/>
    </row>
    <row r="189" spans="1:2" x14ac:dyDescent="0.3">
      <c r="A189" s="18"/>
      <c r="B189" s="11"/>
    </row>
    <row r="190" spans="1:2" x14ac:dyDescent="0.3">
      <c r="A190" s="18"/>
      <c r="B190" s="11"/>
    </row>
    <row r="191" spans="1:2" x14ac:dyDescent="0.3">
      <c r="A191" s="18"/>
      <c r="B191" s="11"/>
    </row>
    <row r="192" spans="1:2" x14ac:dyDescent="0.3">
      <c r="A192" s="18"/>
      <c r="B192" s="11"/>
    </row>
    <row r="193" spans="1:2" x14ac:dyDescent="0.3">
      <c r="A193" s="18"/>
      <c r="B193" s="11"/>
    </row>
    <row r="194" spans="1:2" x14ac:dyDescent="0.3">
      <c r="A194" s="18"/>
      <c r="B194" s="11"/>
    </row>
    <row r="195" spans="1:2" x14ac:dyDescent="0.3">
      <c r="A195" s="18"/>
      <c r="B195" s="11"/>
    </row>
    <row r="196" spans="1:2" x14ac:dyDescent="0.3">
      <c r="A196" s="18"/>
      <c r="B196" s="11"/>
    </row>
    <row r="197" spans="1:2" x14ac:dyDescent="0.3">
      <c r="A197" s="18"/>
      <c r="B197" s="11"/>
    </row>
    <row r="198" spans="1:2" x14ac:dyDescent="0.3">
      <c r="A198" s="18"/>
      <c r="B198" s="11"/>
    </row>
    <row r="199" spans="1:2" x14ac:dyDescent="0.3">
      <c r="A199" s="18"/>
      <c r="B199" s="11"/>
    </row>
    <row r="200" spans="1:2" x14ac:dyDescent="0.3">
      <c r="A200" s="18"/>
      <c r="B200" s="11"/>
    </row>
    <row r="201" spans="1:2" x14ac:dyDescent="0.3">
      <c r="A201" s="18"/>
      <c r="B201" s="11"/>
    </row>
    <row r="202" spans="1:2" x14ac:dyDescent="0.3">
      <c r="A202" s="18"/>
      <c r="B202" s="11"/>
    </row>
    <row r="203" spans="1:2" x14ac:dyDescent="0.3">
      <c r="A203" s="18"/>
      <c r="B203" s="11"/>
    </row>
    <row r="204" spans="1:2" x14ac:dyDescent="0.3">
      <c r="A204" s="18"/>
      <c r="B204" s="11"/>
    </row>
    <row r="205" spans="1:2" x14ac:dyDescent="0.3">
      <c r="A205" s="18"/>
      <c r="B205" s="11"/>
    </row>
    <row r="206" spans="1:2" x14ac:dyDescent="0.3">
      <c r="A206" s="18"/>
      <c r="B206" s="11"/>
    </row>
    <row r="207" spans="1:2" x14ac:dyDescent="0.3">
      <c r="A207" s="18"/>
      <c r="B207" s="11"/>
    </row>
    <row r="208" spans="1:2" x14ac:dyDescent="0.3">
      <c r="A208" s="18"/>
      <c r="B208" s="11"/>
    </row>
    <row r="209" spans="1:2" x14ac:dyDescent="0.3">
      <c r="A209" s="18"/>
      <c r="B209" s="11"/>
    </row>
    <row r="210" spans="1:2" x14ac:dyDescent="0.3">
      <c r="A210" s="18"/>
      <c r="B210" s="11"/>
    </row>
    <row r="211" spans="1:2" x14ac:dyDescent="0.3">
      <c r="A211" s="18"/>
      <c r="B211" s="11"/>
    </row>
    <row r="212" spans="1:2" x14ac:dyDescent="0.3">
      <c r="A212" s="18"/>
      <c r="B212" s="11"/>
    </row>
    <row r="213" spans="1:2" x14ac:dyDescent="0.3">
      <c r="A213" s="18"/>
      <c r="B213" s="11"/>
    </row>
    <row r="214" spans="1:2" x14ac:dyDescent="0.3">
      <c r="A214" s="18"/>
      <c r="B214" s="11"/>
    </row>
    <row r="215" spans="1:2" x14ac:dyDescent="0.3">
      <c r="A215" s="18"/>
      <c r="B215" s="11"/>
    </row>
    <row r="216" spans="1:2" x14ac:dyDescent="0.3">
      <c r="A216" s="18"/>
      <c r="B216" s="11"/>
    </row>
    <row r="217" spans="1:2" x14ac:dyDescent="0.3">
      <c r="A217" s="18"/>
      <c r="B217" s="11"/>
    </row>
    <row r="218" spans="1:2" x14ac:dyDescent="0.3">
      <c r="A218" s="18"/>
      <c r="B218" s="11"/>
    </row>
    <row r="219" spans="1:2" x14ac:dyDescent="0.3">
      <c r="A219" s="18"/>
      <c r="B219" s="11"/>
    </row>
    <row r="220" spans="1:2" x14ac:dyDescent="0.3">
      <c r="A220" s="18"/>
      <c r="B220" s="11"/>
    </row>
    <row r="221" spans="1:2" x14ac:dyDescent="0.3">
      <c r="A221" s="18"/>
      <c r="B221" s="11"/>
    </row>
    <row r="222" spans="1:2" x14ac:dyDescent="0.3">
      <c r="A222" s="18"/>
      <c r="B222" s="11"/>
    </row>
    <row r="223" spans="1:2" x14ac:dyDescent="0.3">
      <c r="A223" s="18"/>
      <c r="B223" s="11"/>
    </row>
    <row r="224" spans="1:2" x14ac:dyDescent="0.3">
      <c r="A224" s="18"/>
      <c r="B224" s="11"/>
    </row>
    <row r="225" spans="1:2" x14ac:dyDescent="0.3">
      <c r="A225" s="18"/>
      <c r="B225" s="11"/>
    </row>
    <row r="226" spans="1:2" x14ac:dyDescent="0.3">
      <c r="A226" s="18"/>
      <c r="B226" s="11"/>
    </row>
    <row r="227" spans="1:2" x14ac:dyDescent="0.3">
      <c r="A227" s="18"/>
      <c r="B227" s="11"/>
    </row>
    <row r="228" spans="1:2" x14ac:dyDescent="0.3">
      <c r="A228" s="18"/>
      <c r="B228" s="11"/>
    </row>
    <row r="229" spans="1:2" x14ac:dyDescent="0.3">
      <c r="A229" s="18"/>
      <c r="B229" s="11"/>
    </row>
    <row r="230" spans="1:2" x14ac:dyDescent="0.3">
      <c r="A230" s="18"/>
      <c r="B230" s="11"/>
    </row>
    <row r="231" spans="1:2" x14ac:dyDescent="0.3">
      <c r="A231" s="18"/>
      <c r="B231" s="11"/>
    </row>
    <row r="232" spans="1:2" x14ac:dyDescent="0.3">
      <c r="A232" s="18"/>
      <c r="B232" s="11"/>
    </row>
    <row r="233" spans="1:2" x14ac:dyDescent="0.3">
      <c r="A233" s="18"/>
      <c r="B233" s="11"/>
    </row>
    <row r="234" spans="1:2" x14ac:dyDescent="0.3">
      <c r="A234" s="18"/>
      <c r="B234" s="11"/>
    </row>
    <row r="235" spans="1:2" x14ac:dyDescent="0.3">
      <c r="A235" s="18"/>
      <c r="B235" s="11"/>
    </row>
    <row r="236" spans="1:2" x14ac:dyDescent="0.3">
      <c r="A236" s="18"/>
      <c r="B236" s="11"/>
    </row>
    <row r="237" spans="1:2" x14ac:dyDescent="0.3">
      <c r="A237" s="18"/>
      <c r="B237" s="11"/>
    </row>
    <row r="238" spans="1:2" x14ac:dyDescent="0.3">
      <c r="A238" s="18"/>
      <c r="B238" s="11"/>
    </row>
    <row r="239" spans="1:2" x14ac:dyDescent="0.3">
      <c r="A239" s="18"/>
      <c r="B239" s="11"/>
    </row>
    <row r="240" spans="1:2" x14ac:dyDescent="0.3">
      <c r="A240" s="18"/>
      <c r="B240" s="11"/>
    </row>
    <row r="241" spans="1:2" x14ac:dyDescent="0.3">
      <c r="A241" s="18"/>
      <c r="B241" s="11"/>
    </row>
    <row r="242" spans="1:2" x14ac:dyDescent="0.3">
      <c r="A242" s="18"/>
      <c r="B242" s="11"/>
    </row>
    <row r="243" spans="1:2" x14ac:dyDescent="0.3">
      <c r="A243" s="18"/>
      <c r="B243" s="11"/>
    </row>
    <row r="244" spans="1:2" x14ac:dyDescent="0.3">
      <c r="A244" s="18"/>
      <c r="B244" s="11"/>
    </row>
    <row r="245" spans="1:2" x14ac:dyDescent="0.3">
      <c r="A245" s="18"/>
      <c r="B245" s="11"/>
    </row>
    <row r="246" spans="1:2" x14ac:dyDescent="0.3">
      <c r="A246" s="18"/>
      <c r="B246" s="11"/>
    </row>
    <row r="247" spans="1:2" x14ac:dyDescent="0.3">
      <c r="A247" s="18"/>
      <c r="B247" s="11"/>
    </row>
    <row r="248" spans="1:2" x14ac:dyDescent="0.3">
      <c r="A248" s="18"/>
      <c r="B248" s="11"/>
    </row>
    <row r="249" spans="1:2" x14ac:dyDescent="0.3">
      <c r="A249" s="18"/>
      <c r="B249" s="11"/>
    </row>
    <row r="250" spans="1:2" x14ac:dyDescent="0.3">
      <c r="A250" s="18"/>
      <c r="B250" s="11"/>
    </row>
    <row r="251" spans="1:2" x14ac:dyDescent="0.3">
      <c r="A251" s="18"/>
      <c r="B251" s="11"/>
    </row>
    <row r="252" spans="1:2" x14ac:dyDescent="0.3">
      <c r="A252" s="18"/>
      <c r="B252" s="11"/>
    </row>
    <row r="253" spans="1:2" x14ac:dyDescent="0.3">
      <c r="A253" s="18"/>
      <c r="B253" s="11"/>
    </row>
    <row r="254" spans="1:2" x14ac:dyDescent="0.3">
      <c r="A254" s="18"/>
      <c r="B254" s="11"/>
    </row>
    <row r="255" spans="1:2" x14ac:dyDescent="0.3">
      <c r="A255" s="18"/>
      <c r="B255" s="11"/>
    </row>
    <row r="256" spans="1:2" x14ac:dyDescent="0.3">
      <c r="A256" s="18"/>
      <c r="B256" s="11"/>
    </row>
    <row r="257" spans="1:2" x14ac:dyDescent="0.3">
      <c r="A257" s="18"/>
      <c r="B257" s="11"/>
    </row>
    <row r="258" spans="1:2" x14ac:dyDescent="0.3">
      <c r="A258" s="18"/>
      <c r="B258" s="11"/>
    </row>
    <row r="259" spans="1:2" x14ac:dyDescent="0.3">
      <c r="A259" s="18"/>
      <c r="B259" s="11"/>
    </row>
    <row r="260" spans="1:2" x14ac:dyDescent="0.3">
      <c r="A260" s="18"/>
      <c r="B260" s="11"/>
    </row>
    <row r="261" spans="1:2" x14ac:dyDescent="0.3">
      <c r="A261" s="18"/>
      <c r="B261" s="11"/>
    </row>
    <row r="262" spans="1:2" x14ac:dyDescent="0.3">
      <c r="A262" s="18"/>
      <c r="B262" s="11"/>
    </row>
    <row r="263" spans="1:2" x14ac:dyDescent="0.3">
      <c r="A263" s="18"/>
      <c r="B263" s="11"/>
    </row>
    <row r="264" spans="1:2" x14ac:dyDescent="0.3">
      <c r="A264" s="18"/>
      <c r="B264" s="11"/>
    </row>
    <row r="265" spans="1:2" x14ac:dyDescent="0.3">
      <c r="A265" s="18"/>
      <c r="B265" s="11"/>
    </row>
    <row r="266" spans="1:2" x14ac:dyDescent="0.3">
      <c r="A266" s="18"/>
      <c r="B266" s="11"/>
    </row>
    <row r="267" spans="1:2" x14ac:dyDescent="0.3">
      <c r="A267" s="18"/>
      <c r="B267" s="11"/>
    </row>
    <row r="268" spans="1:2" x14ac:dyDescent="0.3">
      <c r="A268" s="18"/>
      <c r="B268" s="11"/>
    </row>
    <row r="269" spans="1:2" x14ac:dyDescent="0.3">
      <c r="A269" s="18"/>
      <c r="B269" s="11"/>
    </row>
    <row r="270" spans="1:2" x14ac:dyDescent="0.3">
      <c r="A270" s="18"/>
      <c r="B270" s="11"/>
    </row>
    <row r="271" spans="1:2" x14ac:dyDescent="0.3">
      <c r="A271" s="18"/>
      <c r="B271" s="11"/>
    </row>
    <row r="272" spans="1:2" x14ac:dyDescent="0.3">
      <c r="A272" s="18"/>
      <c r="B272" s="11"/>
    </row>
    <row r="273" spans="1:2" x14ac:dyDescent="0.3">
      <c r="A273" s="18"/>
      <c r="B273" s="11"/>
    </row>
    <row r="274" spans="1:2" x14ac:dyDescent="0.3">
      <c r="A274" s="18"/>
      <c r="B274" s="11"/>
    </row>
    <row r="275" spans="1:2" x14ac:dyDescent="0.3">
      <c r="A275" s="18"/>
      <c r="B275" s="11"/>
    </row>
    <row r="276" spans="1:2" x14ac:dyDescent="0.3">
      <c r="A276" s="18"/>
      <c r="B276" s="11"/>
    </row>
    <row r="277" spans="1:2" x14ac:dyDescent="0.3">
      <c r="A277" s="18"/>
      <c r="B277" s="11"/>
    </row>
    <row r="278" spans="1:2" x14ac:dyDescent="0.3">
      <c r="A278" s="18"/>
      <c r="B278" s="11"/>
    </row>
    <row r="279" spans="1:2" x14ac:dyDescent="0.3">
      <c r="A279" s="18"/>
      <c r="B279" s="11"/>
    </row>
    <row r="280" spans="1:2" x14ac:dyDescent="0.3">
      <c r="A280" s="18"/>
      <c r="B280" s="11"/>
    </row>
    <row r="281" spans="1:2" x14ac:dyDescent="0.3">
      <c r="A281" s="18"/>
      <c r="B281" s="11"/>
    </row>
    <row r="282" spans="1:2" x14ac:dyDescent="0.3">
      <c r="A282" s="18"/>
      <c r="B282" s="11"/>
    </row>
    <row r="283" spans="1:2" x14ac:dyDescent="0.3">
      <c r="A283" s="18"/>
      <c r="B283" s="11"/>
    </row>
    <row r="284" spans="1:2" x14ac:dyDescent="0.3">
      <c r="A284" s="18"/>
      <c r="B284" s="11"/>
    </row>
    <row r="285" spans="1:2" x14ac:dyDescent="0.3">
      <c r="A285" s="18"/>
      <c r="B285" s="11"/>
    </row>
    <row r="286" spans="1:2" x14ac:dyDescent="0.3">
      <c r="A286" s="18"/>
      <c r="B286" s="11"/>
    </row>
    <row r="287" spans="1:2" x14ac:dyDescent="0.3">
      <c r="A287" s="18"/>
      <c r="B287" s="11"/>
    </row>
    <row r="288" spans="1:2" x14ac:dyDescent="0.3">
      <c r="A288" s="18"/>
      <c r="B288" s="11"/>
    </row>
    <row r="289" spans="1:2" x14ac:dyDescent="0.3">
      <c r="A289" s="18"/>
      <c r="B289" s="11"/>
    </row>
    <row r="290" spans="1:2" x14ac:dyDescent="0.3">
      <c r="A290" s="18"/>
      <c r="B290" s="11"/>
    </row>
    <row r="291" spans="1:2" x14ac:dyDescent="0.3">
      <c r="A291" s="18"/>
      <c r="B291" s="11"/>
    </row>
    <row r="292" spans="1:2" x14ac:dyDescent="0.3">
      <c r="A292" s="18"/>
      <c r="B292" s="11"/>
    </row>
    <row r="293" spans="1:2" x14ac:dyDescent="0.3">
      <c r="A293" s="18"/>
      <c r="B293" s="11"/>
    </row>
    <row r="294" spans="1:2" x14ac:dyDescent="0.3">
      <c r="A294" s="18"/>
      <c r="B294" s="11"/>
    </row>
    <row r="295" spans="1:2" x14ac:dyDescent="0.3">
      <c r="A295" s="18"/>
      <c r="B295" s="11"/>
    </row>
    <row r="296" spans="1:2" x14ac:dyDescent="0.3">
      <c r="A296" s="18"/>
      <c r="B296" s="11"/>
    </row>
    <row r="297" spans="1:2" x14ac:dyDescent="0.3">
      <c r="A297" s="18"/>
      <c r="B297" s="11"/>
    </row>
    <row r="298" spans="1:2" x14ac:dyDescent="0.3">
      <c r="A298" s="18"/>
      <c r="B298" s="11"/>
    </row>
    <row r="299" spans="1:2" x14ac:dyDescent="0.3">
      <c r="A299" s="18"/>
      <c r="B299" s="11"/>
    </row>
    <row r="300" spans="1:2" x14ac:dyDescent="0.3">
      <c r="A300" s="18"/>
      <c r="B300" s="11"/>
    </row>
    <row r="301" spans="1:2" x14ac:dyDescent="0.3">
      <c r="A301" s="18"/>
      <c r="B301" s="11"/>
    </row>
    <row r="302" spans="1:2" x14ac:dyDescent="0.3">
      <c r="A302" s="18"/>
      <c r="B302" s="11"/>
    </row>
    <row r="303" spans="1:2" x14ac:dyDescent="0.3">
      <c r="A303" s="18"/>
      <c r="B303" s="11"/>
    </row>
    <row r="304" spans="1:2" x14ac:dyDescent="0.3">
      <c r="A304" s="18"/>
      <c r="B304" s="11"/>
    </row>
    <row r="305" spans="1:2" x14ac:dyDescent="0.3">
      <c r="A305" s="18"/>
      <c r="B305" s="11"/>
    </row>
    <row r="306" spans="1:2" x14ac:dyDescent="0.3">
      <c r="A306" s="18"/>
      <c r="B306" s="11"/>
    </row>
    <row r="307" spans="1:2" x14ac:dyDescent="0.3">
      <c r="A307" s="18"/>
      <c r="B307" s="11"/>
    </row>
    <row r="308" spans="1:2" x14ac:dyDescent="0.3">
      <c r="A308" s="18"/>
      <c r="B308" s="11"/>
    </row>
    <row r="309" spans="1:2" x14ac:dyDescent="0.3">
      <c r="A309" s="18"/>
      <c r="B309" s="11"/>
    </row>
    <row r="310" spans="1:2" x14ac:dyDescent="0.3">
      <c r="A310" s="18"/>
      <c r="B310" s="11"/>
    </row>
    <row r="311" spans="1:2" x14ac:dyDescent="0.3">
      <c r="A311" s="18"/>
      <c r="B311" s="11"/>
    </row>
    <row r="312" spans="1:2" x14ac:dyDescent="0.3">
      <c r="A312" s="18"/>
      <c r="B312" s="11"/>
    </row>
    <row r="313" spans="1:2" x14ac:dyDescent="0.3">
      <c r="A313" s="18"/>
      <c r="B313" s="11"/>
    </row>
    <row r="314" spans="1:2" x14ac:dyDescent="0.3">
      <c r="A314" s="18"/>
      <c r="B314" s="11"/>
    </row>
    <row r="315" spans="1:2" x14ac:dyDescent="0.3">
      <c r="A315" s="18"/>
      <c r="B315" s="11"/>
    </row>
    <row r="316" spans="1:2" x14ac:dyDescent="0.3">
      <c r="A316" s="18"/>
      <c r="B316" s="11"/>
    </row>
    <row r="317" spans="1:2" x14ac:dyDescent="0.3">
      <c r="A317" s="18"/>
      <c r="B317" s="11"/>
    </row>
    <row r="318" spans="1:2" x14ac:dyDescent="0.3">
      <c r="A318" s="18"/>
      <c r="B318" s="11"/>
    </row>
    <row r="319" spans="1:2" x14ac:dyDescent="0.3">
      <c r="A319" s="18"/>
      <c r="B319" s="11"/>
    </row>
    <row r="320" spans="1:2" x14ac:dyDescent="0.3">
      <c r="A320" s="18"/>
      <c r="B320" s="11"/>
    </row>
    <row r="321" spans="1:2" x14ac:dyDescent="0.3">
      <c r="A321" s="18"/>
      <c r="B321" s="11"/>
    </row>
    <row r="322" spans="1:2" x14ac:dyDescent="0.3">
      <c r="A322" s="18"/>
      <c r="B322" s="11"/>
    </row>
    <row r="323" spans="1:2" x14ac:dyDescent="0.3">
      <c r="A323" s="18"/>
      <c r="B323" s="11"/>
    </row>
    <row r="324" spans="1:2" x14ac:dyDescent="0.3">
      <c r="A324" s="18"/>
      <c r="B324" s="11"/>
    </row>
    <row r="325" spans="1:2" x14ac:dyDescent="0.3">
      <c r="A325" s="18"/>
      <c r="B325" s="11"/>
    </row>
    <row r="326" spans="1:2" x14ac:dyDescent="0.3">
      <c r="A326" s="18"/>
      <c r="B326" s="11"/>
    </row>
    <row r="327" spans="1:2" x14ac:dyDescent="0.3">
      <c r="A327" s="18"/>
      <c r="B327" s="11"/>
    </row>
    <row r="328" spans="1:2" x14ac:dyDescent="0.3">
      <c r="A328" s="18"/>
      <c r="B328" s="11"/>
    </row>
    <row r="329" spans="1:2" x14ac:dyDescent="0.3">
      <c r="A329" s="18"/>
      <c r="B329" s="11"/>
    </row>
    <row r="330" spans="1:2" x14ac:dyDescent="0.3">
      <c r="A330" s="18"/>
      <c r="B330" s="11"/>
    </row>
    <row r="331" spans="1:2" x14ac:dyDescent="0.3">
      <c r="A331" s="18"/>
      <c r="B331" s="11"/>
    </row>
    <row r="332" spans="1:2" x14ac:dyDescent="0.3">
      <c r="A332" s="18"/>
      <c r="B332" s="11"/>
    </row>
    <row r="333" spans="1:2" x14ac:dyDescent="0.3">
      <c r="A333" s="18"/>
      <c r="B333" s="11"/>
    </row>
    <row r="334" spans="1:2" x14ac:dyDescent="0.3">
      <c r="A334" s="18"/>
      <c r="B334" s="11"/>
    </row>
    <row r="335" spans="1:2" x14ac:dyDescent="0.3">
      <c r="A335" s="18"/>
      <c r="B335" s="11"/>
    </row>
    <row r="336" spans="1:2" x14ac:dyDescent="0.3">
      <c r="A336" s="18"/>
      <c r="B336" s="11"/>
    </row>
    <row r="337" spans="1:2" x14ac:dyDescent="0.3">
      <c r="A337" s="18"/>
      <c r="B337" s="11"/>
    </row>
    <row r="338" spans="1:2" x14ac:dyDescent="0.3">
      <c r="A338" s="18"/>
      <c r="B338" s="11"/>
    </row>
    <row r="339" spans="1:2" x14ac:dyDescent="0.3">
      <c r="A339" s="18"/>
      <c r="B339" s="11"/>
    </row>
    <row r="340" spans="1:2" x14ac:dyDescent="0.3">
      <c r="A340" s="18"/>
      <c r="B340" s="11"/>
    </row>
    <row r="341" spans="1:2" x14ac:dyDescent="0.3">
      <c r="A341" s="18"/>
      <c r="B341" s="11"/>
    </row>
    <row r="342" spans="1:2" x14ac:dyDescent="0.3">
      <c r="A342" s="18"/>
      <c r="B342" s="11"/>
    </row>
    <row r="343" spans="1:2" x14ac:dyDescent="0.3">
      <c r="A343" s="18"/>
      <c r="B343" s="11"/>
    </row>
    <row r="344" spans="1:2" x14ac:dyDescent="0.3">
      <c r="A344" s="18"/>
      <c r="B344" s="11"/>
    </row>
    <row r="345" spans="1:2" x14ac:dyDescent="0.3">
      <c r="A345" s="18"/>
      <c r="B345" s="11"/>
    </row>
    <row r="346" spans="1:2" x14ac:dyDescent="0.3">
      <c r="A346" s="18"/>
      <c r="B346" s="11"/>
    </row>
    <row r="347" spans="1:2" x14ac:dyDescent="0.3">
      <c r="A347" s="18"/>
      <c r="B347" s="11"/>
    </row>
    <row r="348" spans="1:2" x14ac:dyDescent="0.3">
      <c r="A348" s="18"/>
      <c r="B348" s="11"/>
    </row>
    <row r="349" spans="1:2" x14ac:dyDescent="0.3">
      <c r="A349" s="18"/>
      <c r="B349" s="11"/>
    </row>
    <row r="350" spans="1:2" x14ac:dyDescent="0.3">
      <c r="A350" s="18"/>
      <c r="B350" s="11"/>
    </row>
    <row r="351" spans="1:2" x14ac:dyDescent="0.3">
      <c r="A351" s="18"/>
      <c r="B351" s="11"/>
    </row>
    <row r="352" spans="1:2" x14ac:dyDescent="0.3">
      <c r="A352" s="18"/>
      <c r="B352" s="11"/>
    </row>
    <row r="353" spans="1:2" x14ac:dyDescent="0.3">
      <c r="A353" s="18"/>
      <c r="B353" s="11"/>
    </row>
    <row r="354" spans="1:2" x14ac:dyDescent="0.3">
      <c r="A354" s="18"/>
      <c r="B354" s="11"/>
    </row>
    <row r="355" spans="1:2" x14ac:dyDescent="0.3">
      <c r="A355" s="18"/>
      <c r="B355" s="11"/>
    </row>
    <row r="356" spans="1:2" x14ac:dyDescent="0.3">
      <c r="A356" s="18"/>
      <c r="B356" s="11"/>
    </row>
    <row r="357" spans="1:2" x14ac:dyDescent="0.3">
      <c r="A357" s="18"/>
      <c r="B357" s="11"/>
    </row>
    <row r="358" spans="1:2" x14ac:dyDescent="0.3">
      <c r="A358" s="18"/>
      <c r="B358" s="11"/>
    </row>
    <row r="359" spans="1:2" x14ac:dyDescent="0.3">
      <c r="A359" s="18"/>
      <c r="B359" s="11"/>
    </row>
    <row r="360" spans="1:2" x14ac:dyDescent="0.3">
      <c r="A360" s="18"/>
      <c r="B360" s="11"/>
    </row>
    <row r="361" spans="1:2" x14ac:dyDescent="0.3">
      <c r="A361" s="18"/>
      <c r="B361" s="11"/>
    </row>
    <row r="362" spans="1:2" x14ac:dyDescent="0.3">
      <c r="A362" s="18"/>
      <c r="B362" s="11"/>
    </row>
    <row r="363" spans="1:2" x14ac:dyDescent="0.3">
      <c r="A363" s="18"/>
      <c r="B363" s="11"/>
    </row>
    <row r="364" spans="1:2" x14ac:dyDescent="0.3">
      <c r="A364" s="18"/>
      <c r="B364" s="11"/>
    </row>
    <row r="365" spans="1:2" x14ac:dyDescent="0.3">
      <c r="A365" s="18"/>
      <c r="B365" s="11"/>
    </row>
    <row r="366" spans="1:2" x14ac:dyDescent="0.3">
      <c r="A366" s="18"/>
      <c r="B366" s="11"/>
    </row>
    <row r="367" spans="1:2" x14ac:dyDescent="0.3">
      <c r="A367" s="18"/>
      <c r="B367" s="11"/>
    </row>
    <row r="368" spans="1:2" x14ac:dyDescent="0.3">
      <c r="A368" s="18"/>
      <c r="B368" s="11"/>
    </row>
    <row r="369" spans="1:2" x14ac:dyDescent="0.3">
      <c r="A369" s="18"/>
      <c r="B369" s="11"/>
    </row>
    <row r="370" spans="1:2" x14ac:dyDescent="0.3">
      <c r="A370" s="18"/>
      <c r="B370" s="11"/>
    </row>
    <row r="371" spans="1:2" x14ac:dyDescent="0.3">
      <c r="A371" s="18"/>
      <c r="B371" s="11"/>
    </row>
    <row r="372" spans="1:2" x14ac:dyDescent="0.3">
      <c r="A372" s="18"/>
      <c r="B372" s="11"/>
    </row>
    <row r="373" spans="1:2" x14ac:dyDescent="0.3">
      <c r="A373" s="18"/>
      <c r="B373" s="11"/>
    </row>
    <row r="374" spans="1:2" x14ac:dyDescent="0.3">
      <c r="A374" s="18"/>
      <c r="B374" s="11"/>
    </row>
    <row r="375" spans="1:2" x14ac:dyDescent="0.3">
      <c r="A375" s="18"/>
      <c r="B375" s="11"/>
    </row>
    <row r="376" spans="1:2" x14ac:dyDescent="0.3">
      <c r="A376" s="18"/>
      <c r="B376" s="11"/>
    </row>
    <row r="377" spans="1:2" x14ac:dyDescent="0.3">
      <c r="A377" s="18"/>
      <c r="B377" s="11"/>
    </row>
    <row r="378" spans="1:2" x14ac:dyDescent="0.3">
      <c r="A378" s="18"/>
      <c r="B378" s="11"/>
    </row>
    <row r="379" spans="1:2" x14ac:dyDescent="0.3">
      <c r="A379" s="18"/>
      <c r="B379" s="11"/>
    </row>
    <row r="380" spans="1:2" x14ac:dyDescent="0.3">
      <c r="A380" s="18"/>
      <c r="B380" s="11"/>
    </row>
    <row r="381" spans="1:2" x14ac:dyDescent="0.3">
      <c r="A381" s="18"/>
      <c r="B381" s="11"/>
    </row>
    <row r="382" spans="1:2" x14ac:dyDescent="0.3">
      <c r="A382" s="18"/>
      <c r="B382" s="11"/>
    </row>
    <row r="383" spans="1:2" x14ac:dyDescent="0.3">
      <c r="A383" s="18"/>
      <c r="B383" s="11"/>
    </row>
    <row r="384" spans="1:2" x14ac:dyDescent="0.3">
      <c r="A384" s="18"/>
      <c r="B384" s="11"/>
    </row>
    <row r="385" spans="1:2" x14ac:dyDescent="0.3">
      <c r="A385" s="18"/>
      <c r="B385" s="11"/>
    </row>
    <row r="386" spans="1:2" x14ac:dyDescent="0.3">
      <c r="A386" s="18"/>
      <c r="B386" s="11"/>
    </row>
    <row r="387" spans="1:2" x14ac:dyDescent="0.3">
      <c r="A387" s="18"/>
      <c r="B387" s="11"/>
    </row>
    <row r="388" spans="1:2" x14ac:dyDescent="0.3">
      <c r="A388" s="18"/>
      <c r="B388" s="11"/>
    </row>
    <row r="389" spans="1:2" x14ac:dyDescent="0.3">
      <c r="A389" s="18"/>
      <c r="B389" s="11"/>
    </row>
    <row r="390" spans="1:2" x14ac:dyDescent="0.3">
      <c r="A390" s="18"/>
      <c r="B390" s="11"/>
    </row>
    <row r="391" spans="1:2" x14ac:dyDescent="0.3">
      <c r="A391" s="18"/>
      <c r="B391" s="11"/>
    </row>
    <row r="392" spans="1:2" x14ac:dyDescent="0.3">
      <c r="A392" s="18"/>
      <c r="B392" s="11"/>
    </row>
    <row r="393" spans="1:2" x14ac:dyDescent="0.3">
      <c r="A393" s="18"/>
      <c r="B393" s="11"/>
    </row>
    <row r="394" spans="1:2" x14ac:dyDescent="0.3">
      <c r="A394" s="18"/>
      <c r="B394" s="11"/>
    </row>
    <row r="395" spans="1:2" x14ac:dyDescent="0.3">
      <c r="A395" s="18"/>
      <c r="B395" s="11"/>
    </row>
    <row r="396" spans="1:2" x14ac:dyDescent="0.3">
      <c r="A396" s="18"/>
      <c r="B396" s="11"/>
    </row>
    <row r="397" spans="1:2" x14ac:dyDescent="0.3">
      <c r="A397" s="18"/>
      <c r="B397" s="11"/>
    </row>
    <row r="398" spans="1:2" x14ac:dyDescent="0.3">
      <c r="A398" s="18"/>
      <c r="B398" s="11"/>
    </row>
    <row r="399" spans="1:2" x14ac:dyDescent="0.3">
      <c r="A399" s="18"/>
      <c r="B399" s="11"/>
    </row>
    <row r="400" spans="1:2" x14ac:dyDescent="0.3">
      <c r="A400" s="18"/>
      <c r="B400" s="11"/>
    </row>
    <row r="401" spans="1:2" x14ac:dyDescent="0.3">
      <c r="A401" s="18"/>
      <c r="B401" s="11"/>
    </row>
    <row r="402" spans="1:2" x14ac:dyDescent="0.3">
      <c r="A402" s="18"/>
      <c r="B402" s="11"/>
    </row>
    <row r="403" spans="1:2" x14ac:dyDescent="0.3">
      <c r="A403" s="18"/>
      <c r="B403" s="11"/>
    </row>
    <row r="404" spans="1:2" x14ac:dyDescent="0.3">
      <c r="A404" s="18"/>
      <c r="B404" s="11"/>
    </row>
    <row r="405" spans="1:2" x14ac:dyDescent="0.3">
      <c r="A405" s="18"/>
      <c r="B405" s="11"/>
    </row>
    <row r="406" spans="1:2" x14ac:dyDescent="0.3">
      <c r="A406" s="18"/>
      <c r="B406" s="11"/>
    </row>
    <row r="407" spans="1:2" x14ac:dyDescent="0.3">
      <c r="A407" s="18"/>
      <c r="B407" s="11"/>
    </row>
    <row r="408" spans="1:2" x14ac:dyDescent="0.3">
      <c r="A408" s="18"/>
      <c r="B408" s="11"/>
    </row>
    <row r="409" spans="1:2" x14ac:dyDescent="0.3">
      <c r="A409" s="18"/>
      <c r="B409" s="11"/>
    </row>
    <row r="410" spans="1:2" x14ac:dyDescent="0.3">
      <c r="A410" s="18"/>
      <c r="B410" s="11"/>
    </row>
    <row r="411" spans="1:2" x14ac:dyDescent="0.3">
      <c r="A411" s="18"/>
      <c r="B411" s="11"/>
    </row>
    <row r="412" spans="1:2" x14ac:dyDescent="0.3">
      <c r="A412" s="18"/>
      <c r="B412" s="11"/>
    </row>
    <row r="413" spans="1:2" x14ac:dyDescent="0.3">
      <c r="A413" s="18"/>
      <c r="B413" s="11"/>
    </row>
    <row r="414" spans="1:2" x14ac:dyDescent="0.3">
      <c r="A414" s="18"/>
      <c r="B414" s="11"/>
    </row>
    <row r="415" spans="1:2" x14ac:dyDescent="0.3">
      <c r="A415" s="18"/>
      <c r="B415" s="11"/>
    </row>
    <row r="416" spans="1:2" x14ac:dyDescent="0.3">
      <c r="A416" s="18"/>
      <c r="B416" s="11"/>
    </row>
    <row r="417" spans="1:2" x14ac:dyDescent="0.3">
      <c r="A417" s="18"/>
      <c r="B417" s="11"/>
    </row>
    <row r="418" spans="1:2" x14ac:dyDescent="0.3">
      <c r="A418" s="18"/>
      <c r="B418" s="11"/>
    </row>
    <row r="419" spans="1:2" x14ac:dyDescent="0.3">
      <c r="A419" s="18"/>
      <c r="B419" s="11"/>
    </row>
    <row r="420" spans="1:2" x14ac:dyDescent="0.3">
      <c r="A420" s="18"/>
      <c r="B420" s="11"/>
    </row>
    <row r="421" spans="1:2" x14ac:dyDescent="0.3">
      <c r="A421" s="18"/>
      <c r="B421" s="11"/>
    </row>
    <row r="422" spans="1:2" x14ac:dyDescent="0.3">
      <c r="A422" s="18"/>
      <c r="B422" s="11"/>
    </row>
    <row r="423" spans="1:2" x14ac:dyDescent="0.3">
      <c r="A423" s="18"/>
      <c r="B423" s="11"/>
    </row>
    <row r="424" spans="1:2" x14ac:dyDescent="0.3">
      <c r="A424" s="18"/>
      <c r="B424" s="11"/>
    </row>
    <row r="425" spans="1:2" x14ac:dyDescent="0.3">
      <c r="A425" s="18"/>
      <c r="B425" s="11"/>
    </row>
    <row r="426" spans="1:2" x14ac:dyDescent="0.3">
      <c r="A426" s="18"/>
      <c r="B426" s="11"/>
    </row>
    <row r="427" spans="1:2" x14ac:dyDescent="0.3">
      <c r="A427" s="18"/>
      <c r="B427" s="11"/>
    </row>
    <row r="428" spans="1:2" x14ac:dyDescent="0.3">
      <c r="A428" s="18"/>
      <c r="B428" s="11"/>
    </row>
    <row r="429" spans="1:2" x14ac:dyDescent="0.3">
      <c r="A429" s="18"/>
      <c r="B429" s="11"/>
    </row>
    <row r="430" spans="1:2" x14ac:dyDescent="0.3">
      <c r="A430" s="18"/>
      <c r="B430" s="11"/>
    </row>
    <row r="431" spans="1:2" x14ac:dyDescent="0.3">
      <c r="A431" s="18"/>
      <c r="B431" s="11"/>
    </row>
    <row r="432" spans="1:2" x14ac:dyDescent="0.3">
      <c r="A432" s="18"/>
      <c r="B432" s="11"/>
    </row>
    <row r="433" spans="1:2" x14ac:dyDescent="0.3">
      <c r="A433" s="18"/>
      <c r="B433" s="11"/>
    </row>
    <row r="434" spans="1:2" x14ac:dyDescent="0.3">
      <c r="A434" s="18"/>
      <c r="B434" s="11"/>
    </row>
    <row r="435" spans="1:2" x14ac:dyDescent="0.3">
      <c r="A435" s="18"/>
      <c r="B435" s="11"/>
    </row>
    <row r="436" spans="1:2" x14ac:dyDescent="0.3">
      <c r="A436" s="18"/>
      <c r="B436" s="11"/>
    </row>
    <row r="437" spans="1:2" x14ac:dyDescent="0.3">
      <c r="A437" s="18"/>
      <c r="B437" s="11"/>
    </row>
    <row r="438" spans="1:2" x14ac:dyDescent="0.3">
      <c r="A438" s="18"/>
      <c r="B438" s="11"/>
    </row>
    <row r="439" spans="1:2" x14ac:dyDescent="0.3">
      <c r="A439" s="18"/>
      <c r="B439" s="11"/>
    </row>
    <row r="440" spans="1:2" x14ac:dyDescent="0.3">
      <c r="A440" s="18"/>
      <c r="B440" s="11"/>
    </row>
    <row r="441" spans="1:2" x14ac:dyDescent="0.3">
      <c r="A441" s="18"/>
      <c r="B441" s="11"/>
    </row>
    <row r="442" spans="1:2" x14ac:dyDescent="0.3">
      <c r="A442" s="18"/>
      <c r="B442" s="11"/>
    </row>
    <row r="443" spans="1:2" x14ac:dyDescent="0.3">
      <c r="A443" s="18"/>
      <c r="B443" s="11"/>
    </row>
    <row r="444" spans="1:2" x14ac:dyDescent="0.3">
      <c r="A444" s="18"/>
      <c r="B444" s="11"/>
    </row>
    <row r="445" spans="1:2" x14ac:dyDescent="0.3">
      <c r="A445" s="18"/>
      <c r="B445" s="11"/>
    </row>
    <row r="446" spans="1:2" x14ac:dyDescent="0.3">
      <c r="A446" s="18"/>
      <c r="B446" s="11"/>
    </row>
    <row r="447" spans="1:2" x14ac:dyDescent="0.3">
      <c r="A447" s="18"/>
      <c r="B447" s="11"/>
    </row>
    <row r="448" spans="1:2" x14ac:dyDescent="0.3">
      <c r="A448" s="18"/>
      <c r="B448" s="11"/>
    </row>
    <row r="449" spans="1:2" x14ac:dyDescent="0.3">
      <c r="A449" s="18"/>
      <c r="B449" s="11"/>
    </row>
    <row r="450" spans="1:2" x14ac:dyDescent="0.3">
      <c r="A450" s="18"/>
      <c r="B450" s="11"/>
    </row>
    <row r="451" spans="1:2" x14ac:dyDescent="0.3">
      <c r="A451" s="18"/>
      <c r="B451" s="11"/>
    </row>
    <row r="452" spans="1:2" x14ac:dyDescent="0.3">
      <c r="A452" s="18"/>
      <c r="B452" s="11"/>
    </row>
    <row r="453" spans="1:2" x14ac:dyDescent="0.3">
      <c r="A453" s="18"/>
      <c r="B453" s="11"/>
    </row>
    <row r="454" spans="1:2" x14ac:dyDescent="0.3">
      <c r="A454" s="18"/>
      <c r="B454" s="11"/>
    </row>
    <row r="455" spans="1:2" x14ac:dyDescent="0.3">
      <c r="A455" s="18"/>
      <c r="B455" s="11"/>
    </row>
    <row r="456" spans="1:2" x14ac:dyDescent="0.3">
      <c r="A456" s="18"/>
      <c r="B456" s="11"/>
    </row>
    <row r="457" spans="1:2" x14ac:dyDescent="0.3">
      <c r="A457" s="18"/>
      <c r="B457" s="11"/>
    </row>
    <row r="458" spans="1:2" x14ac:dyDescent="0.3">
      <c r="A458" s="18"/>
      <c r="B458" s="11"/>
    </row>
    <row r="459" spans="1:2" x14ac:dyDescent="0.3">
      <c r="A459" s="18"/>
      <c r="B459" s="11"/>
    </row>
    <row r="460" spans="1:2" x14ac:dyDescent="0.3">
      <c r="A460" s="18"/>
      <c r="B460" s="11"/>
    </row>
    <row r="461" spans="1:2" x14ac:dyDescent="0.3">
      <c r="A461" s="18"/>
      <c r="B461" s="11"/>
    </row>
    <row r="462" spans="1:2" x14ac:dyDescent="0.3">
      <c r="A462" s="18"/>
      <c r="B462" s="11"/>
    </row>
    <row r="463" spans="1:2" x14ac:dyDescent="0.3">
      <c r="A463" s="18"/>
      <c r="B463" s="11"/>
    </row>
    <row r="464" spans="1:2" x14ac:dyDescent="0.3">
      <c r="A464" s="18"/>
      <c r="B464" s="11"/>
    </row>
    <row r="465" spans="1:2" x14ac:dyDescent="0.3">
      <c r="A465" s="18"/>
      <c r="B465" s="11"/>
    </row>
    <row r="466" spans="1:2" x14ac:dyDescent="0.3">
      <c r="A466" s="18"/>
      <c r="B466" s="11"/>
    </row>
    <row r="467" spans="1:2" x14ac:dyDescent="0.3">
      <c r="A467" s="18"/>
      <c r="B467" s="11"/>
    </row>
    <row r="468" spans="1:2" x14ac:dyDescent="0.3">
      <c r="A468" s="18"/>
      <c r="B468" s="11"/>
    </row>
    <row r="469" spans="1:2" x14ac:dyDescent="0.3">
      <c r="A469" s="18"/>
      <c r="B469" s="11"/>
    </row>
    <row r="470" spans="1:2" x14ac:dyDescent="0.3">
      <c r="A470" s="18"/>
      <c r="B470" s="11"/>
    </row>
    <row r="471" spans="1:2" x14ac:dyDescent="0.3">
      <c r="A471" s="18"/>
      <c r="B471" s="11"/>
    </row>
    <row r="472" spans="1:2" x14ac:dyDescent="0.3">
      <c r="A472" s="18"/>
      <c r="B472" s="11"/>
    </row>
    <row r="473" spans="1:2" x14ac:dyDescent="0.3">
      <c r="A473" s="18"/>
      <c r="B473" s="11"/>
    </row>
    <row r="474" spans="1:2" x14ac:dyDescent="0.3">
      <c r="A474" s="18"/>
      <c r="B474" s="11"/>
    </row>
    <row r="475" spans="1:2" x14ac:dyDescent="0.3">
      <c r="A475" s="18"/>
      <c r="B475" s="11"/>
    </row>
    <row r="476" spans="1:2" x14ac:dyDescent="0.3">
      <c r="A476" s="18"/>
      <c r="B476" s="11"/>
    </row>
    <row r="477" spans="1:2" x14ac:dyDescent="0.3">
      <c r="A477" s="18"/>
      <c r="B477" s="11"/>
    </row>
    <row r="478" spans="1:2" x14ac:dyDescent="0.3">
      <c r="A478" s="18"/>
      <c r="B478" s="11"/>
    </row>
    <row r="479" spans="1:2" x14ac:dyDescent="0.3">
      <c r="A479" s="18"/>
      <c r="B479" s="11"/>
    </row>
    <row r="480" spans="1:2" x14ac:dyDescent="0.3">
      <c r="A480" s="18"/>
      <c r="B480" s="11"/>
    </row>
    <row r="481" spans="1:2" x14ac:dyDescent="0.3">
      <c r="A481" s="18"/>
      <c r="B481" s="11"/>
    </row>
    <row r="482" spans="1:2" x14ac:dyDescent="0.3">
      <c r="A482" s="18"/>
      <c r="B482" s="11"/>
    </row>
    <row r="483" spans="1:2" x14ac:dyDescent="0.3">
      <c r="A483" s="18"/>
      <c r="B483" s="11"/>
    </row>
    <row r="484" spans="1:2" x14ac:dyDescent="0.3">
      <c r="A484" s="18"/>
      <c r="B484" s="11"/>
    </row>
    <row r="485" spans="1:2" x14ac:dyDescent="0.3">
      <c r="A485" s="18"/>
      <c r="B485" s="11"/>
    </row>
    <row r="486" spans="1:2" x14ac:dyDescent="0.3">
      <c r="A486" s="18"/>
      <c r="B486" s="11"/>
    </row>
    <row r="487" spans="1:2" x14ac:dyDescent="0.3">
      <c r="A487" s="18"/>
      <c r="B487" s="11"/>
    </row>
    <row r="488" spans="1:2" x14ac:dyDescent="0.3">
      <c r="A488" s="18"/>
      <c r="B488" s="11"/>
    </row>
    <row r="489" spans="1:2" x14ac:dyDescent="0.3">
      <c r="A489" s="18"/>
      <c r="B489" s="11"/>
    </row>
    <row r="490" spans="1:2" x14ac:dyDescent="0.3">
      <c r="A490" s="18"/>
      <c r="B490" s="11"/>
    </row>
    <row r="491" spans="1:2" x14ac:dyDescent="0.3">
      <c r="A491" s="18"/>
      <c r="B491" s="11"/>
    </row>
    <row r="492" spans="1:2" x14ac:dyDescent="0.3">
      <c r="A492" s="18"/>
      <c r="B492" s="20"/>
    </row>
    <row r="493" spans="1:2" x14ac:dyDescent="0.3">
      <c r="A493" s="18"/>
      <c r="B493" s="20"/>
    </row>
    <row r="494" spans="1:2" x14ac:dyDescent="0.3">
      <c r="A494" s="18"/>
      <c r="B494" s="20"/>
    </row>
    <row r="495" spans="1:2" x14ac:dyDescent="0.3">
      <c r="A495" s="18"/>
      <c r="B495" s="20"/>
    </row>
    <row r="496" spans="1:2" x14ac:dyDescent="0.3">
      <c r="A496" s="18"/>
      <c r="B496" s="20"/>
    </row>
    <row r="497" spans="1:2" x14ac:dyDescent="0.3">
      <c r="A497" s="18"/>
      <c r="B497" s="20"/>
    </row>
    <row r="498" spans="1:2" x14ac:dyDescent="0.3">
      <c r="A498" s="18"/>
      <c r="B498" s="20"/>
    </row>
    <row r="499" spans="1:2" x14ac:dyDescent="0.3">
      <c r="A499" s="18"/>
      <c r="B499" s="20"/>
    </row>
    <row r="500" spans="1:2" x14ac:dyDescent="0.3">
      <c r="A500" s="18"/>
      <c r="B500" s="20"/>
    </row>
    <row r="501" spans="1:2" x14ac:dyDescent="0.3">
      <c r="A501" s="18"/>
      <c r="B501" s="20"/>
    </row>
    <row r="502" spans="1:2" x14ac:dyDescent="0.3">
      <c r="A502" s="18"/>
      <c r="B502" s="20"/>
    </row>
    <row r="503" spans="1:2" x14ac:dyDescent="0.3">
      <c r="A503" s="18"/>
      <c r="B503" s="20"/>
    </row>
    <row r="504" spans="1:2" x14ac:dyDescent="0.3">
      <c r="A504" s="18"/>
      <c r="B504" s="20"/>
    </row>
    <row r="505" spans="1:2" x14ac:dyDescent="0.3">
      <c r="A505" s="18"/>
      <c r="B505" s="20"/>
    </row>
    <row r="506" spans="1:2" x14ac:dyDescent="0.3">
      <c r="A506" s="18"/>
      <c r="B506" s="20"/>
    </row>
    <row r="507" spans="1:2" x14ac:dyDescent="0.3">
      <c r="A507" s="18"/>
      <c r="B507" s="20"/>
    </row>
    <row r="508" spans="1:2" x14ac:dyDescent="0.3">
      <c r="A508" s="18"/>
      <c r="B508" s="20"/>
    </row>
    <row r="509" spans="1:2" x14ac:dyDescent="0.3">
      <c r="A509" s="18"/>
      <c r="B509" s="20"/>
    </row>
    <row r="510" spans="1:2" x14ac:dyDescent="0.3">
      <c r="A510" s="18"/>
      <c r="B510" s="20"/>
    </row>
    <row r="511" spans="1:2" x14ac:dyDescent="0.3">
      <c r="A511" s="18"/>
      <c r="B511" s="20"/>
    </row>
    <row r="512" spans="1:2" x14ac:dyDescent="0.3">
      <c r="A512" s="18"/>
      <c r="B512" s="20"/>
    </row>
    <row r="513" spans="1:2" x14ac:dyDescent="0.3">
      <c r="A513" s="18"/>
      <c r="B513" s="20"/>
    </row>
    <row r="514" spans="1:2" x14ac:dyDescent="0.3">
      <c r="A514" s="18"/>
      <c r="B514" s="20"/>
    </row>
    <row r="515" spans="1:2" x14ac:dyDescent="0.3">
      <c r="A515" s="18"/>
      <c r="B515" s="20"/>
    </row>
    <row r="516" spans="1:2" x14ac:dyDescent="0.3">
      <c r="A516" s="18"/>
      <c r="B516" s="20"/>
    </row>
    <row r="517" spans="1:2" x14ac:dyDescent="0.3">
      <c r="A517" s="18"/>
      <c r="B517" s="20"/>
    </row>
    <row r="518" spans="1:2" x14ac:dyDescent="0.3">
      <c r="A518" s="18"/>
      <c r="B518" s="20"/>
    </row>
    <row r="519" spans="1:2" x14ac:dyDescent="0.3">
      <c r="A519" s="18"/>
      <c r="B519" s="20"/>
    </row>
    <row r="520" spans="1:2" x14ac:dyDescent="0.3">
      <c r="A520" s="18"/>
      <c r="B520" s="20"/>
    </row>
    <row r="521" spans="1:2" x14ac:dyDescent="0.3">
      <c r="A521" s="18"/>
      <c r="B521" s="11"/>
    </row>
    <row r="522" spans="1:2" x14ac:dyDescent="0.3">
      <c r="A522" s="18"/>
      <c r="B522" s="11"/>
    </row>
    <row r="523" spans="1:2" x14ac:dyDescent="0.3">
      <c r="A523" s="18"/>
      <c r="B523" s="11"/>
    </row>
    <row r="524" spans="1:2" x14ac:dyDescent="0.3">
      <c r="A524" s="18"/>
      <c r="B524" s="11"/>
    </row>
    <row r="525" spans="1:2" x14ac:dyDescent="0.3">
      <c r="A525" s="18"/>
      <c r="B525" s="11"/>
    </row>
    <row r="526" spans="1:2" x14ac:dyDescent="0.3">
      <c r="A526" s="18"/>
      <c r="B526" s="11"/>
    </row>
    <row r="527" spans="1:2" x14ac:dyDescent="0.3">
      <c r="A527" s="18"/>
      <c r="B527" s="11"/>
    </row>
    <row r="528" spans="1:2" x14ac:dyDescent="0.3">
      <c r="A528" s="18"/>
      <c r="B528" s="11"/>
    </row>
    <row r="529" spans="1:2" x14ac:dyDescent="0.3">
      <c r="A529" s="18"/>
      <c r="B529" s="11"/>
    </row>
    <row r="530" spans="1:2" x14ac:dyDescent="0.3">
      <c r="A530" s="18"/>
      <c r="B530" s="11"/>
    </row>
    <row r="531" spans="1:2" x14ac:dyDescent="0.3">
      <c r="A531" s="18"/>
      <c r="B531" s="11"/>
    </row>
    <row r="532" spans="1:2" x14ac:dyDescent="0.3">
      <c r="A532" s="18"/>
      <c r="B532" s="11"/>
    </row>
    <row r="533" spans="1:2" x14ac:dyDescent="0.3">
      <c r="A533" s="18"/>
      <c r="B533" s="11"/>
    </row>
    <row r="534" spans="1:2" x14ac:dyDescent="0.3">
      <c r="A534" s="18"/>
      <c r="B534" s="11"/>
    </row>
    <row r="535" spans="1:2" x14ac:dyDescent="0.3">
      <c r="A535" s="18"/>
      <c r="B535" s="11"/>
    </row>
    <row r="536" spans="1:2" x14ac:dyDescent="0.3">
      <c r="A536" s="18"/>
      <c r="B536" s="11"/>
    </row>
    <row r="537" spans="1:2" x14ac:dyDescent="0.3">
      <c r="A537" s="18"/>
      <c r="B537" s="11"/>
    </row>
    <row r="538" spans="1:2" x14ac:dyDescent="0.3">
      <c r="A538" s="18"/>
      <c r="B538" s="11"/>
    </row>
    <row r="539" spans="1:2" x14ac:dyDescent="0.3">
      <c r="A539" s="18"/>
      <c r="B539" s="11"/>
    </row>
    <row r="540" spans="1:2" x14ac:dyDescent="0.3">
      <c r="A540" s="18"/>
      <c r="B540" s="11"/>
    </row>
    <row r="541" spans="1:2" x14ac:dyDescent="0.3">
      <c r="A541" s="18"/>
      <c r="B541" s="11"/>
    </row>
    <row r="542" spans="1:2" x14ac:dyDescent="0.3">
      <c r="A542" s="18"/>
      <c r="B542" s="11"/>
    </row>
    <row r="543" spans="1:2" x14ac:dyDescent="0.3">
      <c r="A543" s="18"/>
      <c r="B543" s="11"/>
    </row>
    <row r="544" spans="1:2" x14ac:dyDescent="0.3">
      <c r="A544" s="18"/>
      <c r="B544" s="11"/>
    </row>
    <row r="545" spans="1:2" x14ac:dyDescent="0.3">
      <c r="A545" s="18"/>
      <c r="B545" s="11"/>
    </row>
    <row r="546" spans="1:2" x14ac:dyDescent="0.3">
      <c r="A546" s="18"/>
      <c r="B546" s="11"/>
    </row>
    <row r="547" spans="1:2" x14ac:dyDescent="0.3">
      <c r="A547" s="18"/>
      <c r="B547" s="11"/>
    </row>
    <row r="548" spans="1:2" x14ac:dyDescent="0.3">
      <c r="A548" s="18"/>
      <c r="B548" s="11"/>
    </row>
    <row r="549" spans="1:2" x14ac:dyDescent="0.3">
      <c r="A549" s="18"/>
      <c r="B549" s="11"/>
    </row>
    <row r="550" spans="1:2" x14ac:dyDescent="0.3">
      <c r="A550" s="18"/>
      <c r="B550" s="11"/>
    </row>
    <row r="551" spans="1:2" x14ac:dyDescent="0.3">
      <c r="A551" s="18"/>
      <c r="B551" s="11"/>
    </row>
    <row r="552" spans="1:2" x14ac:dyDescent="0.3">
      <c r="A552" s="18"/>
      <c r="B552" s="11"/>
    </row>
    <row r="553" spans="1:2" x14ac:dyDescent="0.3">
      <c r="A553" s="18"/>
      <c r="B553" s="11"/>
    </row>
    <row r="554" spans="1:2" x14ac:dyDescent="0.3">
      <c r="A554" s="18"/>
      <c r="B554" s="11"/>
    </row>
    <row r="555" spans="1:2" x14ac:dyDescent="0.3">
      <c r="A555" s="18"/>
      <c r="B555" s="11"/>
    </row>
    <row r="556" spans="1:2" x14ac:dyDescent="0.3">
      <c r="A556" s="18"/>
      <c r="B556" s="11"/>
    </row>
    <row r="557" spans="1:2" x14ac:dyDescent="0.3">
      <c r="A557" s="18"/>
      <c r="B557" s="11"/>
    </row>
    <row r="558" spans="1:2" x14ac:dyDescent="0.3">
      <c r="A558" s="18"/>
      <c r="B558" s="11"/>
    </row>
    <row r="559" spans="1:2" x14ac:dyDescent="0.3">
      <c r="A559" s="18"/>
      <c r="B559" s="11"/>
    </row>
    <row r="560" spans="1:2" x14ac:dyDescent="0.3">
      <c r="A560" s="18"/>
      <c r="B560" s="11"/>
    </row>
    <row r="561" spans="1:2" x14ac:dyDescent="0.3">
      <c r="A561" s="18"/>
      <c r="B561" s="11"/>
    </row>
    <row r="562" spans="1:2" x14ac:dyDescent="0.3">
      <c r="A562" s="18"/>
      <c r="B562" s="11"/>
    </row>
    <row r="563" spans="1:2" x14ac:dyDescent="0.3">
      <c r="A563" s="18"/>
      <c r="B563" s="11"/>
    </row>
    <row r="564" spans="1:2" x14ac:dyDescent="0.3">
      <c r="A564" s="18"/>
      <c r="B564" s="11"/>
    </row>
    <row r="565" spans="1:2" x14ac:dyDescent="0.3">
      <c r="A565" s="18"/>
      <c r="B565" s="11"/>
    </row>
    <row r="566" spans="1:2" x14ac:dyDescent="0.3">
      <c r="A566" s="18"/>
      <c r="B566" s="11"/>
    </row>
    <row r="567" spans="1:2" x14ac:dyDescent="0.3">
      <c r="A567" s="18"/>
      <c r="B567" s="11"/>
    </row>
    <row r="568" spans="1:2" x14ac:dyDescent="0.3">
      <c r="A568" s="18"/>
      <c r="B568" s="11"/>
    </row>
    <row r="569" spans="1:2" x14ac:dyDescent="0.3">
      <c r="A569" s="18"/>
      <c r="B569" s="11"/>
    </row>
    <row r="570" spans="1:2" x14ac:dyDescent="0.3">
      <c r="A570" s="18"/>
      <c r="B570" s="11"/>
    </row>
    <row r="571" spans="1:2" x14ac:dyDescent="0.3">
      <c r="A571" s="18"/>
      <c r="B571" s="11"/>
    </row>
    <row r="572" spans="1:2" x14ac:dyDescent="0.3">
      <c r="A572" s="18"/>
      <c r="B572" s="11"/>
    </row>
    <row r="573" spans="1:2" x14ac:dyDescent="0.3">
      <c r="A573" s="18"/>
      <c r="B573" s="11"/>
    </row>
    <row r="574" spans="1:2" x14ac:dyDescent="0.3">
      <c r="A574" s="18"/>
      <c r="B574" s="11"/>
    </row>
    <row r="575" spans="1:2" x14ac:dyDescent="0.3">
      <c r="A575" s="18"/>
      <c r="B575" s="11"/>
    </row>
    <row r="576" spans="1:2" x14ac:dyDescent="0.3">
      <c r="A576" s="18"/>
      <c r="B576" s="11"/>
    </row>
    <row r="577" spans="1:2" x14ac:dyDescent="0.3">
      <c r="A577" s="18"/>
      <c r="B577" s="11"/>
    </row>
    <row r="578" spans="1:2" x14ac:dyDescent="0.3">
      <c r="A578" s="18"/>
      <c r="B578" s="11"/>
    </row>
    <row r="579" spans="1:2" x14ac:dyDescent="0.3">
      <c r="A579" s="18"/>
      <c r="B579" s="11"/>
    </row>
    <row r="580" spans="1:2" x14ac:dyDescent="0.3">
      <c r="A580" s="18"/>
      <c r="B580" s="11"/>
    </row>
    <row r="581" spans="1:2" x14ac:dyDescent="0.3">
      <c r="A581" s="18"/>
      <c r="B581" s="11"/>
    </row>
    <row r="582" spans="1:2" x14ac:dyDescent="0.3">
      <c r="A582" s="18"/>
      <c r="B582" s="11"/>
    </row>
    <row r="583" spans="1:2" x14ac:dyDescent="0.3">
      <c r="A583" s="18"/>
      <c r="B583" s="11"/>
    </row>
    <row r="584" spans="1:2" x14ac:dyDescent="0.3">
      <c r="A584" s="18"/>
      <c r="B584" s="11"/>
    </row>
    <row r="585" spans="1:2" x14ac:dyDescent="0.3">
      <c r="A585" s="18"/>
      <c r="B585" s="11"/>
    </row>
    <row r="586" spans="1:2" x14ac:dyDescent="0.3">
      <c r="A586" s="18"/>
      <c r="B586" s="11"/>
    </row>
    <row r="587" spans="1:2" x14ac:dyDescent="0.3">
      <c r="A587" s="18"/>
      <c r="B587" s="11"/>
    </row>
    <row r="588" spans="1:2" x14ac:dyDescent="0.3">
      <c r="A588" s="18"/>
      <c r="B588" s="11"/>
    </row>
    <row r="589" spans="1:2" x14ac:dyDescent="0.3">
      <c r="A589" s="18"/>
      <c r="B589" s="11"/>
    </row>
    <row r="590" spans="1:2" x14ac:dyDescent="0.3">
      <c r="A590" s="18"/>
      <c r="B590" s="11"/>
    </row>
    <row r="591" spans="1:2" x14ac:dyDescent="0.3">
      <c r="A591" s="18"/>
      <c r="B591" s="11"/>
    </row>
    <row r="592" spans="1:2" x14ac:dyDescent="0.3">
      <c r="A592" s="18"/>
      <c r="B592" s="11"/>
    </row>
    <row r="593" spans="1:2" x14ac:dyDescent="0.3">
      <c r="A593" s="18"/>
      <c r="B593" s="11"/>
    </row>
    <row r="594" spans="1:2" x14ac:dyDescent="0.3">
      <c r="A594" s="18"/>
      <c r="B594" s="11"/>
    </row>
    <row r="595" spans="1:2" x14ac:dyDescent="0.3">
      <c r="A595" s="18"/>
      <c r="B595" s="11"/>
    </row>
    <row r="596" spans="1:2" x14ac:dyDescent="0.3">
      <c r="A596" s="18"/>
      <c r="B596" s="11"/>
    </row>
    <row r="597" spans="1:2" x14ac:dyDescent="0.3">
      <c r="A597" s="18"/>
      <c r="B597" s="11"/>
    </row>
    <row r="598" spans="1:2" x14ac:dyDescent="0.3">
      <c r="A598" s="18"/>
      <c r="B598" s="11"/>
    </row>
    <row r="599" spans="1:2" x14ac:dyDescent="0.3">
      <c r="A599" s="18"/>
      <c r="B599" s="11"/>
    </row>
    <row r="600" spans="1:2" x14ac:dyDescent="0.3">
      <c r="A600" s="18"/>
      <c r="B600" s="11"/>
    </row>
    <row r="601" spans="1:2" x14ac:dyDescent="0.3">
      <c r="A601" s="18"/>
      <c r="B601" s="11"/>
    </row>
    <row r="602" spans="1:2" x14ac:dyDescent="0.3">
      <c r="A602" s="18"/>
      <c r="B602" s="11"/>
    </row>
    <row r="603" spans="1:2" x14ac:dyDescent="0.3">
      <c r="A603" s="18"/>
      <c r="B603" s="11"/>
    </row>
    <row r="604" spans="1:2" x14ac:dyDescent="0.3">
      <c r="A604" s="18"/>
      <c r="B604" s="11"/>
    </row>
    <row r="605" spans="1:2" x14ac:dyDescent="0.3">
      <c r="A605" s="18"/>
      <c r="B605" s="11"/>
    </row>
    <row r="606" spans="1:2" x14ac:dyDescent="0.3">
      <c r="A606" s="18"/>
      <c r="B606" s="11"/>
    </row>
    <row r="607" spans="1:2" x14ac:dyDescent="0.3">
      <c r="A607" s="18"/>
      <c r="B607" s="11"/>
    </row>
    <row r="608" spans="1:2" x14ac:dyDescent="0.3">
      <c r="A608" s="18"/>
      <c r="B608" s="11"/>
    </row>
    <row r="609" spans="1:2" x14ac:dyDescent="0.3">
      <c r="A609" s="18"/>
      <c r="B609" s="11"/>
    </row>
    <row r="610" spans="1:2" x14ac:dyDescent="0.3">
      <c r="A610" s="18"/>
      <c r="B610" s="11"/>
    </row>
    <row r="611" spans="1:2" x14ac:dyDescent="0.3">
      <c r="A611" s="18"/>
      <c r="B611" s="11"/>
    </row>
    <row r="612" spans="1:2" x14ac:dyDescent="0.3">
      <c r="A612" s="18"/>
      <c r="B612" s="11"/>
    </row>
    <row r="613" spans="1:2" x14ac:dyDescent="0.3">
      <c r="A613" s="18"/>
      <c r="B613" s="21"/>
    </row>
    <row r="614" spans="1:2" x14ac:dyDescent="0.3">
      <c r="A614" s="18"/>
      <c r="B614" s="21"/>
    </row>
    <row r="615" spans="1:2" x14ac:dyDescent="0.3">
      <c r="A615" s="18"/>
      <c r="B615" s="21"/>
    </row>
    <row r="616" spans="1:2" x14ac:dyDescent="0.3">
      <c r="A616" s="18"/>
      <c r="B616" s="21"/>
    </row>
    <row r="617" spans="1:2" x14ac:dyDescent="0.3">
      <c r="A617" s="18"/>
      <c r="B617" s="21"/>
    </row>
    <row r="618" spans="1:2" x14ac:dyDescent="0.3">
      <c r="A618" s="18"/>
      <c r="B618" s="21"/>
    </row>
    <row r="619" spans="1:2" x14ac:dyDescent="0.3">
      <c r="A619" s="18"/>
      <c r="B619" s="21"/>
    </row>
    <row r="620" spans="1:2" x14ac:dyDescent="0.3">
      <c r="A620" s="18"/>
      <c r="B620" s="21"/>
    </row>
    <row r="621" spans="1:2" x14ac:dyDescent="0.3">
      <c r="A621" s="18"/>
      <c r="B621" s="21"/>
    </row>
    <row r="622" spans="1:2" x14ac:dyDescent="0.3">
      <c r="A622" s="18"/>
      <c r="B622" s="21"/>
    </row>
    <row r="623" spans="1:2" x14ac:dyDescent="0.3">
      <c r="A623" s="18"/>
      <c r="B623" s="21"/>
    </row>
    <row r="624" spans="1:2" x14ac:dyDescent="0.3">
      <c r="A624" s="18"/>
      <c r="B624" s="21"/>
    </row>
    <row r="625" spans="1:2" x14ac:dyDescent="0.3">
      <c r="A625" s="18"/>
      <c r="B625" s="21"/>
    </row>
    <row r="626" spans="1:2" x14ac:dyDescent="0.3">
      <c r="A626" s="18"/>
      <c r="B626" s="21"/>
    </row>
    <row r="627" spans="1:2" x14ac:dyDescent="0.3">
      <c r="A627" s="18"/>
      <c r="B627" s="21"/>
    </row>
    <row r="628" spans="1:2" x14ac:dyDescent="0.3">
      <c r="A628" s="18"/>
      <c r="B628" s="21"/>
    </row>
    <row r="629" spans="1:2" x14ac:dyDescent="0.3">
      <c r="A629" s="18"/>
      <c r="B629" s="21"/>
    </row>
    <row r="630" spans="1:2" x14ac:dyDescent="0.3">
      <c r="A630" s="18"/>
      <c r="B630" s="21"/>
    </row>
    <row r="631" spans="1:2" x14ac:dyDescent="0.3">
      <c r="A631" s="18"/>
      <c r="B631" s="21"/>
    </row>
    <row r="632" spans="1:2" x14ac:dyDescent="0.3">
      <c r="A632" s="18"/>
      <c r="B632" s="21"/>
    </row>
    <row r="633" spans="1:2" x14ac:dyDescent="0.3">
      <c r="A633" s="18"/>
      <c r="B633" s="21"/>
    </row>
    <row r="634" spans="1:2" x14ac:dyDescent="0.3">
      <c r="A634" s="18"/>
      <c r="B634" s="21"/>
    </row>
    <row r="635" spans="1:2" x14ac:dyDescent="0.3">
      <c r="A635" s="18"/>
      <c r="B635" s="21"/>
    </row>
    <row r="636" spans="1:2" x14ac:dyDescent="0.3">
      <c r="A636" s="18"/>
      <c r="B636" s="21"/>
    </row>
    <row r="637" spans="1:2" x14ac:dyDescent="0.3">
      <c r="A637" s="18"/>
      <c r="B637" s="21"/>
    </row>
    <row r="638" spans="1:2" x14ac:dyDescent="0.3">
      <c r="A638" s="18"/>
      <c r="B638" s="21"/>
    </row>
    <row r="639" spans="1:2" x14ac:dyDescent="0.3">
      <c r="A639" s="18"/>
      <c r="B639" s="21"/>
    </row>
    <row r="640" spans="1:2" x14ac:dyDescent="0.3">
      <c r="A640" s="18"/>
      <c r="B640" s="21"/>
    </row>
    <row r="641" spans="1:2" x14ac:dyDescent="0.3">
      <c r="A641" s="18"/>
      <c r="B641" s="21"/>
    </row>
    <row r="642" spans="1:2" x14ac:dyDescent="0.3">
      <c r="A642" s="18"/>
      <c r="B642" s="21"/>
    </row>
  </sheetData>
  <mergeCells count="3">
    <mergeCell ref="A1:D1"/>
    <mergeCell ref="F1:I1"/>
    <mergeCell ref="K1:N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Upper Komati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Mathonsi (22008826)</dc:creator>
  <cp:lastModifiedBy>S Mathonsi (22008826)</cp:lastModifiedBy>
  <dcterms:created xsi:type="dcterms:W3CDTF">2026-04-07T21:05:17Z</dcterms:created>
  <dcterms:modified xsi:type="dcterms:W3CDTF">2026-04-07T21:06:43Z</dcterms:modified>
</cp:coreProperties>
</file>