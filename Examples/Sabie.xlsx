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busi\OneDrive\Desktop\Groundwater-Analysis-System\Examples\"/>
    </mc:Choice>
  </mc:AlternateContent>
  <xr:revisionPtr revIDLastSave="0" documentId="13_ncr:1_{A3321486-40DC-4400-8DE4-B6A4298E23BF}" xr6:coauthVersionLast="47" xr6:coauthVersionMax="47" xr10:uidLastSave="{00000000-0000-0000-0000-000000000000}"/>
  <bookViews>
    <workbookView xWindow="-108" yWindow="-108" windowWidth="23256" windowHeight="12456" xr2:uid="{FAB3AEE1-C76B-40F2-8166-75845FC1092B}"/>
  </bookViews>
  <sheets>
    <sheet name="Sabie (Main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K44" i="1"/>
  <c r="M44" i="1" s="1"/>
  <c r="N44" i="1" s="1"/>
  <c r="C44" i="1"/>
  <c r="L43" i="1"/>
  <c r="K43" i="1"/>
  <c r="M43" i="1" s="1"/>
  <c r="N43" i="1" s="1"/>
  <c r="C43" i="1"/>
  <c r="N42" i="1"/>
  <c r="M42" i="1"/>
  <c r="L42" i="1"/>
  <c r="K42" i="1"/>
  <c r="C42" i="1"/>
  <c r="L41" i="1"/>
  <c r="K41" i="1"/>
  <c r="M41" i="1" s="1"/>
  <c r="N41" i="1" s="1"/>
  <c r="C41" i="1"/>
  <c r="L40" i="1"/>
  <c r="K40" i="1"/>
  <c r="M40" i="1" s="1"/>
  <c r="N40" i="1" s="1"/>
  <c r="C40" i="1"/>
  <c r="M39" i="1"/>
  <c r="N39" i="1" s="1"/>
  <c r="L39" i="1"/>
  <c r="K39" i="1"/>
  <c r="C39" i="1"/>
  <c r="M38" i="1"/>
  <c r="N38" i="1" s="1"/>
  <c r="L38" i="1"/>
  <c r="K38" i="1"/>
  <c r="C38" i="1"/>
  <c r="L37" i="1"/>
  <c r="K37" i="1"/>
  <c r="M37" i="1" s="1"/>
  <c r="N37" i="1" s="1"/>
  <c r="C37" i="1"/>
  <c r="L36" i="1"/>
  <c r="K36" i="1"/>
  <c r="M36" i="1" s="1"/>
  <c r="N36" i="1" s="1"/>
  <c r="C36" i="1"/>
  <c r="L35" i="1"/>
  <c r="K35" i="1"/>
  <c r="M35" i="1" s="1"/>
  <c r="N35" i="1" s="1"/>
  <c r="C35" i="1"/>
  <c r="Q34" i="1"/>
  <c r="R43" i="1" s="1"/>
  <c r="T43" i="1" s="1"/>
  <c r="L34" i="1"/>
  <c r="K34" i="1"/>
  <c r="M34" i="1" s="1"/>
  <c r="N34" i="1" s="1"/>
  <c r="C34" i="1"/>
  <c r="L33" i="1"/>
  <c r="K33" i="1"/>
  <c r="M33" i="1" s="1"/>
  <c r="N33" i="1" s="1"/>
  <c r="C33" i="1"/>
  <c r="L32" i="1"/>
  <c r="K32" i="1"/>
  <c r="M32" i="1" s="1"/>
  <c r="N32" i="1" s="1"/>
  <c r="C32" i="1"/>
  <c r="N31" i="1"/>
  <c r="M31" i="1"/>
  <c r="L31" i="1"/>
  <c r="K31" i="1"/>
  <c r="C31" i="1"/>
  <c r="L30" i="1"/>
  <c r="K30" i="1"/>
  <c r="M30" i="1" s="1"/>
  <c r="N30" i="1" s="1"/>
  <c r="C30" i="1"/>
  <c r="S29" i="1"/>
  <c r="L29" i="1"/>
  <c r="K29" i="1"/>
  <c r="M29" i="1" s="1"/>
  <c r="N29" i="1" s="1"/>
  <c r="C29" i="1"/>
  <c r="M28" i="1"/>
  <c r="N28" i="1" s="1"/>
  <c r="L28" i="1"/>
  <c r="K28" i="1"/>
  <c r="C28" i="1"/>
  <c r="M27" i="1"/>
  <c r="N27" i="1" s="1"/>
  <c r="L27" i="1"/>
  <c r="K27" i="1"/>
  <c r="C27" i="1"/>
  <c r="R26" i="1"/>
  <c r="T26" i="1" s="1"/>
  <c r="L26" i="1"/>
  <c r="K26" i="1"/>
  <c r="M26" i="1" s="1"/>
  <c r="N26" i="1" s="1"/>
  <c r="C26" i="1"/>
  <c r="L25" i="1"/>
  <c r="K25" i="1"/>
  <c r="M25" i="1" s="1"/>
  <c r="N25" i="1" s="1"/>
  <c r="C25" i="1"/>
  <c r="L24" i="1"/>
  <c r="K24" i="1"/>
  <c r="M24" i="1" s="1"/>
  <c r="N24" i="1" s="1"/>
  <c r="C24" i="1"/>
  <c r="N23" i="1"/>
  <c r="M23" i="1"/>
  <c r="L23" i="1"/>
  <c r="K23" i="1"/>
  <c r="C23" i="1"/>
  <c r="L22" i="1"/>
  <c r="K22" i="1"/>
  <c r="M22" i="1" s="1"/>
  <c r="N22" i="1" s="1"/>
  <c r="R21" i="1"/>
  <c r="T21" i="1" s="1"/>
  <c r="L21" i="1"/>
  <c r="K21" i="1"/>
  <c r="M21" i="1" s="1"/>
  <c r="N21" i="1" s="1"/>
  <c r="L20" i="1"/>
  <c r="K20" i="1"/>
  <c r="M20" i="1" s="1"/>
  <c r="N20" i="1" s="1"/>
  <c r="AF19" i="1"/>
  <c r="S19" i="1"/>
  <c r="L19" i="1"/>
  <c r="K19" i="1"/>
  <c r="M19" i="1" s="1"/>
  <c r="N19" i="1" s="1"/>
  <c r="C19" i="1"/>
  <c r="AF18" i="1"/>
  <c r="L18" i="1"/>
  <c r="K18" i="1"/>
  <c r="M18" i="1" s="1"/>
  <c r="N18" i="1" s="1"/>
  <c r="C18" i="1"/>
  <c r="B18" i="1"/>
  <c r="AF17" i="1"/>
  <c r="M17" i="1"/>
  <c r="N17" i="1" s="1"/>
  <c r="L17" i="1"/>
  <c r="K17" i="1"/>
  <c r="C17" i="1"/>
  <c r="AF16" i="1"/>
  <c r="L16" i="1"/>
  <c r="K16" i="1"/>
  <c r="M16" i="1" s="1"/>
  <c r="N16" i="1" s="1"/>
  <c r="C16" i="1"/>
  <c r="AF15" i="1"/>
  <c r="L15" i="1"/>
  <c r="K15" i="1"/>
  <c r="M15" i="1" s="1"/>
  <c r="N15" i="1" s="1"/>
  <c r="C15" i="1"/>
  <c r="AF14" i="1"/>
  <c r="R14" i="1"/>
  <c r="T14" i="1" s="1"/>
  <c r="L14" i="1"/>
  <c r="K14" i="1"/>
  <c r="M14" i="1" s="1"/>
  <c r="N14" i="1" s="1"/>
  <c r="C14" i="1"/>
  <c r="AF13" i="1"/>
  <c r="M13" i="1"/>
  <c r="N13" i="1" s="1"/>
  <c r="L13" i="1"/>
  <c r="K13" i="1"/>
  <c r="C13" i="1"/>
  <c r="AF12" i="1"/>
  <c r="L12" i="1"/>
  <c r="K12" i="1"/>
  <c r="M12" i="1" s="1"/>
  <c r="N12" i="1" s="1"/>
  <c r="C12" i="1"/>
  <c r="AF11" i="1"/>
  <c r="L11" i="1"/>
  <c r="K11" i="1"/>
  <c r="M11" i="1" s="1"/>
  <c r="N11" i="1" s="1"/>
  <c r="C11" i="1"/>
  <c r="AF10" i="1"/>
  <c r="R10" i="1"/>
  <c r="T10" i="1" s="1"/>
  <c r="M10" i="1"/>
  <c r="N10" i="1" s="1"/>
  <c r="L10" i="1"/>
  <c r="K10" i="1"/>
  <c r="C10" i="1"/>
  <c r="AF9" i="1"/>
  <c r="M9" i="1"/>
  <c r="N9" i="1" s="1"/>
  <c r="L9" i="1"/>
  <c r="K9" i="1"/>
  <c r="C9" i="1"/>
  <c r="AF8" i="1"/>
  <c r="L8" i="1"/>
  <c r="K8" i="1"/>
  <c r="M8" i="1" s="1"/>
  <c r="N8" i="1" s="1"/>
  <c r="B8" i="1"/>
  <c r="C8" i="1" s="1"/>
  <c r="AF7" i="1"/>
  <c r="M7" i="1"/>
  <c r="N7" i="1" s="1"/>
  <c r="L7" i="1"/>
  <c r="K7" i="1"/>
  <c r="C7" i="1"/>
  <c r="AF6" i="1"/>
  <c r="S6" i="1"/>
  <c r="L6" i="1"/>
  <c r="K6" i="1"/>
  <c r="M6" i="1" s="1"/>
  <c r="N6" i="1" s="1"/>
  <c r="C6" i="1"/>
  <c r="E7" i="1" s="1"/>
  <c r="B6" i="1"/>
  <c r="AF5" i="1"/>
  <c r="R5" i="1"/>
  <c r="T5" i="1" s="1"/>
  <c r="M5" i="1"/>
  <c r="N5" i="1" s="1"/>
  <c r="L5" i="1"/>
  <c r="K5" i="1"/>
  <c r="C5" i="1"/>
  <c r="AF4" i="1"/>
  <c r="M4" i="1"/>
  <c r="N4" i="1" s="1"/>
  <c r="L4" i="1"/>
  <c r="K4" i="1"/>
  <c r="C4" i="1"/>
  <c r="D34" i="1" l="1"/>
  <c r="F34" i="1" s="1"/>
  <c r="E29" i="1"/>
  <c r="D26" i="1"/>
  <c r="F26" i="1" s="1"/>
  <c r="E19" i="1"/>
  <c r="E4" i="1"/>
  <c r="D14" i="1"/>
  <c r="F14" i="1" s="1"/>
  <c r="D10" i="1"/>
  <c r="F10" i="1" s="1"/>
  <c r="E18" i="1"/>
  <c r="D17" i="1"/>
  <c r="F17" i="1" s="1"/>
  <c r="D13" i="1"/>
  <c r="F13" i="1" s="1"/>
  <c r="D9" i="1"/>
  <c r="F9" i="1" s="1"/>
  <c r="D4" i="1"/>
  <c r="F4" i="1" s="1"/>
  <c r="E40" i="1"/>
  <c r="D37" i="1"/>
  <c r="F37" i="1" s="1"/>
  <c r="D21" i="1"/>
  <c r="F21" i="1" s="1"/>
  <c r="E6" i="1"/>
  <c r="D5" i="1"/>
  <c r="F5" i="1" s="1"/>
  <c r="F23" i="1"/>
  <c r="D43" i="1"/>
  <c r="F43" i="1" s="1"/>
  <c r="G43" i="1" s="1"/>
  <c r="F30" i="1"/>
  <c r="G30" i="1" s="1"/>
  <c r="F42" i="1"/>
  <c r="G42" i="1" s="1"/>
  <c r="F44" i="1"/>
  <c r="G44" i="1" s="1"/>
  <c r="D6" i="1"/>
  <c r="R6" i="1"/>
  <c r="T6" i="1" s="1"/>
  <c r="U6" i="1" s="1"/>
  <c r="E11" i="1"/>
  <c r="S11" i="1"/>
  <c r="E15" i="1"/>
  <c r="S15" i="1"/>
  <c r="D19" i="1"/>
  <c r="F19" i="1" s="1"/>
  <c r="G19" i="1" s="1"/>
  <c r="R19" i="1"/>
  <c r="T19" i="1" s="1"/>
  <c r="U19" i="1" s="1"/>
  <c r="E24" i="1"/>
  <c r="S24" i="1"/>
  <c r="D29" i="1"/>
  <c r="F29" i="1" s="1"/>
  <c r="G29" i="1" s="1"/>
  <c r="R29" i="1"/>
  <c r="T29" i="1" s="1"/>
  <c r="U29" i="1" s="1"/>
  <c r="E32" i="1"/>
  <c r="S32" i="1"/>
  <c r="E35" i="1"/>
  <c r="S35" i="1"/>
  <c r="D40" i="1"/>
  <c r="F40" i="1" s="1"/>
  <c r="G40" i="1" s="1"/>
  <c r="R40" i="1"/>
  <c r="T40" i="1" s="1"/>
  <c r="E43" i="1"/>
  <c r="S43" i="1"/>
  <c r="U43" i="1" s="1"/>
  <c r="E5" i="1"/>
  <c r="S5" i="1"/>
  <c r="U5" i="1" s="1"/>
  <c r="F6" i="1"/>
  <c r="G6" i="1" s="1"/>
  <c r="E10" i="1"/>
  <c r="S10" i="1"/>
  <c r="U10" i="1" s="1"/>
  <c r="E14" i="1"/>
  <c r="S14" i="1"/>
  <c r="U14" i="1" s="1"/>
  <c r="D18" i="1"/>
  <c r="F18" i="1" s="1"/>
  <c r="G18" i="1" s="1"/>
  <c r="R18" i="1"/>
  <c r="T18" i="1" s="1"/>
  <c r="U18" i="1" s="1"/>
  <c r="E21" i="1"/>
  <c r="S21" i="1"/>
  <c r="U21" i="1" s="1"/>
  <c r="D23" i="1"/>
  <c r="R23" i="1"/>
  <c r="T23" i="1" s="1"/>
  <c r="E26" i="1"/>
  <c r="S26" i="1"/>
  <c r="U26" i="1" s="1"/>
  <c r="D31" i="1"/>
  <c r="F31" i="1" s="1"/>
  <c r="G31" i="1" s="1"/>
  <c r="R31" i="1"/>
  <c r="T31" i="1" s="1"/>
  <c r="E34" i="1"/>
  <c r="R34" i="1"/>
  <c r="T34" i="1" s="1"/>
  <c r="U34" i="1" s="1"/>
  <c r="E37" i="1"/>
  <c r="S37" i="1"/>
  <c r="D42" i="1"/>
  <c r="R42" i="1"/>
  <c r="T42" i="1" s="1"/>
  <c r="R4" i="1"/>
  <c r="T4" i="1" s="1"/>
  <c r="R9" i="1"/>
  <c r="T9" i="1" s="1"/>
  <c r="R13" i="1"/>
  <c r="T13" i="1" s="1"/>
  <c r="U13" i="1" s="1"/>
  <c r="R17" i="1"/>
  <c r="T17" i="1" s="1"/>
  <c r="U17" i="1" s="1"/>
  <c r="S18" i="1"/>
  <c r="E23" i="1"/>
  <c r="S23" i="1"/>
  <c r="D28" i="1"/>
  <c r="F28" i="1" s="1"/>
  <c r="R28" i="1"/>
  <c r="T28" i="1" s="1"/>
  <c r="E31" i="1"/>
  <c r="S31" i="1"/>
  <c r="S34" i="1"/>
  <c r="D39" i="1"/>
  <c r="F39" i="1" s="1"/>
  <c r="R39" i="1"/>
  <c r="T39" i="1" s="1"/>
  <c r="E42" i="1"/>
  <c r="S42" i="1"/>
  <c r="S4" i="1"/>
  <c r="E9" i="1"/>
  <c r="S9" i="1"/>
  <c r="E13" i="1"/>
  <c r="S13" i="1"/>
  <c r="E17" i="1"/>
  <c r="S17" i="1"/>
  <c r="D25" i="1"/>
  <c r="F25" i="1" s="1"/>
  <c r="G25" i="1" s="1"/>
  <c r="R25" i="1"/>
  <c r="T25" i="1" s="1"/>
  <c r="E28" i="1"/>
  <c r="S28" i="1"/>
  <c r="D33" i="1"/>
  <c r="F33" i="1" s="1"/>
  <c r="G33" i="1" s="1"/>
  <c r="R33" i="1"/>
  <c r="T33" i="1" s="1"/>
  <c r="D36" i="1"/>
  <c r="F36" i="1" s="1"/>
  <c r="G36" i="1" s="1"/>
  <c r="R36" i="1"/>
  <c r="T36" i="1" s="1"/>
  <c r="E39" i="1"/>
  <c r="S39" i="1"/>
  <c r="D44" i="1"/>
  <c r="R44" i="1"/>
  <c r="T44" i="1" s="1"/>
  <c r="U44" i="1" s="1"/>
  <c r="D8" i="1"/>
  <c r="F8" i="1" s="1"/>
  <c r="G8" i="1" s="1"/>
  <c r="R8" i="1"/>
  <c r="T8" i="1" s="1"/>
  <c r="D12" i="1"/>
  <c r="F12" i="1" s="1"/>
  <c r="R12" i="1"/>
  <c r="T12" i="1" s="1"/>
  <c r="D16" i="1"/>
  <c r="F16" i="1" s="1"/>
  <c r="G16" i="1" s="1"/>
  <c r="R16" i="1"/>
  <c r="T16" i="1" s="1"/>
  <c r="D20" i="1"/>
  <c r="F20" i="1" s="1"/>
  <c r="R20" i="1"/>
  <c r="T20" i="1" s="1"/>
  <c r="U20" i="1" s="1"/>
  <c r="D22" i="1"/>
  <c r="F22" i="1" s="1"/>
  <c r="R22" i="1"/>
  <c r="T22" i="1" s="1"/>
  <c r="E25" i="1"/>
  <c r="S25" i="1"/>
  <c r="D30" i="1"/>
  <c r="R30" i="1"/>
  <c r="T30" i="1" s="1"/>
  <c r="E33" i="1"/>
  <c r="S33" i="1"/>
  <c r="E36" i="1"/>
  <c r="S36" i="1"/>
  <c r="D41" i="1"/>
  <c r="F41" i="1" s="1"/>
  <c r="G41" i="1" s="1"/>
  <c r="R41" i="1"/>
  <c r="T41" i="1" s="1"/>
  <c r="E44" i="1"/>
  <c r="S44" i="1"/>
  <c r="R37" i="1"/>
  <c r="T37" i="1" s="1"/>
  <c r="U37" i="1" s="1"/>
  <c r="D7" i="1"/>
  <c r="F7" i="1" s="1"/>
  <c r="G7" i="1" s="1"/>
  <c r="R7" i="1"/>
  <c r="T7" i="1" s="1"/>
  <c r="E8" i="1"/>
  <c r="S8" i="1"/>
  <c r="E12" i="1"/>
  <c r="S12" i="1"/>
  <c r="E16" i="1"/>
  <c r="S16" i="1"/>
  <c r="E20" i="1"/>
  <c r="S20" i="1"/>
  <c r="E22" i="1"/>
  <c r="S22" i="1"/>
  <c r="D27" i="1"/>
  <c r="F27" i="1" s="1"/>
  <c r="G27" i="1" s="1"/>
  <c r="R27" i="1"/>
  <c r="T27" i="1" s="1"/>
  <c r="E30" i="1"/>
  <c r="S30" i="1"/>
  <c r="D38" i="1"/>
  <c r="F38" i="1" s="1"/>
  <c r="G38" i="1" s="1"/>
  <c r="R38" i="1"/>
  <c r="T38" i="1" s="1"/>
  <c r="E41" i="1"/>
  <c r="S41" i="1"/>
  <c r="S40" i="1"/>
  <c r="S7" i="1"/>
  <c r="D11" i="1"/>
  <c r="F11" i="1" s="1"/>
  <c r="G11" i="1" s="1"/>
  <c r="R11" i="1"/>
  <c r="T11" i="1" s="1"/>
  <c r="U11" i="1" s="1"/>
  <c r="D15" i="1"/>
  <c r="F15" i="1" s="1"/>
  <c r="G15" i="1" s="1"/>
  <c r="R15" i="1"/>
  <c r="T15" i="1" s="1"/>
  <c r="D24" i="1"/>
  <c r="F24" i="1" s="1"/>
  <c r="G24" i="1" s="1"/>
  <c r="R24" i="1"/>
  <c r="T24" i="1" s="1"/>
  <c r="U24" i="1" s="1"/>
  <c r="E27" i="1"/>
  <c r="S27" i="1"/>
  <c r="D32" i="1"/>
  <c r="F32" i="1" s="1"/>
  <c r="G32" i="1" s="1"/>
  <c r="R32" i="1"/>
  <c r="T32" i="1" s="1"/>
  <c r="U32" i="1" s="1"/>
  <c r="D35" i="1"/>
  <c r="F35" i="1" s="1"/>
  <c r="G35" i="1" s="1"/>
  <c r="R35" i="1"/>
  <c r="T35" i="1" s="1"/>
  <c r="U35" i="1" s="1"/>
  <c r="E38" i="1"/>
  <c r="S38" i="1"/>
  <c r="G20" i="1" l="1"/>
  <c r="U30" i="1"/>
  <c r="U16" i="1"/>
  <c r="U9" i="1"/>
  <c r="U31" i="1"/>
  <c r="G23" i="1"/>
  <c r="G9" i="1"/>
  <c r="G26" i="1"/>
  <c r="U27" i="1"/>
  <c r="U25" i="1"/>
  <c r="U28" i="1"/>
  <c r="U4" i="1"/>
  <c r="G13" i="1"/>
  <c r="U41" i="1"/>
  <c r="U12" i="1"/>
  <c r="U36" i="1"/>
  <c r="G28" i="1"/>
  <c r="U42" i="1"/>
  <c r="G5" i="1"/>
  <c r="G17" i="1"/>
  <c r="G34" i="1"/>
  <c r="G4" i="1"/>
  <c r="G12" i="1"/>
  <c r="U40" i="1"/>
  <c r="U22" i="1"/>
  <c r="U8" i="1"/>
  <c r="U39" i="1"/>
  <c r="U23" i="1"/>
  <c r="G21" i="1"/>
  <c r="G10" i="1"/>
  <c r="U15" i="1"/>
  <c r="U38" i="1"/>
  <c r="U7" i="1"/>
  <c r="G22" i="1"/>
  <c r="U33" i="1"/>
  <c r="G39" i="1"/>
  <c r="G37" i="1"/>
  <c r="G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tc={E5F7DF00-CCB7-4F29-B5AB-53DC18A1130A}</author>
    <author>tc={4E13CB89-6F7A-4018-9F55-7A1383FF28BF}</author>
    <author>tc={CC7A1566-0157-4616-B28F-62755A12BC2C}</author>
  </authors>
  <commentList>
    <comment ref="J31" authorId="0" shapeId="0" xr:uid="{E5F7DF00-CCB7-4F29-B5AB-53DC18A113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There were missing flow data from day 18 to 24 </t>
      </text>
    </comment>
    <comment ref="J43" authorId="1" shapeId="0" xr:uid="{4E13CB89-6F7A-4018-9F55-7A1383FF28BF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 from 11-31 of January 2026 due to data logger malfunction</t>
      </text>
    </comment>
    <comment ref="J44" authorId="2" shapeId="0" xr:uid="{CC7A1566-0157-4616-B28F-62755A12BC2C}">
      <text>
        <t>[Threaded comment]
Your version of Excel allows you to read this threaded comment; however, any edits to it will get removed if the file is opened in a newer version of Excel. Learn more: https://go.microsoft.com/fwlink/?linkid=870924
Comment:
    missing data from 1 to 17 February 2026</t>
      </text>
    </comment>
  </commentList>
</comments>
</file>

<file path=xl/sharedStrings.xml><?xml version="1.0" encoding="utf-8"?>
<sst xmlns="http://schemas.openxmlformats.org/spreadsheetml/2006/main" count="29" uniqueCount="24">
  <si>
    <t>Lower Sabie</t>
  </si>
  <si>
    <t>Recharge</t>
  </si>
  <si>
    <t>Baseflow</t>
  </si>
  <si>
    <t>Groundwater levels</t>
  </si>
  <si>
    <t>Rainfall</t>
  </si>
  <si>
    <t>Date</t>
  </si>
  <si>
    <t>Recharge (inches)</t>
  </si>
  <si>
    <t>Recharge(mm/a)</t>
  </si>
  <si>
    <t>Average recharge</t>
  </si>
  <si>
    <t>STDEV</t>
  </si>
  <si>
    <t>SI</t>
  </si>
  <si>
    <t xml:space="preserve">Average </t>
  </si>
  <si>
    <t xml:space="preserve">Standard deviation </t>
  </si>
  <si>
    <t>Standardized index</t>
  </si>
  <si>
    <t>Date (monthly)</t>
  </si>
  <si>
    <t>GWL</t>
  </si>
  <si>
    <t>Average GWL</t>
  </si>
  <si>
    <t>Exeter rainfall(mm)</t>
  </si>
  <si>
    <t>Hebron rainfall(mm)</t>
  </si>
  <si>
    <t>Emmet</t>
  </si>
  <si>
    <t>Da gama</t>
  </si>
  <si>
    <t>Tweefontein</t>
  </si>
  <si>
    <t>Average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</si>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</sst>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"/>
    <numFmt numFmtId="165" formatCode="0.0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b/>
      <i/>
      <sz val="10"/>
      <name val="Arial"/>
      <family val="2"/>
    </font>
    <font>
      <sz val="11"/>
      <name val="Aptos Narrow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9">
    <xf numFmtId="0" fontId="0" fillId="0" borderId="0" xfId="0"/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4" xfId="0" applyNumberForma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0" xfId="0" applyFill="1" applyAlignment="1">
      <alignment horizontal="center"/>
    </xf>
    <xf numFmtId="164" fontId="0" fillId="5" borderId="6" xfId="0" applyNumberFormat="1" applyFill="1" applyBorder="1"/>
    <xf numFmtId="0" fontId="0" fillId="5" borderId="6" xfId="0" applyFill="1" applyBorder="1"/>
    <xf numFmtId="165" fontId="0" fillId="5" borderId="6" xfId="0" applyNumberFormat="1" applyFill="1" applyBorder="1"/>
    <xf numFmtId="0" fontId="0" fillId="5" borderId="6" xfId="0" applyFill="1" applyBorder="1" applyAlignment="1">
      <alignment horizontal="center"/>
    </xf>
    <xf numFmtId="2" fontId="0" fillId="5" borderId="7" xfId="0" applyNumberFormat="1" applyFill="1" applyBorder="1" applyAlignment="1">
      <alignment horizontal="center"/>
    </xf>
    <xf numFmtId="2" fontId="0" fillId="5" borderId="7" xfId="0" applyNumberFormat="1" applyFill="1" applyBorder="1"/>
    <xf numFmtId="0" fontId="0" fillId="5" borderId="7" xfId="0" applyFill="1" applyBorder="1"/>
    <xf numFmtId="2" fontId="0" fillId="5" borderId="6" xfId="0" applyNumberFormat="1" applyFill="1" applyBorder="1"/>
    <xf numFmtId="0" fontId="0" fillId="0" borderId="0" xfId="0" applyAlignment="1">
      <alignment horizontal="center"/>
    </xf>
    <xf numFmtId="0" fontId="0" fillId="5" borderId="9" xfId="0" applyFill="1" applyBorder="1" applyAlignment="1">
      <alignment horizontal="center"/>
    </xf>
    <xf numFmtId="0" fontId="2" fillId="5" borderId="6" xfId="1" applyFont="1" applyFill="1" applyBorder="1" applyAlignment="1">
      <alignment horizontal="center"/>
    </xf>
    <xf numFmtId="164" fontId="3" fillId="3" borderId="6" xfId="0" applyNumberFormat="1" applyFont="1" applyFill="1" applyBorder="1"/>
    <xf numFmtId="165" fontId="3" fillId="3" borderId="6" xfId="0" applyNumberFormat="1" applyFont="1" applyFill="1" applyBorder="1"/>
    <xf numFmtId="165" fontId="0" fillId="3" borderId="6" xfId="0" applyNumberFormat="1" applyFill="1" applyBorder="1"/>
    <xf numFmtId="164" fontId="3" fillId="3" borderId="9" xfId="0" applyNumberFormat="1" applyFont="1" applyFill="1" applyBorder="1" applyAlignment="1">
      <alignment horizontal="center"/>
    </xf>
    <xf numFmtId="2" fontId="0" fillId="3" borderId="6" xfId="0" applyNumberFormat="1" applyFill="1" applyBorder="1"/>
    <xf numFmtId="2" fontId="0" fillId="4" borderId="6" xfId="0" applyNumberFormat="1" applyFill="1" applyBorder="1"/>
    <xf numFmtId="2" fontId="0" fillId="4" borderId="7" xfId="0" applyNumberFormat="1" applyFill="1" applyBorder="1"/>
    <xf numFmtId="17" fontId="4" fillId="3" borderId="6" xfId="0" applyNumberFormat="1" applyFont="1" applyFill="1" applyBorder="1" applyAlignment="1">
      <alignment horizontal="center"/>
    </xf>
    <xf numFmtId="2" fontId="3" fillId="3" borderId="6" xfId="0" applyNumberFormat="1" applyFont="1" applyFill="1" applyBorder="1"/>
    <xf numFmtId="0" fontId="0" fillId="3" borderId="6" xfId="0" applyFill="1" applyBorder="1"/>
    <xf numFmtId="2" fontId="0" fillId="4" borderId="10" xfId="0" applyNumberFormat="1" applyFill="1" applyBorder="1"/>
    <xf numFmtId="165" fontId="0" fillId="0" borderId="0" xfId="0" applyNumberFormat="1" applyAlignment="1">
      <alignment horizontal="center"/>
    </xf>
    <xf numFmtId="164" fontId="3" fillId="3" borderId="8" xfId="0" applyNumberFormat="1" applyFont="1" applyFill="1" applyBorder="1" applyAlignment="1">
      <alignment horizontal="center"/>
    </xf>
    <xf numFmtId="0" fontId="0" fillId="4" borderId="11" xfId="0" applyFill="1" applyBorder="1"/>
    <xf numFmtId="0" fontId="5" fillId="4" borderId="11" xfId="0" applyFont="1" applyFill="1" applyBorder="1"/>
    <xf numFmtId="164" fontId="0" fillId="3" borderId="6" xfId="0" applyNumberFormat="1" applyFill="1" applyBorder="1"/>
    <xf numFmtId="14" fontId="0" fillId="3" borderId="6" xfId="0" applyNumberForma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langelani Marikele" id="{96604C0F-2338-4DB2-889C-0C9029186BEE}" userId="S::marikelet@iucma.co.za::07ca8eb7-6030-4d7f-b16b-36f71c558ac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31" dT="2025-02-18T06:20:23.60" personId="{96604C0F-2338-4DB2-889C-0C9029186BEE}" id="{E5F7DF00-CCB7-4F29-B5AB-53DC18A1130A}">
    <text xml:space="preserve">There were missing flow data from day 18 to 24 </text>
  </threadedComment>
  <threadedComment ref="J43" dT="2026-02-23T14:14:15.30" personId="{96604C0F-2338-4DB2-889C-0C9029186BEE}" id="{4E13CB89-6F7A-4018-9F55-7A1383FF28BF}">
    <text>missing data from 11-31 of January 2026 due to data logger malfunction</text>
  </threadedComment>
  <threadedComment ref="J44" dT="2026-03-27T11:59:34.54" personId="{96604C0F-2338-4DB2-889C-0C9029186BEE}" id="{CC7A1566-0157-4616-B28F-62755A12BC2C}">
    <text>missing data from 1 to 17 February 2026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54EA6-260B-43AD-8A67-2997F7EF8B79}">
  <dimension ref="A1:AG870"/>
  <sheetViews>
    <sheetView tabSelected="1" zoomScaleNormal="100" workbookViewId="0">
      <selection activeCell="H11" sqref="H11"/>
    </sheetView>
  </sheetViews>
  <sheetFormatPr defaultRowHeight="14.4" x14ac:dyDescent="0.3"/>
  <cols>
    <col min="1" max="1" width="15.5546875" style="37" customWidth="1"/>
    <col min="2" max="2" width="18.6640625" style="31" customWidth="1"/>
    <col min="3" max="3" width="19.5546875" style="31" customWidth="1"/>
    <col min="4" max="4" width="22.88671875" style="31" customWidth="1"/>
    <col min="5" max="5" width="16" style="31" customWidth="1"/>
    <col min="6" max="6" width="13.6640625" style="31" customWidth="1"/>
    <col min="7" max="7" width="11.5546875" style="31" customWidth="1"/>
    <col min="8" max="8" width="12.21875" customWidth="1"/>
    <col min="9" max="9" width="13.5546875" style="5" customWidth="1"/>
    <col min="10" max="10" width="12.33203125" style="6" customWidth="1"/>
    <col min="11" max="11" width="20.88671875" style="5" customWidth="1"/>
    <col min="12" max="12" width="18.33203125" style="6" bestFit="1" customWidth="1"/>
    <col min="13" max="13" width="18.33203125" style="7" customWidth="1"/>
    <col min="14" max="14" width="18" style="8" bestFit="1" customWidth="1"/>
    <col min="15" max="15" width="17.88671875" customWidth="1"/>
    <col min="16" max="16" width="18.6640625" bestFit="1" customWidth="1"/>
    <col min="17" max="17" width="21.33203125" customWidth="1"/>
    <col min="18" max="18" width="14" customWidth="1"/>
    <col min="19" max="19" width="18.33203125" bestFit="1" customWidth="1"/>
    <col min="20" max="20" width="12.33203125" bestFit="1" customWidth="1"/>
    <col min="21" max="21" width="18" bestFit="1" customWidth="1"/>
    <col min="27" max="27" width="18.6640625" bestFit="1" customWidth="1"/>
  </cols>
  <sheetData>
    <row r="1" spans="1:33" ht="20.2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3" x14ac:dyDescent="0.3">
      <c r="A2" s="1" t="s">
        <v>1</v>
      </c>
      <c r="B2" s="2"/>
      <c r="C2" s="2"/>
      <c r="D2" s="2"/>
      <c r="E2" s="2"/>
      <c r="F2" s="2"/>
      <c r="G2" s="3"/>
      <c r="I2" s="4" t="s">
        <v>2</v>
      </c>
      <c r="J2" s="4"/>
      <c r="P2" s="9" t="s">
        <v>3</v>
      </c>
      <c r="Q2" s="9"/>
      <c r="R2" s="9"/>
      <c r="S2" s="9"/>
      <c r="T2" s="9"/>
      <c r="U2" s="9"/>
      <c r="AA2" s="10" t="s">
        <v>4</v>
      </c>
      <c r="AB2" s="10"/>
      <c r="AC2" s="10"/>
      <c r="AD2" s="10"/>
      <c r="AE2" s="10"/>
      <c r="AF2" s="10"/>
      <c r="AG2" s="10"/>
    </row>
    <row r="3" spans="1:33" x14ac:dyDescent="0.3">
      <c r="A3" s="11" t="s">
        <v>5</v>
      </c>
      <c r="B3" s="12" t="s">
        <v>6</v>
      </c>
      <c r="C3" s="12" t="s">
        <v>7</v>
      </c>
      <c r="D3" s="13" t="s">
        <v>8</v>
      </c>
      <c r="E3" s="13" t="s">
        <v>9</v>
      </c>
      <c r="F3" s="12"/>
      <c r="G3" s="12" t="s">
        <v>10</v>
      </c>
      <c r="I3" s="14" t="s">
        <v>5</v>
      </c>
      <c r="J3" s="15" t="s">
        <v>2</v>
      </c>
      <c r="K3" s="14" t="s">
        <v>11</v>
      </c>
      <c r="L3" s="16" t="s">
        <v>12</v>
      </c>
      <c r="M3" s="17"/>
      <c r="N3" s="18" t="s">
        <v>13</v>
      </c>
      <c r="O3" s="19"/>
      <c r="P3" s="20" t="s">
        <v>14</v>
      </c>
      <c r="Q3" s="14" t="s">
        <v>15</v>
      </c>
      <c r="R3" s="14" t="s">
        <v>16</v>
      </c>
      <c r="S3" s="12" t="s">
        <v>12</v>
      </c>
      <c r="T3" s="17"/>
      <c r="U3" s="14" t="s">
        <v>13</v>
      </c>
      <c r="AA3" s="21" t="s">
        <v>17</v>
      </c>
      <c r="AB3" s="21" t="s">
        <v>18</v>
      </c>
      <c r="AC3" s="21" t="s">
        <v>19</v>
      </c>
      <c r="AD3" s="21" t="s">
        <v>20</v>
      </c>
      <c r="AE3" s="21" t="s">
        <v>21</v>
      </c>
      <c r="AF3" s="21" t="s">
        <v>22</v>
      </c>
      <c r="AG3" s="21" t="s">
        <v>5</v>
      </c>
    </row>
    <row r="4" spans="1:33" x14ac:dyDescent="0.3">
      <c r="A4" s="22">
        <v>44856</v>
      </c>
      <c r="B4" s="23">
        <v>0.05</v>
      </c>
      <c r="C4" s="23">
        <f>B4*25.4</f>
        <v>1.27</v>
      </c>
      <c r="D4" s="24">
        <f>AVERAGE($C$4:$C$191)</f>
        <v>6.1594999999999995</v>
      </c>
      <c r="E4" s="24">
        <f>_xlfn.STDEV.S($C$4:$C$55)</f>
        <v>6.8378047241747071</v>
      </c>
      <c r="F4" s="24">
        <f>C4-D4</f>
        <v>-4.8895</v>
      </c>
      <c r="G4" s="24">
        <f>F4/E4</f>
        <v>-0.71506868026128678</v>
      </c>
      <c r="I4" s="25">
        <v>44844</v>
      </c>
      <c r="J4" s="26">
        <v>1.8112903225806452</v>
      </c>
      <c r="K4" s="8">
        <f>AVERAGE($J$4:$J$55)</f>
        <v>5.6487400119404052</v>
      </c>
      <c r="L4" s="6">
        <f>_xlfn.STDEV.S($J$4:$J$65)</f>
        <v>5.5717037651541919</v>
      </c>
      <c r="M4" s="6">
        <f>J4-K4</f>
        <v>-3.8374496893597598</v>
      </c>
      <c r="N4" s="8">
        <f>M4/L4</f>
        <v>-0.68873900176808156</v>
      </c>
      <c r="P4" s="25">
        <v>44844</v>
      </c>
      <c r="Q4" s="27">
        <v>624.1825</v>
      </c>
      <c r="R4" s="27">
        <f>AVERAGE($Q$4:$Q$161)</f>
        <v>624.75153455284578</v>
      </c>
      <c r="S4" s="27">
        <f>_xlfn.STDEV.S($Q$4:$Q$103)</f>
        <v>0.26578213389891375</v>
      </c>
      <c r="T4" s="28">
        <f>Q4-R4</f>
        <v>-0.56903455284577831</v>
      </c>
      <c r="U4" s="27">
        <f t="shared" ref="U4:U44" si="0">T4/S4</f>
        <v>-2.1409812032820916</v>
      </c>
      <c r="AA4" s="5">
        <v>30.3</v>
      </c>
      <c r="AB4" s="5">
        <v>22.6</v>
      </c>
      <c r="AC4" s="5">
        <v>30.3</v>
      </c>
      <c r="AD4" s="5">
        <v>71</v>
      </c>
      <c r="AE4" s="5">
        <v>43.6</v>
      </c>
      <c r="AF4" s="8">
        <f t="shared" ref="AF4:AF15" si="1">AVERAGE(AA4:AE4)</f>
        <v>39.559999999999995</v>
      </c>
      <c r="AG4" s="29">
        <v>44835</v>
      </c>
    </row>
    <row r="5" spans="1:33" x14ac:dyDescent="0.3">
      <c r="A5" s="22">
        <v>44887</v>
      </c>
      <c r="B5" s="23">
        <v>0.19</v>
      </c>
      <c r="C5" s="23">
        <f t="shared" ref="C5:C19" si="2">B5*25.4</f>
        <v>4.8259999999999996</v>
      </c>
      <c r="D5" s="24">
        <f t="shared" ref="D5:D44" si="3">AVERAGE($C$4:$C$191)</f>
        <v>6.1594999999999995</v>
      </c>
      <c r="E5" s="24">
        <f t="shared" ref="E5:E44" si="4">_xlfn.STDEV.S($C$4:$C$55)</f>
        <v>6.8378047241747071</v>
      </c>
      <c r="F5" s="24">
        <f t="shared" ref="F5:F24" si="5">C5-D5</f>
        <v>-1.3334999999999999</v>
      </c>
      <c r="G5" s="24">
        <f t="shared" ref="G5:G44" si="6">F5/E5</f>
        <v>-0.19501873098035094</v>
      </c>
      <c r="I5" s="25">
        <v>44875</v>
      </c>
      <c r="J5" s="26">
        <v>1.8106666666666664</v>
      </c>
      <c r="K5" s="8">
        <f t="shared" ref="K5:K44" si="7">AVERAGE($J$4:$J$55)</f>
        <v>5.6487400119404052</v>
      </c>
      <c r="L5" s="6">
        <f t="shared" ref="L5:L44" si="8">_xlfn.STDEV.S($J$4:$J$65)</f>
        <v>5.5717037651541919</v>
      </c>
      <c r="M5" s="6">
        <f t="shared" ref="M5:M44" si="9">J5-K5</f>
        <v>-3.838073345273739</v>
      </c>
      <c r="N5" s="8">
        <f t="shared" ref="N5:N44" si="10">M5/L5</f>
        <v>-0.68885093448027634</v>
      </c>
      <c r="P5" s="25">
        <v>44875</v>
      </c>
      <c r="Q5" s="27">
        <v>624.18375000000003</v>
      </c>
      <c r="R5" s="27">
        <f t="shared" ref="R5:R44" si="11">AVERAGE($Q$4:$Q$161)</f>
        <v>624.75153455284578</v>
      </c>
      <c r="S5" s="27">
        <f t="shared" ref="S5:S44" si="12">_xlfn.STDEV.S($Q$4:$Q$103)</f>
        <v>0.26578213389891375</v>
      </c>
      <c r="T5" s="28">
        <f t="shared" ref="T5:T44" si="13">Q5-R5</f>
        <v>-0.56778455284575102</v>
      </c>
      <c r="U5" s="27">
        <f t="shared" si="0"/>
        <v>-2.136278103108689</v>
      </c>
      <c r="AA5" s="5">
        <v>65.5</v>
      </c>
      <c r="AB5" s="5">
        <v>91.8</v>
      </c>
      <c r="AC5" s="5">
        <v>154.19999999999999</v>
      </c>
      <c r="AD5" s="5">
        <v>193.6</v>
      </c>
      <c r="AE5" s="5">
        <v>217.6</v>
      </c>
      <c r="AF5" s="8">
        <f t="shared" si="1"/>
        <v>144.54000000000002</v>
      </c>
      <c r="AG5" s="29">
        <v>44866</v>
      </c>
    </row>
    <row r="6" spans="1:33" x14ac:dyDescent="0.3">
      <c r="A6" s="22">
        <v>44917</v>
      </c>
      <c r="B6" s="23">
        <f>AVERAGE(B5,B7)</f>
        <v>0.13</v>
      </c>
      <c r="C6" s="23">
        <f t="shared" si="2"/>
        <v>3.302</v>
      </c>
      <c r="D6" s="24">
        <f t="shared" si="3"/>
        <v>6.1594999999999995</v>
      </c>
      <c r="E6" s="24">
        <f t="shared" si="4"/>
        <v>6.8378047241747071</v>
      </c>
      <c r="F6" s="24">
        <f>C6-D6</f>
        <v>-2.8574999999999995</v>
      </c>
      <c r="G6" s="24">
        <f t="shared" si="6"/>
        <v>-0.41789728067218052</v>
      </c>
      <c r="I6" s="25">
        <v>44905</v>
      </c>
      <c r="J6" s="26">
        <v>2.2312903225806453</v>
      </c>
      <c r="K6" s="8">
        <f t="shared" si="7"/>
        <v>5.6487400119404052</v>
      </c>
      <c r="L6" s="6">
        <f t="shared" si="8"/>
        <v>5.5717037651541919</v>
      </c>
      <c r="M6" s="6">
        <f t="shared" si="9"/>
        <v>-3.4174496893597599</v>
      </c>
      <c r="N6" s="8">
        <f t="shared" si="10"/>
        <v>-0.61335810972807259</v>
      </c>
      <c r="P6" s="25">
        <v>44905</v>
      </c>
      <c r="Q6" s="27">
        <v>624.12875000000008</v>
      </c>
      <c r="R6" s="27">
        <f t="shared" si="11"/>
        <v>624.75153455284578</v>
      </c>
      <c r="S6" s="27">
        <f t="shared" si="12"/>
        <v>0.26578213389891375</v>
      </c>
      <c r="T6" s="28">
        <f t="shared" si="13"/>
        <v>-0.622784552845701</v>
      </c>
      <c r="U6" s="27">
        <f t="shared" si="0"/>
        <v>-2.3432145107336964</v>
      </c>
      <c r="AA6" s="5">
        <v>108.6</v>
      </c>
      <c r="AB6" s="5">
        <v>180.9</v>
      </c>
      <c r="AC6" s="5">
        <v>220.2</v>
      </c>
      <c r="AD6" s="5">
        <v>264.8</v>
      </c>
      <c r="AE6" s="5">
        <v>293</v>
      </c>
      <c r="AF6" s="8">
        <f t="shared" si="1"/>
        <v>213.5</v>
      </c>
      <c r="AG6" s="29">
        <v>44896</v>
      </c>
    </row>
    <row r="7" spans="1:33" x14ac:dyDescent="0.3">
      <c r="A7" s="22">
        <v>44949</v>
      </c>
      <c r="B7" s="23">
        <v>7.0000000000000007E-2</v>
      </c>
      <c r="C7" s="23">
        <f t="shared" si="2"/>
        <v>1.778</v>
      </c>
      <c r="D7" s="24">
        <f t="shared" si="3"/>
        <v>6.1594999999999995</v>
      </c>
      <c r="E7" s="24">
        <f t="shared" si="4"/>
        <v>6.8378047241747071</v>
      </c>
      <c r="F7" s="24">
        <f t="shared" si="5"/>
        <v>-4.3814999999999991</v>
      </c>
      <c r="G7" s="24">
        <f t="shared" si="6"/>
        <v>-0.64077583036401009</v>
      </c>
      <c r="I7" s="25">
        <v>44936</v>
      </c>
      <c r="J7" s="26">
        <v>3.9406451612903228</v>
      </c>
      <c r="K7" s="8">
        <f t="shared" si="7"/>
        <v>5.6487400119404052</v>
      </c>
      <c r="L7" s="6">
        <f t="shared" si="8"/>
        <v>5.5717037651541919</v>
      </c>
      <c r="M7" s="6">
        <f t="shared" si="9"/>
        <v>-1.7080948506500824</v>
      </c>
      <c r="N7" s="8">
        <f t="shared" si="10"/>
        <v>-0.30656598459749812</v>
      </c>
      <c r="P7" s="25">
        <v>44936</v>
      </c>
      <c r="Q7" s="27">
        <v>624.39374999999995</v>
      </c>
      <c r="R7" s="27">
        <f t="shared" si="11"/>
        <v>624.75153455284578</v>
      </c>
      <c r="S7" s="27">
        <f t="shared" si="12"/>
        <v>0.26578213389891375</v>
      </c>
      <c r="T7" s="28">
        <f t="shared" si="13"/>
        <v>-0.35778455284582833</v>
      </c>
      <c r="U7" s="27">
        <f t="shared" si="0"/>
        <v>-1.3461572739945955</v>
      </c>
      <c r="AA7" s="5">
        <v>35.299999999999997</v>
      </c>
      <c r="AB7" s="5">
        <v>135.5</v>
      </c>
      <c r="AC7" s="5">
        <v>96.4</v>
      </c>
      <c r="AD7" s="5">
        <v>85.8</v>
      </c>
      <c r="AE7" s="5">
        <v>70.2</v>
      </c>
      <c r="AF7" s="8">
        <f t="shared" si="1"/>
        <v>84.640000000000015</v>
      </c>
      <c r="AG7" s="29">
        <v>44927</v>
      </c>
    </row>
    <row r="8" spans="1:33" x14ac:dyDescent="0.3">
      <c r="A8" s="22">
        <v>44980</v>
      </c>
      <c r="B8" s="23">
        <f>AVERAGE(B7,B9)</f>
        <v>0.14500000000000002</v>
      </c>
      <c r="C8" s="23">
        <f t="shared" si="2"/>
        <v>3.6830000000000003</v>
      </c>
      <c r="D8" s="24">
        <f t="shared" si="3"/>
        <v>6.1594999999999995</v>
      </c>
      <c r="E8" s="24">
        <f t="shared" si="4"/>
        <v>6.8378047241747071</v>
      </c>
      <c r="F8" s="24">
        <f t="shared" si="5"/>
        <v>-2.4764999999999993</v>
      </c>
      <c r="G8" s="24">
        <f t="shared" si="6"/>
        <v>-0.36217764324922308</v>
      </c>
      <c r="I8" s="25">
        <v>44967</v>
      </c>
      <c r="J8" s="26">
        <v>14.195000000000002</v>
      </c>
      <c r="K8" s="8">
        <f t="shared" si="7"/>
        <v>5.6487400119404052</v>
      </c>
      <c r="L8" s="6">
        <f t="shared" si="8"/>
        <v>5.5717037651541919</v>
      </c>
      <c r="M8" s="6">
        <f t="shared" si="9"/>
        <v>8.546259988059596</v>
      </c>
      <c r="N8" s="8">
        <f t="shared" si="10"/>
        <v>1.5338683369184984</v>
      </c>
      <c r="P8" s="25">
        <v>44967</v>
      </c>
      <c r="Q8" s="27">
        <v>624.59625000000005</v>
      </c>
      <c r="R8" s="27">
        <f t="shared" si="11"/>
        <v>624.75153455284578</v>
      </c>
      <c r="S8" s="27">
        <f t="shared" si="12"/>
        <v>0.26578213389891375</v>
      </c>
      <c r="T8" s="28">
        <f t="shared" si="13"/>
        <v>-0.15528455284572829</v>
      </c>
      <c r="U8" s="27">
        <f t="shared" si="0"/>
        <v>-0.5842550459196344</v>
      </c>
      <c r="AA8" s="5">
        <v>350.9</v>
      </c>
      <c r="AB8" s="5">
        <v>567.4</v>
      </c>
      <c r="AC8" s="5">
        <v>815.6</v>
      </c>
      <c r="AD8" s="5">
        <v>694.4</v>
      </c>
      <c r="AE8" s="5">
        <v>496.8</v>
      </c>
      <c r="AF8" s="8">
        <f t="shared" si="1"/>
        <v>585.0200000000001</v>
      </c>
      <c r="AG8" s="29">
        <v>44958</v>
      </c>
    </row>
    <row r="9" spans="1:33" x14ac:dyDescent="0.3">
      <c r="A9" s="22">
        <v>45008</v>
      </c>
      <c r="B9" s="23">
        <v>0.22</v>
      </c>
      <c r="C9" s="23">
        <f t="shared" si="2"/>
        <v>5.5880000000000001</v>
      </c>
      <c r="D9" s="24">
        <f t="shared" si="3"/>
        <v>6.1594999999999995</v>
      </c>
      <c r="E9" s="24">
        <f t="shared" si="4"/>
        <v>6.8378047241747071</v>
      </c>
      <c r="F9" s="24">
        <f t="shared" si="5"/>
        <v>-0.57149999999999945</v>
      </c>
      <c r="G9" s="24">
        <f t="shared" si="6"/>
        <v>-8.3579456134436042E-2</v>
      </c>
      <c r="I9" s="25">
        <v>44995</v>
      </c>
      <c r="J9" s="26">
        <v>25.200967741935486</v>
      </c>
      <c r="K9" s="8">
        <f t="shared" si="7"/>
        <v>5.6487400119404052</v>
      </c>
      <c r="L9" s="6">
        <f t="shared" si="8"/>
        <v>5.5717037651541919</v>
      </c>
      <c r="M9" s="6">
        <f t="shared" si="9"/>
        <v>19.552227729995082</v>
      </c>
      <c r="N9" s="8">
        <f t="shared" si="10"/>
        <v>3.5092008753724531</v>
      </c>
      <c r="P9" s="25">
        <v>44995</v>
      </c>
      <c r="Q9" s="27">
        <v>624.71500000000003</v>
      </c>
      <c r="R9" s="27">
        <f t="shared" si="11"/>
        <v>624.75153455284578</v>
      </c>
      <c r="S9" s="27">
        <f t="shared" si="12"/>
        <v>0.26578213389891375</v>
      </c>
      <c r="T9" s="28">
        <f t="shared" si="13"/>
        <v>-3.6534552845751023E-2</v>
      </c>
      <c r="U9" s="27">
        <f t="shared" si="0"/>
        <v>-0.13746052945622897</v>
      </c>
      <c r="AA9" s="5">
        <v>18.3</v>
      </c>
      <c r="AB9" s="5">
        <v>34.700000000000003</v>
      </c>
      <c r="AC9" s="5">
        <v>44</v>
      </c>
      <c r="AD9" s="5">
        <v>37</v>
      </c>
      <c r="AE9" s="5">
        <v>66.8</v>
      </c>
      <c r="AF9" s="8">
        <f t="shared" si="1"/>
        <v>40.160000000000004</v>
      </c>
      <c r="AG9" s="29">
        <v>44986</v>
      </c>
    </row>
    <row r="10" spans="1:33" x14ac:dyDescent="0.3">
      <c r="A10" s="22">
        <v>45039</v>
      </c>
      <c r="B10" s="23">
        <v>7.0000000000000007E-2</v>
      </c>
      <c r="C10" s="23">
        <f t="shared" si="2"/>
        <v>1.778</v>
      </c>
      <c r="D10" s="24">
        <f t="shared" si="3"/>
        <v>6.1594999999999995</v>
      </c>
      <c r="E10" s="24">
        <f t="shared" si="4"/>
        <v>6.8378047241747071</v>
      </c>
      <c r="F10" s="24">
        <f t="shared" si="5"/>
        <v>-4.3814999999999991</v>
      </c>
      <c r="G10" s="24">
        <f t="shared" si="6"/>
        <v>-0.64077583036401009</v>
      </c>
      <c r="I10" s="25">
        <v>45026</v>
      </c>
      <c r="J10" s="26">
        <v>21.834999999999997</v>
      </c>
      <c r="K10" s="8">
        <f t="shared" si="7"/>
        <v>5.6487400119404052</v>
      </c>
      <c r="L10" s="6">
        <f t="shared" si="8"/>
        <v>5.5717037651541919</v>
      </c>
      <c r="M10" s="6">
        <f t="shared" si="9"/>
        <v>16.186259988059593</v>
      </c>
      <c r="N10" s="8">
        <f t="shared" si="10"/>
        <v>2.9050826587891385</v>
      </c>
      <c r="P10" s="25">
        <v>45026</v>
      </c>
      <c r="Q10" s="27">
        <v>624.71</v>
      </c>
      <c r="R10" s="27">
        <f t="shared" si="11"/>
        <v>624.75153455284578</v>
      </c>
      <c r="S10" s="27">
        <f t="shared" si="12"/>
        <v>0.26578213389891375</v>
      </c>
      <c r="T10" s="28">
        <f t="shared" si="13"/>
        <v>-4.1534552845746475E-2</v>
      </c>
      <c r="U10" s="27">
        <f t="shared" si="0"/>
        <v>-0.15627293014941146</v>
      </c>
      <c r="AA10" s="5">
        <v>16.899999999999999</v>
      </c>
      <c r="AB10" s="5">
        <v>28.4</v>
      </c>
      <c r="AC10" s="5">
        <v>0.2</v>
      </c>
      <c r="AD10" s="5">
        <v>24.6</v>
      </c>
      <c r="AE10" s="5">
        <v>24.4</v>
      </c>
      <c r="AF10" s="8">
        <f t="shared" si="1"/>
        <v>18.899999999999999</v>
      </c>
      <c r="AG10" s="29">
        <v>45017</v>
      </c>
    </row>
    <row r="11" spans="1:33" x14ac:dyDescent="0.3">
      <c r="A11" s="22">
        <v>45069</v>
      </c>
      <c r="B11" s="23">
        <v>0.3</v>
      </c>
      <c r="C11" s="23">
        <f t="shared" si="2"/>
        <v>7.6199999999999992</v>
      </c>
      <c r="D11" s="24">
        <f t="shared" si="3"/>
        <v>6.1594999999999995</v>
      </c>
      <c r="E11" s="24">
        <f t="shared" si="4"/>
        <v>6.8378047241747071</v>
      </c>
      <c r="F11" s="24">
        <f t="shared" si="5"/>
        <v>1.4604999999999997</v>
      </c>
      <c r="G11" s="24">
        <f t="shared" si="6"/>
        <v>0.21359194345467003</v>
      </c>
      <c r="I11" s="25">
        <v>45056</v>
      </c>
      <c r="J11" s="26">
        <v>3.87</v>
      </c>
      <c r="K11" s="8">
        <f t="shared" si="7"/>
        <v>5.6487400119404052</v>
      </c>
      <c r="L11" s="6">
        <f t="shared" si="8"/>
        <v>5.5717037651541919</v>
      </c>
      <c r="M11" s="6">
        <f t="shared" si="9"/>
        <v>-1.7787400119404051</v>
      </c>
      <c r="N11" s="8">
        <f t="shared" si="10"/>
        <v>-0.3192452590650573</v>
      </c>
      <c r="P11" s="25">
        <v>45056</v>
      </c>
      <c r="Q11" s="27">
        <v>624.7075000000001</v>
      </c>
      <c r="R11" s="27">
        <f t="shared" si="11"/>
        <v>624.75153455284578</v>
      </c>
      <c r="S11" s="27">
        <f t="shared" si="12"/>
        <v>0.26578213389891375</v>
      </c>
      <c r="T11" s="28">
        <f t="shared" si="13"/>
        <v>-4.4034552845687358E-2</v>
      </c>
      <c r="U11" s="27">
        <f t="shared" si="0"/>
        <v>-0.16567913049578886</v>
      </c>
      <c r="AA11" s="5">
        <v>43</v>
      </c>
      <c r="AB11" s="5">
        <v>64.3</v>
      </c>
      <c r="AC11" s="5">
        <v>7.4</v>
      </c>
      <c r="AD11" s="5">
        <v>69.8</v>
      </c>
      <c r="AE11" s="5">
        <v>97.8</v>
      </c>
      <c r="AF11" s="8">
        <f t="shared" si="1"/>
        <v>56.46</v>
      </c>
      <c r="AG11" s="29">
        <v>45047</v>
      </c>
    </row>
    <row r="12" spans="1:33" x14ac:dyDescent="0.3">
      <c r="A12" s="22">
        <v>45100</v>
      </c>
      <c r="B12" s="23">
        <v>0.12</v>
      </c>
      <c r="C12" s="23">
        <f t="shared" si="2"/>
        <v>3.0479999999999996</v>
      </c>
      <c r="D12" s="24">
        <f t="shared" si="3"/>
        <v>6.1594999999999995</v>
      </c>
      <c r="E12" s="24">
        <f t="shared" si="4"/>
        <v>6.8378047241747071</v>
      </c>
      <c r="F12" s="24">
        <f t="shared" si="5"/>
        <v>-3.1114999999999999</v>
      </c>
      <c r="G12" s="24">
        <f t="shared" si="6"/>
        <v>-0.45504370562081886</v>
      </c>
      <c r="I12" s="25">
        <v>45087</v>
      </c>
      <c r="J12" s="26">
        <v>3.99</v>
      </c>
      <c r="K12" s="8">
        <f t="shared" si="7"/>
        <v>5.6487400119404052</v>
      </c>
      <c r="L12" s="6">
        <f t="shared" si="8"/>
        <v>5.5717037651541919</v>
      </c>
      <c r="M12" s="6">
        <f t="shared" si="9"/>
        <v>-1.658740011940405</v>
      </c>
      <c r="N12" s="8">
        <f t="shared" si="10"/>
        <v>-0.29770786133934041</v>
      </c>
      <c r="P12" s="25">
        <v>45087</v>
      </c>
      <c r="Q12" s="27">
        <v>624.64</v>
      </c>
      <c r="R12" s="27">
        <f t="shared" si="11"/>
        <v>624.75153455284578</v>
      </c>
      <c r="S12" s="27">
        <f t="shared" si="12"/>
        <v>0.26578213389891375</v>
      </c>
      <c r="T12" s="28">
        <f t="shared" si="13"/>
        <v>-0.1115345528457965</v>
      </c>
      <c r="U12" s="27">
        <f t="shared" si="0"/>
        <v>-0.41964653985439437</v>
      </c>
      <c r="AA12" s="5">
        <v>2.4</v>
      </c>
      <c r="AB12" s="5">
        <v>25.5</v>
      </c>
      <c r="AC12" s="5">
        <v>0.3</v>
      </c>
      <c r="AD12" s="5">
        <v>6.4</v>
      </c>
      <c r="AE12" s="5">
        <v>4.2</v>
      </c>
      <c r="AF12" s="8">
        <f t="shared" si="1"/>
        <v>7.7600000000000007</v>
      </c>
      <c r="AG12" s="29">
        <v>45078</v>
      </c>
    </row>
    <row r="13" spans="1:33" x14ac:dyDescent="0.3">
      <c r="A13" s="22">
        <v>45130</v>
      </c>
      <c r="B13" s="23">
        <v>0.21</v>
      </c>
      <c r="C13" s="23">
        <f t="shared" si="2"/>
        <v>5.3339999999999996</v>
      </c>
      <c r="D13" s="24">
        <f t="shared" si="3"/>
        <v>6.1594999999999995</v>
      </c>
      <c r="E13" s="24">
        <f t="shared" si="4"/>
        <v>6.8378047241747071</v>
      </c>
      <c r="F13" s="24">
        <f t="shared" si="5"/>
        <v>-0.8254999999999999</v>
      </c>
      <c r="G13" s="24">
        <f t="shared" si="6"/>
        <v>-0.12072588108307437</v>
      </c>
      <c r="I13" s="25">
        <v>45117</v>
      </c>
      <c r="J13" s="26">
        <v>3.48</v>
      </c>
      <c r="K13" s="8">
        <f t="shared" si="7"/>
        <v>5.6487400119404052</v>
      </c>
      <c r="L13" s="6">
        <f t="shared" si="8"/>
        <v>5.5717037651541919</v>
      </c>
      <c r="M13" s="6">
        <f t="shared" si="9"/>
        <v>-2.1687400119404052</v>
      </c>
      <c r="N13" s="8">
        <f t="shared" si="10"/>
        <v>-0.38924180167363714</v>
      </c>
      <c r="P13" s="25">
        <v>45117</v>
      </c>
      <c r="Q13" s="27">
        <v>624.63</v>
      </c>
      <c r="R13" s="27">
        <f t="shared" si="11"/>
        <v>624.75153455284578</v>
      </c>
      <c r="S13" s="27">
        <f t="shared" si="12"/>
        <v>0.26578213389891375</v>
      </c>
      <c r="T13" s="28">
        <f t="shared" si="13"/>
        <v>-0.1215345528457874</v>
      </c>
      <c r="U13" s="27">
        <f t="shared" si="0"/>
        <v>-0.45727134124075941</v>
      </c>
      <c r="AA13" s="5">
        <v>38.5</v>
      </c>
      <c r="AB13" s="5">
        <v>54.7</v>
      </c>
      <c r="AC13" s="5">
        <v>2.2999999999999998</v>
      </c>
      <c r="AD13" s="5">
        <v>77.8</v>
      </c>
      <c r="AE13" s="5">
        <v>81.400000000000006</v>
      </c>
      <c r="AF13" s="8">
        <f t="shared" si="1"/>
        <v>50.940000000000005</v>
      </c>
      <c r="AG13" s="29">
        <v>45108</v>
      </c>
    </row>
    <row r="14" spans="1:33" x14ac:dyDescent="0.3">
      <c r="A14" s="22">
        <v>45161</v>
      </c>
      <c r="B14" s="23">
        <v>7.0000000000000007E-2</v>
      </c>
      <c r="C14" s="23">
        <f>B14*25.4</f>
        <v>1.778</v>
      </c>
      <c r="D14" s="24">
        <f t="shared" si="3"/>
        <v>6.1594999999999995</v>
      </c>
      <c r="E14" s="24">
        <f t="shared" si="4"/>
        <v>6.8378047241747071</v>
      </c>
      <c r="F14" s="24">
        <f t="shared" si="5"/>
        <v>-4.3814999999999991</v>
      </c>
      <c r="G14" s="24">
        <f t="shared" si="6"/>
        <v>-0.64077583036401009</v>
      </c>
      <c r="I14" s="25">
        <v>45148</v>
      </c>
      <c r="J14" s="26">
        <v>2.86</v>
      </c>
      <c r="K14" s="8">
        <f t="shared" si="7"/>
        <v>5.6487400119404052</v>
      </c>
      <c r="L14" s="6">
        <f t="shared" si="8"/>
        <v>5.5717037651541919</v>
      </c>
      <c r="M14" s="6">
        <f t="shared" si="9"/>
        <v>-2.7887400119404053</v>
      </c>
      <c r="N14" s="8">
        <f t="shared" si="10"/>
        <v>-0.50051835658984101</v>
      </c>
      <c r="P14" s="25">
        <v>45148</v>
      </c>
      <c r="Q14" s="27">
        <v>624.67999999999995</v>
      </c>
      <c r="R14" s="27">
        <f t="shared" si="11"/>
        <v>624.75153455284578</v>
      </c>
      <c r="S14" s="27">
        <f t="shared" si="12"/>
        <v>0.26578213389891375</v>
      </c>
      <c r="T14" s="28">
        <f t="shared" si="13"/>
        <v>-7.1534552845832877E-2</v>
      </c>
      <c r="U14" s="27">
        <f t="shared" si="0"/>
        <v>-0.26914733430893428</v>
      </c>
      <c r="AA14" s="5">
        <v>0.4</v>
      </c>
      <c r="AB14" s="5">
        <v>5</v>
      </c>
      <c r="AC14" s="5">
        <v>5.2</v>
      </c>
      <c r="AD14" s="5">
        <v>6.8</v>
      </c>
      <c r="AE14" s="5">
        <v>5.6</v>
      </c>
      <c r="AF14" s="8">
        <f t="shared" si="1"/>
        <v>4.5999999999999996</v>
      </c>
      <c r="AG14" s="29">
        <v>45139</v>
      </c>
    </row>
    <row r="15" spans="1:33" x14ac:dyDescent="0.3">
      <c r="A15" s="22">
        <v>45192</v>
      </c>
      <c r="B15" s="23">
        <v>0.13</v>
      </c>
      <c r="C15" s="23">
        <f t="shared" si="2"/>
        <v>3.302</v>
      </c>
      <c r="D15" s="24">
        <f t="shared" si="3"/>
        <v>6.1594999999999995</v>
      </c>
      <c r="E15" s="24">
        <f t="shared" si="4"/>
        <v>6.8378047241747071</v>
      </c>
      <c r="F15" s="24">
        <f t="shared" si="5"/>
        <v>-2.8574999999999995</v>
      </c>
      <c r="G15" s="24">
        <f t="shared" si="6"/>
        <v>-0.41789728067218052</v>
      </c>
      <c r="I15" s="25">
        <v>45179</v>
      </c>
      <c r="J15" s="26">
        <v>0.9</v>
      </c>
      <c r="K15" s="8">
        <f t="shared" si="7"/>
        <v>5.6487400119404052</v>
      </c>
      <c r="L15" s="6">
        <f t="shared" si="8"/>
        <v>5.5717037651541919</v>
      </c>
      <c r="M15" s="6">
        <f t="shared" si="9"/>
        <v>-4.7487400119404048</v>
      </c>
      <c r="N15" s="8">
        <f t="shared" si="10"/>
        <v>-0.85229585277654973</v>
      </c>
      <c r="P15" s="25">
        <v>45179</v>
      </c>
      <c r="Q15" s="27">
        <v>624.6</v>
      </c>
      <c r="R15" s="27">
        <f t="shared" si="11"/>
        <v>624.75153455284578</v>
      </c>
      <c r="S15" s="27">
        <f t="shared" si="12"/>
        <v>0.26578213389891375</v>
      </c>
      <c r="T15" s="28">
        <f t="shared" si="13"/>
        <v>-0.15153455284576012</v>
      </c>
      <c r="U15" s="27">
        <f t="shared" si="0"/>
        <v>-0.57014574539985452</v>
      </c>
      <c r="AA15" s="5">
        <v>37.1</v>
      </c>
      <c r="AB15" s="5" t="s">
        <v>23</v>
      </c>
      <c r="AC15" s="5"/>
      <c r="AD15" s="5">
        <v>0.02</v>
      </c>
      <c r="AE15" s="5">
        <v>0.6</v>
      </c>
      <c r="AF15" s="8">
        <f t="shared" si="1"/>
        <v>12.573333333333336</v>
      </c>
      <c r="AG15" s="29">
        <v>45170</v>
      </c>
    </row>
    <row r="16" spans="1:33" x14ac:dyDescent="0.3">
      <c r="A16" s="22">
        <v>45222</v>
      </c>
      <c r="B16" s="23">
        <v>0.04</v>
      </c>
      <c r="C16" s="23">
        <f t="shared" si="2"/>
        <v>1.016</v>
      </c>
      <c r="D16" s="24">
        <f t="shared" si="3"/>
        <v>6.1594999999999995</v>
      </c>
      <c r="E16" s="24">
        <f t="shared" si="4"/>
        <v>6.8378047241747071</v>
      </c>
      <c r="F16" s="24">
        <f t="shared" si="5"/>
        <v>-5.1434999999999995</v>
      </c>
      <c r="G16" s="24">
        <f t="shared" si="6"/>
        <v>-0.75221510520992496</v>
      </c>
      <c r="I16" s="25">
        <v>45209</v>
      </c>
      <c r="J16" s="26">
        <v>1.1100000000000001</v>
      </c>
      <c r="K16" s="8">
        <f t="shared" si="7"/>
        <v>5.6487400119404052</v>
      </c>
      <c r="L16" s="6">
        <f t="shared" si="8"/>
        <v>5.5717037651541919</v>
      </c>
      <c r="M16" s="6">
        <f t="shared" si="9"/>
        <v>-4.5387400119404049</v>
      </c>
      <c r="N16" s="8">
        <f t="shared" si="10"/>
        <v>-0.81460540675654525</v>
      </c>
      <c r="P16" s="25">
        <v>45209</v>
      </c>
      <c r="Q16" s="27">
        <v>624.63</v>
      </c>
      <c r="R16" s="27">
        <f t="shared" si="11"/>
        <v>624.75153455284578</v>
      </c>
      <c r="S16" s="27">
        <f t="shared" si="12"/>
        <v>0.26578213389891375</v>
      </c>
      <c r="T16" s="28">
        <f t="shared" si="13"/>
        <v>-0.1215345528457874</v>
      </c>
      <c r="U16" s="27">
        <f t="shared" si="0"/>
        <v>-0.45727134124075941</v>
      </c>
      <c r="AA16" s="5">
        <v>38.700000000000003</v>
      </c>
      <c r="AB16" s="5">
        <v>48</v>
      </c>
      <c r="AC16" s="5">
        <v>37.1</v>
      </c>
      <c r="AD16" s="5">
        <v>37.1</v>
      </c>
      <c r="AE16" s="5">
        <v>37.1</v>
      </c>
      <c r="AF16" s="8">
        <f>AVERAGE(AA16:AE16)</f>
        <v>39.6</v>
      </c>
      <c r="AG16" s="29">
        <v>45200</v>
      </c>
    </row>
    <row r="17" spans="1:33" x14ac:dyDescent="0.3">
      <c r="A17" s="22">
        <v>45253</v>
      </c>
      <c r="B17" s="23">
        <v>0.13</v>
      </c>
      <c r="C17" s="23">
        <f t="shared" si="2"/>
        <v>3.302</v>
      </c>
      <c r="D17" s="24">
        <f t="shared" si="3"/>
        <v>6.1594999999999995</v>
      </c>
      <c r="E17" s="24">
        <f t="shared" si="4"/>
        <v>6.8378047241747071</v>
      </c>
      <c r="F17" s="24">
        <f t="shared" si="5"/>
        <v>-2.8574999999999995</v>
      </c>
      <c r="G17" s="24">
        <f t="shared" si="6"/>
        <v>-0.41789728067218052</v>
      </c>
      <c r="I17" s="25">
        <v>45240</v>
      </c>
      <c r="J17" s="26">
        <v>0.67</v>
      </c>
      <c r="K17" s="8">
        <f t="shared" si="7"/>
        <v>5.6487400119404052</v>
      </c>
      <c r="L17" s="6">
        <f t="shared" si="8"/>
        <v>5.5717037651541919</v>
      </c>
      <c r="M17" s="6">
        <f t="shared" si="9"/>
        <v>-4.9787400119404053</v>
      </c>
      <c r="N17" s="8">
        <f t="shared" si="10"/>
        <v>-0.89357586508417375</v>
      </c>
      <c r="P17" s="25">
        <v>45240</v>
      </c>
      <c r="Q17" s="27">
        <v>624.66999999999996</v>
      </c>
      <c r="R17" s="27">
        <f t="shared" si="11"/>
        <v>624.75153455284578</v>
      </c>
      <c r="S17" s="27">
        <f t="shared" si="12"/>
        <v>0.26578213389891375</v>
      </c>
      <c r="T17" s="28">
        <f t="shared" si="13"/>
        <v>-8.1534552845823782E-2</v>
      </c>
      <c r="U17" s="27">
        <f t="shared" si="0"/>
        <v>-0.30677213569529932</v>
      </c>
      <c r="AA17" s="5">
        <v>55.8</v>
      </c>
      <c r="AB17" s="5">
        <v>38.700000000000003</v>
      </c>
      <c r="AC17" s="5">
        <v>114.8</v>
      </c>
      <c r="AD17" s="5">
        <v>34.799999999999997</v>
      </c>
      <c r="AE17" s="5">
        <v>44</v>
      </c>
      <c r="AF17" s="5">
        <f>AVERAGE(AA17:AE17)</f>
        <v>57.620000000000005</v>
      </c>
      <c r="AG17" s="29">
        <v>45231</v>
      </c>
    </row>
    <row r="18" spans="1:33" x14ac:dyDescent="0.3">
      <c r="A18" s="22">
        <v>45283</v>
      </c>
      <c r="B18" s="23">
        <f>AVERAGE(B17,B19)</f>
        <v>0.36499999999999999</v>
      </c>
      <c r="C18" s="23">
        <f t="shared" si="2"/>
        <v>9.270999999999999</v>
      </c>
      <c r="D18" s="24">
        <f t="shared" si="3"/>
        <v>6.1594999999999995</v>
      </c>
      <c r="E18" s="24">
        <f t="shared" si="4"/>
        <v>6.8378047241747071</v>
      </c>
      <c r="F18" s="24">
        <f t="shared" si="5"/>
        <v>3.1114999999999995</v>
      </c>
      <c r="G18" s="24">
        <f t="shared" si="6"/>
        <v>0.45504370562081881</v>
      </c>
      <c r="I18" s="25">
        <v>45270</v>
      </c>
      <c r="J18" s="26">
        <v>3.1</v>
      </c>
      <c r="K18" s="8">
        <f t="shared" si="7"/>
        <v>5.6487400119404052</v>
      </c>
      <c r="L18" s="6">
        <f t="shared" si="8"/>
        <v>5.5717037651541919</v>
      </c>
      <c r="M18" s="6">
        <f t="shared" si="9"/>
        <v>-2.5487400119404051</v>
      </c>
      <c r="N18" s="8">
        <f t="shared" si="10"/>
        <v>-0.45744356113840717</v>
      </c>
      <c r="P18" s="25">
        <v>45270</v>
      </c>
      <c r="Q18" s="27">
        <v>624.66</v>
      </c>
      <c r="R18" s="27">
        <f t="shared" si="11"/>
        <v>624.75153455284578</v>
      </c>
      <c r="S18" s="27">
        <f t="shared" si="12"/>
        <v>0.26578213389891375</v>
      </c>
      <c r="T18" s="28">
        <f t="shared" si="13"/>
        <v>-9.1534552845814687E-2</v>
      </c>
      <c r="U18" s="27">
        <f t="shared" si="0"/>
        <v>-0.34439693708166436</v>
      </c>
      <c r="AA18" s="5">
        <v>191.4</v>
      </c>
      <c r="AB18" s="5">
        <v>269.39999999999998</v>
      </c>
      <c r="AC18" s="5">
        <v>79.2</v>
      </c>
      <c r="AD18" s="5">
        <v>329</v>
      </c>
      <c r="AE18" s="5">
        <v>15</v>
      </c>
      <c r="AF18" s="8">
        <f>AVERAGE(AA18:AE18)</f>
        <v>176.8</v>
      </c>
      <c r="AG18" s="29">
        <v>45261</v>
      </c>
    </row>
    <row r="19" spans="1:33" x14ac:dyDescent="0.3">
      <c r="A19" s="22">
        <v>45315</v>
      </c>
      <c r="B19" s="23">
        <v>0.6</v>
      </c>
      <c r="C19" s="23">
        <f t="shared" si="2"/>
        <v>15.239999999999998</v>
      </c>
      <c r="D19" s="24">
        <f t="shared" si="3"/>
        <v>6.1594999999999995</v>
      </c>
      <c r="E19" s="24">
        <f t="shared" si="4"/>
        <v>6.8378047241747071</v>
      </c>
      <c r="F19" s="24">
        <f t="shared" si="5"/>
        <v>9.0804999999999989</v>
      </c>
      <c r="G19" s="24">
        <f t="shared" si="6"/>
        <v>1.3279846919138183</v>
      </c>
      <c r="I19" s="25">
        <v>45301</v>
      </c>
      <c r="J19" s="26">
        <v>12</v>
      </c>
      <c r="K19" s="8">
        <f t="shared" si="7"/>
        <v>5.6487400119404052</v>
      </c>
      <c r="L19" s="6">
        <f t="shared" si="8"/>
        <v>5.5717037651541919</v>
      </c>
      <c r="M19" s="6">
        <f t="shared" si="9"/>
        <v>6.3512599880595948</v>
      </c>
      <c r="N19" s="8">
        <f t="shared" si="10"/>
        <v>1.1399134368522605</v>
      </c>
      <c r="P19" s="25">
        <v>45301</v>
      </c>
      <c r="Q19" s="27">
        <v>624.92000000000007</v>
      </c>
      <c r="R19" s="27">
        <f t="shared" si="11"/>
        <v>624.75153455284578</v>
      </c>
      <c r="S19" s="27">
        <f t="shared" si="12"/>
        <v>0.26578213389891375</v>
      </c>
      <c r="T19" s="28">
        <f t="shared" si="13"/>
        <v>0.1684654471542899</v>
      </c>
      <c r="U19" s="27">
        <f t="shared" si="0"/>
        <v>0.63384789896510951</v>
      </c>
      <c r="AA19" s="5">
        <v>108.4</v>
      </c>
      <c r="AB19" s="5">
        <v>137</v>
      </c>
      <c r="AC19" s="5">
        <v>59.4</v>
      </c>
      <c r="AD19" s="5">
        <v>114</v>
      </c>
      <c r="AE19" s="5">
        <v>79.400000000000006</v>
      </c>
      <c r="AF19" s="8">
        <f>AVERAGE(AA19:AE19)</f>
        <v>99.640000000000015</v>
      </c>
      <c r="AG19" s="29">
        <v>45292</v>
      </c>
    </row>
    <row r="20" spans="1:33" x14ac:dyDescent="0.3">
      <c r="A20" s="22">
        <v>45346</v>
      </c>
      <c r="B20" s="23"/>
      <c r="C20" s="23"/>
      <c r="D20" s="24">
        <f t="shared" si="3"/>
        <v>6.1594999999999995</v>
      </c>
      <c r="E20" s="24">
        <f t="shared" si="4"/>
        <v>6.8378047241747071</v>
      </c>
      <c r="F20" s="24">
        <f t="shared" si="5"/>
        <v>-6.1594999999999995</v>
      </c>
      <c r="G20" s="24">
        <f t="shared" si="6"/>
        <v>-0.90080080500447812</v>
      </c>
      <c r="I20" s="25">
        <v>45332</v>
      </c>
      <c r="J20" s="26">
        <v>14.225580274502814</v>
      </c>
      <c r="K20" s="8">
        <f t="shared" si="7"/>
        <v>5.6487400119404052</v>
      </c>
      <c r="L20" s="6">
        <f t="shared" si="8"/>
        <v>5.5717037651541919</v>
      </c>
      <c r="M20" s="6">
        <f t="shared" si="9"/>
        <v>8.5768402625624098</v>
      </c>
      <c r="N20" s="8">
        <f t="shared" si="10"/>
        <v>1.5393568330395708</v>
      </c>
      <c r="P20" s="25">
        <v>45332</v>
      </c>
      <c r="Q20" s="27">
        <v>625.02</v>
      </c>
      <c r="R20" s="27">
        <f t="shared" si="11"/>
        <v>624.75153455284578</v>
      </c>
      <c r="S20" s="27">
        <f t="shared" si="12"/>
        <v>0.26578213389891375</v>
      </c>
      <c r="T20" s="28">
        <f t="shared" si="13"/>
        <v>0.26846544715419896</v>
      </c>
      <c r="U20" s="27">
        <f t="shared" si="0"/>
        <v>1.0100959128287599</v>
      </c>
      <c r="AA20" s="5"/>
      <c r="AB20" s="5"/>
      <c r="AC20" s="5"/>
      <c r="AD20" s="5"/>
      <c r="AE20" s="5"/>
      <c r="AF20" s="5"/>
      <c r="AG20" s="29">
        <v>45323</v>
      </c>
    </row>
    <row r="21" spans="1:33" x14ac:dyDescent="0.3">
      <c r="A21" s="22">
        <v>45375</v>
      </c>
      <c r="B21" s="23"/>
      <c r="C21" s="23"/>
      <c r="D21" s="24">
        <f t="shared" si="3"/>
        <v>6.1594999999999995</v>
      </c>
      <c r="E21" s="24">
        <f t="shared" si="4"/>
        <v>6.8378047241747071</v>
      </c>
      <c r="F21" s="24">
        <f t="shared" si="5"/>
        <v>-6.1594999999999995</v>
      </c>
      <c r="G21" s="24">
        <f t="shared" si="6"/>
        <v>-0.90080080500447812</v>
      </c>
      <c r="I21" s="25">
        <v>45361</v>
      </c>
      <c r="J21" s="26">
        <v>12.16</v>
      </c>
      <c r="K21" s="8">
        <f t="shared" si="7"/>
        <v>5.6487400119404052</v>
      </c>
      <c r="L21" s="6">
        <f t="shared" si="8"/>
        <v>5.5717037651541919</v>
      </c>
      <c r="M21" s="6">
        <f t="shared" si="9"/>
        <v>6.5112599880595949</v>
      </c>
      <c r="N21" s="8">
        <f t="shared" si="10"/>
        <v>1.1686299671532163</v>
      </c>
      <c r="P21" s="25">
        <v>45361</v>
      </c>
      <c r="Q21" s="27">
        <v>624.97</v>
      </c>
      <c r="R21" s="27">
        <f t="shared" si="11"/>
        <v>624.75153455284578</v>
      </c>
      <c r="S21" s="27">
        <f t="shared" si="12"/>
        <v>0.26578213389891375</v>
      </c>
      <c r="T21" s="28">
        <f t="shared" si="13"/>
        <v>0.21846544715424443</v>
      </c>
      <c r="U21" s="27">
        <f t="shared" si="0"/>
        <v>0.8219719058969347</v>
      </c>
      <c r="AA21" s="5"/>
      <c r="AB21" s="5"/>
      <c r="AC21" s="5"/>
      <c r="AD21" s="5"/>
      <c r="AE21" s="5"/>
      <c r="AF21" s="5"/>
      <c r="AG21" s="29">
        <v>45352</v>
      </c>
    </row>
    <row r="22" spans="1:33" x14ac:dyDescent="0.3">
      <c r="A22" s="22">
        <v>45406</v>
      </c>
      <c r="B22" s="23"/>
      <c r="C22" s="23"/>
      <c r="D22" s="24">
        <f t="shared" si="3"/>
        <v>6.1594999999999995</v>
      </c>
      <c r="E22" s="24">
        <f t="shared" si="4"/>
        <v>6.8378047241747071</v>
      </c>
      <c r="F22" s="24">
        <f t="shared" si="5"/>
        <v>-6.1594999999999995</v>
      </c>
      <c r="G22" s="24">
        <f t="shared" si="6"/>
        <v>-0.90080080500447812</v>
      </c>
      <c r="I22" s="25">
        <v>45392</v>
      </c>
      <c r="J22" s="30">
        <v>14.07</v>
      </c>
      <c r="K22" s="8">
        <f t="shared" si="7"/>
        <v>5.6487400119404052</v>
      </c>
      <c r="L22" s="6">
        <f t="shared" si="8"/>
        <v>5.5717037651541919</v>
      </c>
      <c r="M22" s="6">
        <f t="shared" si="9"/>
        <v>8.421259988059596</v>
      </c>
      <c r="N22" s="8">
        <f t="shared" si="10"/>
        <v>1.5114335476208767</v>
      </c>
      <c r="P22" s="25">
        <v>45392</v>
      </c>
      <c r="Q22" s="27">
        <v>625</v>
      </c>
      <c r="R22" s="27">
        <f t="shared" si="11"/>
        <v>624.75153455284578</v>
      </c>
      <c r="S22" s="27">
        <f t="shared" si="12"/>
        <v>0.26578213389891375</v>
      </c>
      <c r="T22" s="28">
        <f t="shared" si="13"/>
        <v>0.24846544715421714</v>
      </c>
      <c r="U22" s="27">
        <f t="shared" si="0"/>
        <v>0.93484631005602981</v>
      </c>
    </row>
    <row r="23" spans="1:33" x14ac:dyDescent="0.3">
      <c r="A23" s="22">
        <v>45436</v>
      </c>
      <c r="B23" s="23">
        <v>0.3</v>
      </c>
      <c r="C23" s="23">
        <f>B23*25.4</f>
        <v>7.6199999999999992</v>
      </c>
      <c r="D23" s="24">
        <f t="shared" si="3"/>
        <v>6.1594999999999995</v>
      </c>
      <c r="E23" s="24">
        <f t="shared" si="4"/>
        <v>6.8378047241747071</v>
      </c>
      <c r="F23" s="24">
        <f t="shared" si="5"/>
        <v>1.4604999999999997</v>
      </c>
      <c r="G23" s="24">
        <f t="shared" si="6"/>
        <v>0.21359194345467003</v>
      </c>
      <c r="I23" s="25">
        <v>45422</v>
      </c>
      <c r="J23" s="26">
        <v>3.24</v>
      </c>
      <c r="K23" s="8">
        <f t="shared" si="7"/>
        <v>5.6487400119404052</v>
      </c>
      <c r="L23" s="6">
        <f t="shared" si="8"/>
        <v>5.5717037651541919</v>
      </c>
      <c r="M23" s="6">
        <f t="shared" si="9"/>
        <v>-2.408740011940405</v>
      </c>
      <c r="N23" s="8">
        <f t="shared" si="10"/>
        <v>-0.43231659712507081</v>
      </c>
      <c r="P23" s="25">
        <v>45422</v>
      </c>
      <c r="Q23" s="27">
        <v>624.9</v>
      </c>
      <c r="R23" s="27">
        <f t="shared" si="11"/>
        <v>624.75153455284578</v>
      </c>
      <c r="S23" s="27">
        <f t="shared" si="12"/>
        <v>0.26578213389891375</v>
      </c>
      <c r="T23" s="28">
        <f t="shared" si="13"/>
        <v>0.14846544715419441</v>
      </c>
      <c r="U23" s="27">
        <f t="shared" si="0"/>
        <v>0.55859829619195178</v>
      </c>
    </row>
    <row r="24" spans="1:33" x14ac:dyDescent="0.3">
      <c r="A24" s="22">
        <v>45468</v>
      </c>
      <c r="B24" s="31">
        <v>0.22</v>
      </c>
      <c r="C24" s="23">
        <f t="shared" ref="C24:C43" si="14">B24*25.4</f>
        <v>5.5880000000000001</v>
      </c>
      <c r="D24" s="24">
        <f t="shared" si="3"/>
        <v>6.1594999999999995</v>
      </c>
      <c r="E24" s="24">
        <f t="shared" si="4"/>
        <v>6.8378047241747071</v>
      </c>
      <c r="F24" s="24">
        <f t="shared" si="5"/>
        <v>-0.57149999999999945</v>
      </c>
      <c r="G24" s="24">
        <f t="shared" si="6"/>
        <v>-8.3579456134436042E-2</v>
      </c>
      <c r="I24" s="25">
        <v>45454</v>
      </c>
      <c r="J24" s="26">
        <v>3.58</v>
      </c>
      <c r="K24" s="8">
        <f t="shared" si="7"/>
        <v>5.6487400119404052</v>
      </c>
      <c r="L24" s="6">
        <f t="shared" si="8"/>
        <v>5.5717037651541919</v>
      </c>
      <c r="M24" s="6">
        <f t="shared" si="9"/>
        <v>-2.0687400119404051</v>
      </c>
      <c r="N24" s="8">
        <f t="shared" si="10"/>
        <v>-0.37129397023553973</v>
      </c>
      <c r="P24" s="25">
        <v>45454</v>
      </c>
      <c r="Q24" s="27">
        <v>624.83000000000004</v>
      </c>
      <c r="R24" s="27">
        <f t="shared" si="11"/>
        <v>624.75153455284578</v>
      </c>
      <c r="S24" s="27">
        <f t="shared" si="12"/>
        <v>0.26578213389891375</v>
      </c>
      <c r="T24" s="28">
        <f t="shared" si="13"/>
        <v>7.8465447154258072E-2</v>
      </c>
      <c r="U24" s="27">
        <f t="shared" si="0"/>
        <v>0.29522468648739658</v>
      </c>
    </row>
    <row r="25" spans="1:33" x14ac:dyDescent="0.3">
      <c r="A25" s="22">
        <v>45499</v>
      </c>
      <c r="B25" s="23">
        <v>0.14000000000000001</v>
      </c>
      <c r="C25" s="23">
        <f t="shared" si="14"/>
        <v>3.556</v>
      </c>
      <c r="D25" s="24">
        <f t="shared" si="3"/>
        <v>6.1594999999999995</v>
      </c>
      <c r="E25" s="24">
        <f t="shared" si="4"/>
        <v>6.8378047241747071</v>
      </c>
      <c r="F25" s="24">
        <f>C25-D25</f>
        <v>-2.6034999999999995</v>
      </c>
      <c r="G25" s="24">
        <f t="shared" si="6"/>
        <v>-0.38075085572354223</v>
      </c>
      <c r="I25" s="25">
        <v>45485</v>
      </c>
      <c r="J25" s="26">
        <v>7.95</v>
      </c>
      <c r="K25" s="8">
        <f t="shared" si="7"/>
        <v>5.6487400119404052</v>
      </c>
      <c r="L25" s="6">
        <f t="shared" si="8"/>
        <v>5.5717037651541919</v>
      </c>
      <c r="M25" s="6">
        <f t="shared" si="9"/>
        <v>2.301259988059595</v>
      </c>
      <c r="N25" s="8">
        <f t="shared" si="10"/>
        <v>0.41302626360931621</v>
      </c>
      <c r="P25" s="25">
        <v>45485</v>
      </c>
      <c r="Q25" s="27">
        <v>624.92541666666671</v>
      </c>
      <c r="R25" s="27">
        <f t="shared" si="11"/>
        <v>624.75153455284578</v>
      </c>
      <c r="S25" s="27">
        <f t="shared" si="12"/>
        <v>0.26578213389891375</v>
      </c>
      <c r="T25" s="28">
        <f t="shared" si="13"/>
        <v>0.17388211382092322</v>
      </c>
      <c r="U25" s="27">
        <f t="shared" si="0"/>
        <v>0.65422799971595036</v>
      </c>
    </row>
    <row r="26" spans="1:33" x14ac:dyDescent="0.3">
      <c r="A26" s="22">
        <v>45531</v>
      </c>
      <c r="B26" s="31">
        <v>0.105</v>
      </c>
      <c r="C26" s="23">
        <f t="shared" si="14"/>
        <v>2.6669999999999998</v>
      </c>
      <c r="D26" s="24">
        <f t="shared" si="3"/>
        <v>6.1594999999999995</v>
      </c>
      <c r="E26" s="24">
        <f t="shared" si="4"/>
        <v>6.8378047241747071</v>
      </c>
      <c r="F26" s="24">
        <f t="shared" ref="F26:F44" si="15">C26-D26</f>
        <v>-3.4924999999999997</v>
      </c>
      <c r="G26" s="24">
        <f t="shared" si="6"/>
        <v>-0.51076334304377624</v>
      </c>
      <c r="I26" s="25">
        <v>45517</v>
      </c>
      <c r="J26" s="26">
        <v>4.2</v>
      </c>
      <c r="K26" s="8">
        <f t="shared" si="7"/>
        <v>5.6487400119404052</v>
      </c>
      <c r="L26" s="6">
        <f t="shared" si="8"/>
        <v>5.5717037651541919</v>
      </c>
      <c r="M26" s="6">
        <f t="shared" si="9"/>
        <v>-1.448740011940405</v>
      </c>
      <c r="N26" s="8">
        <f t="shared" si="10"/>
        <v>-0.26001741531933587</v>
      </c>
      <c r="P26" s="25">
        <v>45517</v>
      </c>
      <c r="Q26" s="27">
        <v>624.79</v>
      </c>
      <c r="R26" s="27">
        <f t="shared" si="11"/>
        <v>624.75153455284578</v>
      </c>
      <c r="S26" s="27">
        <f t="shared" si="12"/>
        <v>0.26578213389891375</v>
      </c>
      <c r="T26" s="28">
        <f t="shared" si="13"/>
        <v>3.8465447154180765E-2</v>
      </c>
      <c r="U26" s="27">
        <f t="shared" si="0"/>
        <v>0.14472548094150875</v>
      </c>
    </row>
    <row r="27" spans="1:33" x14ac:dyDescent="0.3">
      <c r="A27" s="22">
        <v>45563</v>
      </c>
      <c r="B27" s="31">
        <v>0.1</v>
      </c>
      <c r="C27" s="23">
        <f t="shared" si="14"/>
        <v>2.54</v>
      </c>
      <c r="D27" s="24">
        <f t="shared" si="3"/>
        <v>6.1594999999999995</v>
      </c>
      <c r="E27" s="24">
        <f t="shared" si="4"/>
        <v>6.8378047241747071</v>
      </c>
      <c r="F27" s="24">
        <f t="shared" si="15"/>
        <v>-3.6194999999999995</v>
      </c>
      <c r="G27" s="24">
        <f t="shared" si="6"/>
        <v>-0.52933655551809533</v>
      </c>
      <c r="I27" s="25">
        <v>45549</v>
      </c>
      <c r="J27" s="26">
        <v>2.34</v>
      </c>
      <c r="K27" s="8">
        <f t="shared" si="7"/>
        <v>5.6487400119404052</v>
      </c>
      <c r="L27" s="6">
        <f t="shared" si="8"/>
        <v>5.5717037651541919</v>
      </c>
      <c r="M27" s="6">
        <f t="shared" si="9"/>
        <v>-3.3087400119404053</v>
      </c>
      <c r="N27" s="8">
        <f t="shared" si="10"/>
        <v>-0.5938470800679474</v>
      </c>
      <c r="P27" s="25">
        <v>45549</v>
      </c>
      <c r="Q27" s="32">
        <v>624.78</v>
      </c>
      <c r="R27" s="27">
        <f t="shared" si="11"/>
        <v>624.75153455284578</v>
      </c>
      <c r="S27" s="27">
        <f t="shared" si="12"/>
        <v>0.26578213389891375</v>
      </c>
      <c r="T27" s="28">
        <f t="shared" si="13"/>
        <v>2.846544715418986E-2</v>
      </c>
      <c r="U27" s="27">
        <f t="shared" si="0"/>
        <v>0.10710067955514371</v>
      </c>
    </row>
    <row r="28" spans="1:33" x14ac:dyDescent="0.3">
      <c r="A28" s="22">
        <v>45594</v>
      </c>
      <c r="B28" s="31">
        <v>0.09</v>
      </c>
      <c r="C28" s="23">
        <f t="shared" si="14"/>
        <v>2.2859999999999996</v>
      </c>
      <c r="D28" s="24">
        <f t="shared" si="3"/>
        <v>6.1594999999999995</v>
      </c>
      <c r="E28" s="24">
        <f t="shared" si="4"/>
        <v>6.8378047241747071</v>
      </c>
      <c r="F28" s="24">
        <f t="shared" si="15"/>
        <v>-3.8734999999999999</v>
      </c>
      <c r="G28" s="24">
        <f t="shared" si="6"/>
        <v>-0.56648298046673373</v>
      </c>
      <c r="H28" s="33"/>
      <c r="I28" s="25">
        <v>45580</v>
      </c>
      <c r="J28" s="26">
        <v>2.7549999999999999</v>
      </c>
      <c r="K28" s="8">
        <f t="shared" si="7"/>
        <v>5.6487400119404052</v>
      </c>
      <c r="L28" s="6">
        <f t="shared" si="8"/>
        <v>5.5717037651541919</v>
      </c>
      <c r="M28" s="6">
        <f t="shared" si="9"/>
        <v>-2.8937400119404053</v>
      </c>
      <c r="N28" s="8">
        <f t="shared" si="10"/>
        <v>-0.51936357959984325</v>
      </c>
      <c r="O28" s="33"/>
      <c r="P28" s="34">
        <v>45566</v>
      </c>
      <c r="Q28" s="35">
        <v>624.76</v>
      </c>
      <c r="R28" s="27">
        <f t="shared" si="11"/>
        <v>624.75153455284578</v>
      </c>
      <c r="S28" s="27">
        <f t="shared" si="12"/>
        <v>0.26578213389891375</v>
      </c>
      <c r="T28" s="28">
        <f t="shared" si="13"/>
        <v>8.4654471542080501E-3</v>
      </c>
      <c r="U28" s="27">
        <f t="shared" si="0"/>
        <v>3.1851076782413661E-2</v>
      </c>
    </row>
    <row r="29" spans="1:33" x14ac:dyDescent="0.3">
      <c r="A29" s="22">
        <v>45626</v>
      </c>
      <c r="B29" s="31">
        <v>0.22</v>
      </c>
      <c r="C29" s="23">
        <f t="shared" si="14"/>
        <v>5.5880000000000001</v>
      </c>
      <c r="D29" s="24">
        <f t="shared" si="3"/>
        <v>6.1594999999999995</v>
      </c>
      <c r="E29" s="24">
        <f t="shared" si="4"/>
        <v>6.8378047241747071</v>
      </c>
      <c r="F29" s="24">
        <f t="shared" si="15"/>
        <v>-0.57149999999999945</v>
      </c>
      <c r="G29" s="24">
        <f t="shared" si="6"/>
        <v>-8.3579456134436042E-2</v>
      </c>
      <c r="I29" s="25">
        <v>45612</v>
      </c>
      <c r="J29" s="26">
        <v>2.83</v>
      </c>
      <c r="K29" s="8">
        <f t="shared" si="7"/>
        <v>5.6487400119404052</v>
      </c>
      <c r="L29" s="6">
        <f t="shared" si="8"/>
        <v>5.5717037651541919</v>
      </c>
      <c r="M29" s="6">
        <f t="shared" si="9"/>
        <v>-2.8187400119404051</v>
      </c>
      <c r="N29" s="8">
        <f t="shared" si="10"/>
        <v>-0.50590270602127019</v>
      </c>
      <c r="P29" s="34">
        <v>45598</v>
      </c>
      <c r="Q29" s="35">
        <v>624.79</v>
      </c>
      <c r="R29" s="27">
        <f t="shared" si="11"/>
        <v>624.75153455284578</v>
      </c>
      <c r="S29" s="27">
        <f t="shared" si="12"/>
        <v>0.26578213389891375</v>
      </c>
      <c r="T29" s="28">
        <f t="shared" si="13"/>
        <v>3.8465447154180765E-2</v>
      </c>
      <c r="U29" s="27">
        <f t="shared" si="0"/>
        <v>0.14472548094150875</v>
      </c>
    </row>
    <row r="30" spans="1:33" x14ac:dyDescent="0.3">
      <c r="A30" s="22">
        <v>45627</v>
      </c>
      <c r="B30" s="31">
        <v>0.35</v>
      </c>
      <c r="C30" s="23">
        <f>B30*25.4</f>
        <v>8.8899999999999988</v>
      </c>
      <c r="D30" s="24">
        <f t="shared" si="3"/>
        <v>6.1594999999999995</v>
      </c>
      <c r="E30" s="24">
        <f t="shared" si="4"/>
        <v>6.8378047241747071</v>
      </c>
      <c r="F30" s="24">
        <f t="shared" si="15"/>
        <v>2.7304999999999993</v>
      </c>
      <c r="G30" s="24">
        <f t="shared" si="6"/>
        <v>0.39932406819786137</v>
      </c>
      <c r="I30" s="25">
        <v>45643</v>
      </c>
      <c r="J30" s="26">
        <v>2.8940000000000001</v>
      </c>
      <c r="K30" s="8">
        <f t="shared" si="7"/>
        <v>5.6487400119404052</v>
      </c>
      <c r="L30" s="6">
        <f t="shared" si="8"/>
        <v>5.5717037651541919</v>
      </c>
      <c r="M30" s="6">
        <f t="shared" si="9"/>
        <v>-2.7547400119404051</v>
      </c>
      <c r="N30" s="8">
        <f t="shared" si="10"/>
        <v>-0.49441609390088781</v>
      </c>
      <c r="P30" s="34">
        <v>45629</v>
      </c>
      <c r="Q30" s="35">
        <v>624.67999999999995</v>
      </c>
      <c r="R30" s="27">
        <f t="shared" si="11"/>
        <v>624.75153455284578</v>
      </c>
      <c r="S30" s="27">
        <f t="shared" si="12"/>
        <v>0.26578213389891375</v>
      </c>
      <c r="T30" s="28">
        <f t="shared" si="13"/>
        <v>-7.1534552845832877E-2</v>
      </c>
      <c r="U30" s="27">
        <f t="shared" si="0"/>
        <v>-0.26914733430893428</v>
      </c>
    </row>
    <row r="31" spans="1:33" x14ac:dyDescent="0.3">
      <c r="A31" s="22">
        <v>45659</v>
      </c>
      <c r="B31" s="31">
        <v>0.77</v>
      </c>
      <c r="C31" s="23">
        <f t="shared" si="14"/>
        <v>19.558</v>
      </c>
      <c r="D31" s="24">
        <f t="shared" si="3"/>
        <v>6.1594999999999995</v>
      </c>
      <c r="E31" s="24">
        <f t="shared" si="4"/>
        <v>6.8378047241747071</v>
      </c>
      <c r="F31" s="24">
        <f t="shared" si="15"/>
        <v>13.3985</v>
      </c>
      <c r="G31" s="24">
        <f t="shared" si="6"/>
        <v>1.9594739160406691</v>
      </c>
      <c r="I31" s="25">
        <v>45674</v>
      </c>
      <c r="J31" s="26">
        <v>3.37</v>
      </c>
      <c r="K31" s="8">
        <f t="shared" si="7"/>
        <v>5.6487400119404052</v>
      </c>
      <c r="L31" s="6">
        <f t="shared" si="8"/>
        <v>5.5717037651541919</v>
      </c>
      <c r="M31" s="6">
        <f t="shared" si="9"/>
        <v>-2.2787400119404051</v>
      </c>
      <c r="N31" s="8">
        <f t="shared" si="10"/>
        <v>-0.40898441625554421</v>
      </c>
      <c r="P31" s="34">
        <v>45668</v>
      </c>
      <c r="Q31" s="35">
        <v>624.80999999999995</v>
      </c>
      <c r="R31" s="27">
        <f t="shared" si="11"/>
        <v>624.75153455284578</v>
      </c>
      <c r="S31" s="27">
        <f t="shared" si="12"/>
        <v>0.26578213389891375</v>
      </c>
      <c r="T31" s="28">
        <f t="shared" si="13"/>
        <v>5.8465447154162575E-2</v>
      </c>
      <c r="U31" s="27">
        <f t="shared" si="0"/>
        <v>0.21997508371423879</v>
      </c>
    </row>
    <row r="32" spans="1:33" x14ac:dyDescent="0.3">
      <c r="A32" s="22">
        <v>45691</v>
      </c>
      <c r="B32" s="31">
        <v>0.51</v>
      </c>
      <c r="C32" s="23">
        <f t="shared" si="14"/>
        <v>12.953999999999999</v>
      </c>
      <c r="D32" s="24">
        <f t="shared" si="3"/>
        <v>6.1594999999999995</v>
      </c>
      <c r="E32" s="24">
        <f t="shared" si="4"/>
        <v>6.8378047241747071</v>
      </c>
      <c r="F32" s="24">
        <f t="shared" si="15"/>
        <v>6.7944999999999993</v>
      </c>
      <c r="G32" s="24">
        <f t="shared" si="6"/>
        <v>0.99366686737607379</v>
      </c>
      <c r="I32" s="25">
        <v>45689</v>
      </c>
      <c r="J32" s="26">
        <v>4.26</v>
      </c>
      <c r="K32" s="8">
        <f t="shared" si="7"/>
        <v>5.6487400119404052</v>
      </c>
      <c r="L32" s="6">
        <f t="shared" si="8"/>
        <v>5.5717037651541919</v>
      </c>
      <c r="M32" s="6">
        <f t="shared" si="9"/>
        <v>-1.3887400119404054</v>
      </c>
      <c r="N32" s="8">
        <f t="shared" si="10"/>
        <v>-0.24924871645647753</v>
      </c>
      <c r="P32" s="34">
        <v>45689</v>
      </c>
      <c r="Q32" s="35">
        <v>624.97</v>
      </c>
      <c r="R32" s="27">
        <f t="shared" si="11"/>
        <v>624.75153455284578</v>
      </c>
      <c r="S32" s="27">
        <f t="shared" si="12"/>
        <v>0.26578213389891375</v>
      </c>
      <c r="T32" s="28">
        <f t="shared" si="13"/>
        <v>0.21846544715424443</v>
      </c>
      <c r="U32" s="27">
        <f t="shared" si="0"/>
        <v>0.8219719058969347</v>
      </c>
    </row>
    <row r="33" spans="1:21" x14ac:dyDescent="0.3">
      <c r="A33" s="22">
        <v>45720</v>
      </c>
      <c r="B33" s="31">
        <v>0.02</v>
      </c>
      <c r="C33" s="23">
        <f t="shared" si="14"/>
        <v>0.50800000000000001</v>
      </c>
      <c r="D33" s="24">
        <f t="shared" si="3"/>
        <v>6.1594999999999995</v>
      </c>
      <c r="E33" s="24">
        <f t="shared" si="4"/>
        <v>6.8378047241747071</v>
      </c>
      <c r="F33" s="24">
        <f t="shared" si="15"/>
        <v>-5.6514999999999995</v>
      </c>
      <c r="G33" s="24">
        <f t="shared" si="6"/>
        <v>-0.82650795510720154</v>
      </c>
      <c r="I33" s="25">
        <v>45717</v>
      </c>
      <c r="J33" s="26">
        <v>5.26</v>
      </c>
      <c r="K33" s="8">
        <f t="shared" si="7"/>
        <v>5.6487400119404052</v>
      </c>
      <c r="L33" s="6">
        <f t="shared" si="8"/>
        <v>5.5717037651541919</v>
      </c>
      <c r="M33" s="6">
        <f t="shared" si="9"/>
        <v>-0.38874001194040542</v>
      </c>
      <c r="N33" s="8">
        <f t="shared" si="10"/>
        <v>-6.9770402075503626E-2</v>
      </c>
      <c r="P33" s="34">
        <v>45718</v>
      </c>
      <c r="Q33" s="35">
        <v>624.89</v>
      </c>
      <c r="R33" s="27">
        <f t="shared" si="11"/>
        <v>624.75153455284578</v>
      </c>
      <c r="S33" s="27">
        <f t="shared" si="12"/>
        <v>0.26578213389891375</v>
      </c>
      <c r="T33" s="28">
        <f t="shared" si="13"/>
        <v>0.1384654471542035</v>
      </c>
      <c r="U33" s="27">
        <f t="shared" si="0"/>
        <v>0.52097349480558675</v>
      </c>
    </row>
    <row r="34" spans="1:21" x14ac:dyDescent="0.3">
      <c r="A34" s="22">
        <v>45752</v>
      </c>
      <c r="B34" s="31">
        <v>0.59</v>
      </c>
      <c r="C34" s="23">
        <f t="shared" si="14"/>
        <v>14.985999999999999</v>
      </c>
      <c r="D34" s="24">
        <f t="shared" si="3"/>
        <v>6.1594999999999995</v>
      </c>
      <c r="E34" s="24">
        <f t="shared" si="4"/>
        <v>6.8378047241747071</v>
      </c>
      <c r="F34" s="24">
        <f t="shared" si="15"/>
        <v>8.8264999999999993</v>
      </c>
      <c r="G34" s="24">
        <f t="shared" si="6"/>
        <v>1.2908382669651799</v>
      </c>
      <c r="I34" s="25">
        <v>45749</v>
      </c>
      <c r="J34" s="26">
        <v>5.75</v>
      </c>
      <c r="K34" s="8">
        <f t="shared" si="7"/>
        <v>5.6487400119404052</v>
      </c>
      <c r="L34" s="6">
        <f t="shared" si="8"/>
        <v>5.5717037651541919</v>
      </c>
      <c r="M34" s="6">
        <f t="shared" si="9"/>
        <v>0.1012599880595948</v>
      </c>
      <c r="N34" s="8">
        <f t="shared" si="10"/>
        <v>1.8173971971173618E-2</v>
      </c>
      <c r="P34" s="34">
        <v>45750</v>
      </c>
      <c r="Q34" s="35">
        <f>AVERAGE(Q32:Q33)</f>
        <v>624.93000000000006</v>
      </c>
      <c r="R34" s="27">
        <f t="shared" si="11"/>
        <v>624.75153455284578</v>
      </c>
      <c r="S34" s="27">
        <f t="shared" si="12"/>
        <v>0.26578213389891375</v>
      </c>
      <c r="T34" s="28">
        <f t="shared" si="13"/>
        <v>0.17846544715428081</v>
      </c>
      <c r="U34" s="27">
        <f t="shared" si="0"/>
        <v>0.67147270035147455</v>
      </c>
    </row>
    <row r="35" spans="1:21" x14ac:dyDescent="0.3">
      <c r="A35" s="22">
        <v>45783</v>
      </c>
      <c r="B35" s="31">
        <v>0.04</v>
      </c>
      <c r="C35" s="23">
        <f t="shared" si="14"/>
        <v>1.016</v>
      </c>
      <c r="D35" s="24">
        <f t="shared" si="3"/>
        <v>6.1594999999999995</v>
      </c>
      <c r="E35" s="24">
        <f t="shared" si="4"/>
        <v>6.8378047241747071</v>
      </c>
      <c r="F35" s="24">
        <f t="shared" si="15"/>
        <v>-5.1434999999999995</v>
      </c>
      <c r="G35" s="24">
        <f t="shared" si="6"/>
        <v>-0.75221510520992496</v>
      </c>
      <c r="I35" s="25">
        <v>45780</v>
      </c>
      <c r="J35" s="26">
        <v>5.37</v>
      </c>
      <c r="K35" s="8">
        <f t="shared" si="7"/>
        <v>5.6487400119404052</v>
      </c>
      <c r="L35" s="6">
        <f t="shared" si="8"/>
        <v>5.5717037651541919</v>
      </c>
      <c r="M35" s="6">
        <f t="shared" si="9"/>
        <v>-0.2787400119404051</v>
      </c>
      <c r="N35" s="8">
        <f t="shared" si="10"/>
        <v>-5.0027787493596446E-2</v>
      </c>
      <c r="P35" s="34">
        <v>45781</v>
      </c>
      <c r="Q35" s="35">
        <v>624.95000000000005</v>
      </c>
      <c r="R35" s="27">
        <f t="shared" si="11"/>
        <v>624.75153455284578</v>
      </c>
      <c r="S35" s="27">
        <f t="shared" si="12"/>
        <v>0.26578213389891375</v>
      </c>
      <c r="T35" s="28">
        <f t="shared" si="13"/>
        <v>0.19846544715426262</v>
      </c>
      <c r="U35" s="27">
        <f t="shared" si="0"/>
        <v>0.74672230312420462</v>
      </c>
    </row>
    <row r="36" spans="1:21" x14ac:dyDescent="0.3">
      <c r="A36" s="22">
        <v>45815</v>
      </c>
      <c r="B36" s="31">
        <v>0.11</v>
      </c>
      <c r="C36" s="23">
        <f t="shared" si="14"/>
        <v>2.794</v>
      </c>
      <c r="D36" s="24">
        <f t="shared" si="3"/>
        <v>6.1594999999999995</v>
      </c>
      <c r="E36" s="24">
        <f t="shared" si="4"/>
        <v>6.8378047241747071</v>
      </c>
      <c r="F36" s="24">
        <f t="shared" si="15"/>
        <v>-3.3654999999999995</v>
      </c>
      <c r="G36" s="24">
        <f t="shared" si="6"/>
        <v>-0.4921901305694571</v>
      </c>
      <c r="I36" s="25">
        <v>45809</v>
      </c>
      <c r="J36" s="26">
        <v>4.4370000000000003</v>
      </c>
      <c r="K36" s="8">
        <f t="shared" si="7"/>
        <v>5.6487400119404052</v>
      </c>
      <c r="L36" s="6">
        <f t="shared" si="8"/>
        <v>5.5717037651541919</v>
      </c>
      <c r="M36" s="6">
        <f t="shared" si="9"/>
        <v>-1.2117400119404049</v>
      </c>
      <c r="N36" s="8">
        <f t="shared" si="10"/>
        <v>-0.21748105481104507</v>
      </c>
      <c r="P36" s="34">
        <v>45809</v>
      </c>
      <c r="Q36" s="35">
        <v>624.88</v>
      </c>
      <c r="R36" s="27">
        <f t="shared" si="11"/>
        <v>624.75153455284578</v>
      </c>
      <c r="S36" s="27">
        <f t="shared" si="12"/>
        <v>0.26578213389891375</v>
      </c>
      <c r="T36" s="28">
        <f t="shared" si="13"/>
        <v>0.1284654471542126</v>
      </c>
      <c r="U36" s="27">
        <f t="shared" si="0"/>
        <v>0.48334869341922171</v>
      </c>
    </row>
    <row r="37" spans="1:21" x14ac:dyDescent="0.3">
      <c r="A37" s="22">
        <v>45846</v>
      </c>
      <c r="B37" s="31">
        <v>7.0000000000000007E-2</v>
      </c>
      <c r="C37" s="23">
        <f>B37*25.4</f>
        <v>1.778</v>
      </c>
      <c r="D37" s="24">
        <f t="shared" si="3"/>
        <v>6.1594999999999995</v>
      </c>
      <c r="E37" s="24">
        <f t="shared" si="4"/>
        <v>6.8378047241747071</v>
      </c>
      <c r="F37" s="24">
        <f t="shared" si="15"/>
        <v>-4.3814999999999991</v>
      </c>
      <c r="G37" s="24">
        <f t="shared" si="6"/>
        <v>-0.64077583036401009</v>
      </c>
      <c r="I37" s="25">
        <v>45839</v>
      </c>
      <c r="J37" s="26">
        <v>3.57</v>
      </c>
      <c r="K37" s="8">
        <f t="shared" si="7"/>
        <v>5.6487400119404052</v>
      </c>
      <c r="L37" s="6">
        <f t="shared" si="8"/>
        <v>5.5717037651541919</v>
      </c>
      <c r="M37" s="6">
        <f t="shared" si="9"/>
        <v>-2.0787400119404054</v>
      </c>
      <c r="N37" s="8">
        <f t="shared" si="10"/>
        <v>-0.37308875337934949</v>
      </c>
      <c r="P37" s="34">
        <v>45839</v>
      </c>
      <c r="Q37" s="35">
        <v>624.88</v>
      </c>
      <c r="R37" s="27">
        <f t="shared" si="11"/>
        <v>624.75153455284578</v>
      </c>
      <c r="S37" s="27">
        <f t="shared" si="12"/>
        <v>0.26578213389891375</v>
      </c>
      <c r="T37" s="28">
        <f t="shared" si="13"/>
        <v>0.1284654471542126</v>
      </c>
      <c r="U37" s="27">
        <f t="shared" si="0"/>
        <v>0.48334869341922171</v>
      </c>
    </row>
    <row r="38" spans="1:21" x14ac:dyDescent="0.3">
      <c r="A38" s="22">
        <v>45878</v>
      </c>
      <c r="B38" s="31">
        <v>0.36</v>
      </c>
      <c r="C38" s="23">
        <f t="shared" si="14"/>
        <v>9.1439999999999984</v>
      </c>
      <c r="D38" s="24">
        <f t="shared" si="3"/>
        <v>6.1594999999999995</v>
      </c>
      <c r="E38" s="24">
        <f t="shared" si="4"/>
        <v>6.8378047241747071</v>
      </c>
      <c r="F38" s="24">
        <f t="shared" si="15"/>
        <v>2.9844999999999988</v>
      </c>
      <c r="G38" s="24">
        <f t="shared" si="6"/>
        <v>0.43647049314649955</v>
      </c>
      <c r="I38" s="25">
        <v>45870</v>
      </c>
      <c r="J38" s="26">
        <v>1.83</v>
      </c>
      <c r="K38" s="8">
        <f t="shared" si="7"/>
        <v>5.6487400119404052</v>
      </c>
      <c r="L38" s="6">
        <f t="shared" si="8"/>
        <v>5.5717037651541919</v>
      </c>
      <c r="M38" s="6">
        <f t="shared" si="9"/>
        <v>-3.8187400119404051</v>
      </c>
      <c r="N38" s="8">
        <f t="shared" si="10"/>
        <v>-0.68538102040224402</v>
      </c>
      <c r="P38" s="34">
        <v>45870</v>
      </c>
      <c r="Q38" s="35">
        <v>624.69000000000005</v>
      </c>
      <c r="R38" s="27">
        <f t="shared" si="11"/>
        <v>624.75153455284578</v>
      </c>
      <c r="S38" s="27">
        <f t="shared" si="12"/>
        <v>0.26578213389891375</v>
      </c>
      <c r="T38" s="28">
        <f t="shared" si="13"/>
        <v>-6.1534552845728285E-2</v>
      </c>
      <c r="U38" s="27">
        <f t="shared" si="0"/>
        <v>-0.23152253292214153</v>
      </c>
    </row>
    <row r="39" spans="1:21" x14ac:dyDescent="0.3">
      <c r="A39" s="22">
        <v>45910</v>
      </c>
      <c r="B39" s="31">
        <v>-0.14000000000000001</v>
      </c>
      <c r="C39" s="23">
        <f t="shared" si="14"/>
        <v>-3.556</v>
      </c>
      <c r="D39" s="24">
        <f t="shared" si="3"/>
        <v>6.1594999999999995</v>
      </c>
      <c r="E39" s="24">
        <f t="shared" si="4"/>
        <v>6.8378047241747071</v>
      </c>
      <c r="F39" s="24">
        <f t="shared" si="15"/>
        <v>-9.7154999999999987</v>
      </c>
      <c r="G39" s="24">
        <f t="shared" si="6"/>
        <v>-1.4208507542854139</v>
      </c>
      <c r="I39" s="25">
        <v>45901</v>
      </c>
      <c r="J39" s="26">
        <v>0.91</v>
      </c>
      <c r="K39" s="8">
        <f t="shared" si="7"/>
        <v>5.6487400119404052</v>
      </c>
      <c r="L39" s="6">
        <f t="shared" si="8"/>
        <v>5.5717037651541919</v>
      </c>
      <c r="M39" s="6">
        <f t="shared" si="9"/>
        <v>-4.7387400119404051</v>
      </c>
      <c r="N39" s="8">
        <f t="shared" si="10"/>
        <v>-0.85050106963273997</v>
      </c>
      <c r="P39" s="34">
        <v>45901</v>
      </c>
      <c r="Q39" s="36">
        <v>624.61</v>
      </c>
      <c r="R39" s="27">
        <f t="shared" si="11"/>
        <v>624.75153455284578</v>
      </c>
      <c r="S39" s="27">
        <f t="shared" si="12"/>
        <v>0.26578213389891375</v>
      </c>
      <c r="T39" s="28">
        <f t="shared" si="13"/>
        <v>-0.14153455284576921</v>
      </c>
      <c r="U39" s="27">
        <f t="shared" si="0"/>
        <v>-0.53252094401348948</v>
      </c>
    </row>
    <row r="40" spans="1:21" x14ac:dyDescent="0.3">
      <c r="A40" s="22">
        <v>45941</v>
      </c>
      <c r="B40" s="31">
        <v>0.06</v>
      </c>
      <c r="C40" s="23">
        <f t="shared" si="14"/>
        <v>1.5239999999999998</v>
      </c>
      <c r="D40" s="24">
        <f t="shared" si="3"/>
        <v>6.1594999999999995</v>
      </c>
      <c r="E40" s="24">
        <f t="shared" si="4"/>
        <v>6.8378047241747071</v>
      </c>
      <c r="F40" s="24">
        <f t="shared" si="15"/>
        <v>-4.6354999999999995</v>
      </c>
      <c r="G40" s="24">
        <f t="shared" si="6"/>
        <v>-0.67792225531264849</v>
      </c>
      <c r="I40" s="25">
        <v>45931</v>
      </c>
      <c r="J40" s="26">
        <v>1.35</v>
      </c>
      <c r="K40" s="8">
        <f t="shared" si="7"/>
        <v>5.6487400119404052</v>
      </c>
      <c r="L40" s="6">
        <f t="shared" si="8"/>
        <v>5.5717037651541919</v>
      </c>
      <c r="M40" s="6">
        <f t="shared" si="9"/>
        <v>-4.2987400119404047</v>
      </c>
      <c r="N40" s="8">
        <f t="shared" si="10"/>
        <v>-0.77153061130511147</v>
      </c>
      <c r="P40" s="34">
        <v>45931</v>
      </c>
      <c r="Q40" s="36">
        <v>624.67999999999995</v>
      </c>
      <c r="R40" s="27">
        <f t="shared" si="11"/>
        <v>624.75153455284578</v>
      </c>
      <c r="S40" s="27">
        <f t="shared" si="12"/>
        <v>0.26578213389891375</v>
      </c>
      <c r="T40" s="28">
        <f t="shared" si="13"/>
        <v>-7.1534552845832877E-2</v>
      </c>
      <c r="U40" s="27">
        <f t="shared" si="0"/>
        <v>-0.26914733430893428</v>
      </c>
    </row>
    <row r="41" spans="1:21" x14ac:dyDescent="0.3">
      <c r="A41" s="22">
        <v>45973</v>
      </c>
      <c r="B41" s="31">
        <v>0.43</v>
      </c>
      <c r="C41" s="23">
        <f t="shared" si="14"/>
        <v>10.921999999999999</v>
      </c>
      <c r="D41" s="24">
        <f t="shared" si="3"/>
        <v>6.1594999999999995</v>
      </c>
      <c r="E41" s="24">
        <f t="shared" si="4"/>
        <v>6.8378047241747071</v>
      </c>
      <c r="F41" s="24">
        <f t="shared" si="15"/>
        <v>4.7624999999999993</v>
      </c>
      <c r="G41" s="24">
        <f t="shared" si="6"/>
        <v>0.69649546778696758</v>
      </c>
      <c r="I41" s="25">
        <v>45962</v>
      </c>
      <c r="J41" s="26">
        <v>1.66</v>
      </c>
      <c r="K41" s="8">
        <f t="shared" si="7"/>
        <v>5.6487400119404052</v>
      </c>
      <c r="L41" s="6">
        <f t="shared" si="8"/>
        <v>5.5717037651541919</v>
      </c>
      <c r="M41" s="6">
        <f t="shared" si="9"/>
        <v>-3.9887400119404051</v>
      </c>
      <c r="N41" s="8">
        <f t="shared" si="10"/>
        <v>-0.71589233384700957</v>
      </c>
      <c r="P41" s="34">
        <v>45962</v>
      </c>
      <c r="Q41" s="36">
        <v>624.57000000000005</v>
      </c>
      <c r="R41" s="27">
        <f t="shared" si="11"/>
        <v>624.75153455284578</v>
      </c>
      <c r="S41" s="27">
        <f t="shared" si="12"/>
        <v>0.26578213389891375</v>
      </c>
      <c r="T41" s="28">
        <f t="shared" si="13"/>
        <v>-0.18153455284573283</v>
      </c>
      <c r="U41" s="27">
        <f t="shared" si="0"/>
        <v>-0.68302014955894952</v>
      </c>
    </row>
    <row r="42" spans="1:21" x14ac:dyDescent="0.3">
      <c r="A42" s="22">
        <v>46004</v>
      </c>
      <c r="B42" s="31">
        <v>1.41</v>
      </c>
      <c r="C42" s="23">
        <f t="shared" si="14"/>
        <v>35.813999999999993</v>
      </c>
      <c r="D42" s="24">
        <f t="shared" si="3"/>
        <v>6.1594999999999995</v>
      </c>
      <c r="E42" s="24">
        <f t="shared" si="4"/>
        <v>6.8378047241747071</v>
      </c>
      <c r="F42" s="24">
        <f t="shared" si="15"/>
        <v>29.654499999999992</v>
      </c>
      <c r="G42" s="24">
        <f t="shared" si="6"/>
        <v>4.336845112753517</v>
      </c>
      <c r="I42" s="25">
        <v>45992</v>
      </c>
      <c r="J42" s="26">
        <v>3.2999000000000001</v>
      </c>
      <c r="K42" s="8">
        <f t="shared" si="7"/>
        <v>5.6487400119404052</v>
      </c>
      <c r="L42" s="6">
        <f t="shared" si="8"/>
        <v>5.5717037651541919</v>
      </c>
      <c r="M42" s="6">
        <f t="shared" si="9"/>
        <v>-2.3488400119404051</v>
      </c>
      <c r="N42" s="8">
        <f t="shared" si="10"/>
        <v>-0.4215658460936505</v>
      </c>
      <c r="P42" s="34">
        <v>45992</v>
      </c>
      <c r="Q42" s="36">
        <v>624.63</v>
      </c>
      <c r="R42" s="27">
        <f t="shared" si="11"/>
        <v>624.75153455284578</v>
      </c>
      <c r="S42" s="27">
        <f t="shared" si="12"/>
        <v>0.26578213389891375</v>
      </c>
      <c r="T42" s="28">
        <f t="shared" si="13"/>
        <v>-0.1215345528457874</v>
      </c>
      <c r="U42" s="27">
        <f t="shared" si="0"/>
        <v>-0.45727134124075941</v>
      </c>
    </row>
    <row r="43" spans="1:21" x14ac:dyDescent="0.3">
      <c r="A43" s="22">
        <v>45671</v>
      </c>
      <c r="B43" s="31">
        <v>0.35</v>
      </c>
      <c r="C43" s="23">
        <f t="shared" si="14"/>
        <v>8.8899999999999988</v>
      </c>
      <c r="D43" s="24">
        <f t="shared" si="3"/>
        <v>6.1594999999999995</v>
      </c>
      <c r="E43" s="24">
        <f t="shared" si="4"/>
        <v>6.8378047241747071</v>
      </c>
      <c r="F43" s="24">
        <f t="shared" si="15"/>
        <v>2.7304999999999993</v>
      </c>
      <c r="G43" s="24">
        <f t="shared" si="6"/>
        <v>0.39932406819786137</v>
      </c>
      <c r="I43" s="25">
        <v>46023</v>
      </c>
      <c r="J43" s="26">
        <v>8.6430000000000007</v>
      </c>
      <c r="K43" s="8">
        <f t="shared" si="7"/>
        <v>5.6487400119404052</v>
      </c>
      <c r="L43" s="6">
        <f t="shared" si="8"/>
        <v>5.5717037651541919</v>
      </c>
      <c r="M43" s="6">
        <f t="shared" si="9"/>
        <v>2.9942599880595955</v>
      </c>
      <c r="N43" s="8">
        <f t="shared" si="10"/>
        <v>0.53740473547533119</v>
      </c>
      <c r="P43" s="34">
        <v>46023</v>
      </c>
      <c r="Q43" s="36">
        <v>625.15</v>
      </c>
      <c r="R43" s="27">
        <f t="shared" si="11"/>
        <v>624.75153455284578</v>
      </c>
      <c r="S43" s="27">
        <f t="shared" si="12"/>
        <v>0.26578213389891375</v>
      </c>
      <c r="T43" s="28">
        <f t="shared" si="13"/>
        <v>0.39846544715419441</v>
      </c>
      <c r="U43" s="27">
        <f t="shared" si="0"/>
        <v>1.4992183308519329</v>
      </c>
    </row>
    <row r="44" spans="1:21" x14ac:dyDescent="0.3">
      <c r="A44" s="22">
        <v>45703</v>
      </c>
      <c r="B44" s="31">
        <v>0.27</v>
      </c>
      <c r="C44" s="23">
        <f>B44*25.4</f>
        <v>6.8579999999999997</v>
      </c>
      <c r="D44" s="24">
        <f t="shared" si="3"/>
        <v>6.1594999999999995</v>
      </c>
      <c r="E44" s="24">
        <f t="shared" si="4"/>
        <v>6.8378047241747071</v>
      </c>
      <c r="F44" s="24">
        <f t="shared" si="15"/>
        <v>0.69850000000000012</v>
      </c>
      <c r="G44" s="24">
        <f t="shared" si="6"/>
        <v>0.10215266860875527</v>
      </c>
      <c r="I44" s="25">
        <v>46055</v>
      </c>
      <c r="J44" s="27">
        <v>8.6389999999999993</v>
      </c>
      <c r="K44" s="8">
        <f t="shared" si="7"/>
        <v>5.6487400119404052</v>
      </c>
      <c r="L44" s="6">
        <f t="shared" si="8"/>
        <v>5.5717037651541919</v>
      </c>
      <c r="M44" s="6">
        <f t="shared" si="9"/>
        <v>2.9902599880595941</v>
      </c>
      <c r="N44" s="8">
        <f t="shared" si="10"/>
        <v>0.53668682221780706</v>
      </c>
      <c r="P44" s="34">
        <v>46055</v>
      </c>
      <c r="Q44" s="36">
        <v>625.67999999999995</v>
      </c>
      <c r="R44" s="27">
        <f t="shared" si="11"/>
        <v>624.75153455284578</v>
      </c>
      <c r="S44" s="27">
        <f t="shared" si="12"/>
        <v>0.26578213389891375</v>
      </c>
      <c r="T44" s="28">
        <f t="shared" si="13"/>
        <v>0.92846544715416712</v>
      </c>
      <c r="U44" s="27">
        <f t="shared" si="0"/>
        <v>3.4933328043309904</v>
      </c>
    </row>
    <row r="45" spans="1:21" x14ac:dyDescent="0.3">
      <c r="I45" s="38"/>
    </row>
    <row r="46" spans="1:21" x14ac:dyDescent="0.3">
      <c r="I46" s="38"/>
    </row>
    <row r="47" spans="1:21" x14ac:dyDescent="0.3">
      <c r="I47" s="38"/>
    </row>
    <row r="48" spans="1:21" x14ac:dyDescent="0.3">
      <c r="I48" s="38"/>
    </row>
    <row r="49" spans="9:9" x14ac:dyDescent="0.3">
      <c r="I49" s="38"/>
    </row>
    <row r="50" spans="9:9" x14ac:dyDescent="0.3">
      <c r="I50" s="38"/>
    </row>
    <row r="51" spans="9:9" x14ac:dyDescent="0.3">
      <c r="I51" s="38"/>
    </row>
    <row r="52" spans="9:9" x14ac:dyDescent="0.3">
      <c r="I52" s="38"/>
    </row>
    <row r="53" spans="9:9" x14ac:dyDescent="0.3">
      <c r="I53" s="38"/>
    </row>
    <row r="54" spans="9:9" x14ac:dyDescent="0.3">
      <c r="I54" s="38"/>
    </row>
    <row r="55" spans="9:9" x14ac:dyDescent="0.3">
      <c r="I55" s="38"/>
    </row>
    <row r="56" spans="9:9" x14ac:dyDescent="0.3">
      <c r="I56" s="38"/>
    </row>
    <row r="57" spans="9:9" x14ac:dyDescent="0.3">
      <c r="I57" s="38"/>
    </row>
    <row r="58" spans="9:9" x14ac:dyDescent="0.3">
      <c r="I58" s="38"/>
    </row>
    <row r="59" spans="9:9" x14ac:dyDescent="0.3">
      <c r="I59" s="38"/>
    </row>
    <row r="60" spans="9:9" x14ac:dyDescent="0.3">
      <c r="I60" s="38"/>
    </row>
    <row r="61" spans="9:9" x14ac:dyDescent="0.3">
      <c r="I61" s="38"/>
    </row>
    <row r="62" spans="9:9" x14ac:dyDescent="0.3">
      <c r="I62" s="38"/>
    </row>
    <row r="63" spans="9:9" x14ac:dyDescent="0.3">
      <c r="I63" s="38"/>
    </row>
    <row r="64" spans="9:9" x14ac:dyDescent="0.3">
      <c r="I64" s="38"/>
    </row>
    <row r="65" spans="9:9" x14ac:dyDescent="0.3">
      <c r="I65" s="38"/>
    </row>
    <row r="66" spans="9:9" x14ac:dyDescent="0.3">
      <c r="I66" s="38"/>
    </row>
    <row r="67" spans="9:9" x14ac:dyDescent="0.3">
      <c r="I67" s="38"/>
    </row>
    <row r="68" spans="9:9" x14ac:dyDescent="0.3">
      <c r="I68" s="38"/>
    </row>
    <row r="69" spans="9:9" x14ac:dyDescent="0.3">
      <c r="I69" s="38"/>
    </row>
    <row r="70" spans="9:9" x14ac:dyDescent="0.3">
      <c r="I70" s="38"/>
    </row>
    <row r="71" spans="9:9" x14ac:dyDescent="0.3">
      <c r="I71" s="38"/>
    </row>
    <row r="72" spans="9:9" x14ac:dyDescent="0.3">
      <c r="I72" s="38"/>
    </row>
    <row r="73" spans="9:9" x14ac:dyDescent="0.3">
      <c r="I73" s="38"/>
    </row>
    <row r="74" spans="9:9" x14ac:dyDescent="0.3">
      <c r="I74" s="38"/>
    </row>
    <row r="75" spans="9:9" x14ac:dyDescent="0.3">
      <c r="I75" s="38"/>
    </row>
    <row r="76" spans="9:9" x14ac:dyDescent="0.3">
      <c r="I76" s="38"/>
    </row>
    <row r="77" spans="9:9" x14ac:dyDescent="0.3">
      <c r="I77" s="38"/>
    </row>
    <row r="78" spans="9:9" x14ac:dyDescent="0.3">
      <c r="I78" s="38"/>
    </row>
    <row r="79" spans="9:9" x14ac:dyDescent="0.3">
      <c r="I79" s="38"/>
    </row>
    <row r="80" spans="9:9" x14ac:dyDescent="0.3">
      <c r="I80" s="38"/>
    </row>
    <row r="81" spans="9:9" x14ac:dyDescent="0.3">
      <c r="I81" s="38"/>
    </row>
    <row r="82" spans="9:9" x14ac:dyDescent="0.3">
      <c r="I82" s="38"/>
    </row>
    <row r="83" spans="9:9" x14ac:dyDescent="0.3">
      <c r="I83" s="38"/>
    </row>
    <row r="84" spans="9:9" x14ac:dyDescent="0.3">
      <c r="I84" s="38"/>
    </row>
    <row r="85" spans="9:9" x14ac:dyDescent="0.3">
      <c r="I85" s="38"/>
    </row>
    <row r="86" spans="9:9" x14ac:dyDescent="0.3">
      <c r="I86" s="38"/>
    </row>
    <row r="87" spans="9:9" x14ac:dyDescent="0.3">
      <c r="I87" s="38"/>
    </row>
    <row r="88" spans="9:9" x14ac:dyDescent="0.3">
      <c r="I88" s="38"/>
    </row>
    <row r="89" spans="9:9" x14ac:dyDescent="0.3">
      <c r="I89" s="38"/>
    </row>
    <row r="90" spans="9:9" x14ac:dyDescent="0.3">
      <c r="I90" s="38"/>
    </row>
    <row r="91" spans="9:9" x14ac:dyDescent="0.3">
      <c r="I91" s="38"/>
    </row>
    <row r="92" spans="9:9" x14ac:dyDescent="0.3">
      <c r="I92" s="38"/>
    </row>
    <row r="93" spans="9:9" x14ac:dyDescent="0.3">
      <c r="I93" s="38"/>
    </row>
    <row r="94" spans="9:9" x14ac:dyDescent="0.3">
      <c r="I94" s="38"/>
    </row>
    <row r="95" spans="9:9" x14ac:dyDescent="0.3">
      <c r="I95" s="38"/>
    </row>
    <row r="96" spans="9:9" x14ac:dyDescent="0.3">
      <c r="I96" s="38"/>
    </row>
    <row r="97" spans="9:9" x14ac:dyDescent="0.3">
      <c r="I97" s="38"/>
    </row>
    <row r="98" spans="9:9" x14ac:dyDescent="0.3">
      <c r="I98" s="38"/>
    </row>
    <row r="99" spans="9:9" x14ac:dyDescent="0.3">
      <c r="I99" s="38"/>
    </row>
    <row r="100" spans="9:9" x14ac:dyDescent="0.3">
      <c r="I100" s="38"/>
    </row>
    <row r="101" spans="9:9" x14ac:dyDescent="0.3">
      <c r="I101" s="38"/>
    </row>
    <row r="102" spans="9:9" x14ac:dyDescent="0.3">
      <c r="I102" s="38"/>
    </row>
    <row r="103" spans="9:9" x14ac:dyDescent="0.3">
      <c r="I103" s="38"/>
    </row>
    <row r="104" spans="9:9" x14ac:dyDescent="0.3">
      <c r="I104" s="38"/>
    </row>
    <row r="105" spans="9:9" x14ac:dyDescent="0.3">
      <c r="I105" s="38"/>
    </row>
    <row r="106" spans="9:9" x14ac:dyDescent="0.3">
      <c r="I106" s="38"/>
    </row>
    <row r="107" spans="9:9" x14ac:dyDescent="0.3">
      <c r="I107" s="38"/>
    </row>
    <row r="108" spans="9:9" x14ac:dyDescent="0.3">
      <c r="I108" s="38"/>
    </row>
    <row r="109" spans="9:9" x14ac:dyDescent="0.3">
      <c r="I109" s="38"/>
    </row>
    <row r="110" spans="9:9" x14ac:dyDescent="0.3">
      <c r="I110" s="38"/>
    </row>
    <row r="111" spans="9:9" x14ac:dyDescent="0.3">
      <c r="I111" s="38"/>
    </row>
    <row r="112" spans="9:9" x14ac:dyDescent="0.3">
      <c r="I112" s="38"/>
    </row>
    <row r="113" spans="9:9" x14ac:dyDescent="0.3">
      <c r="I113" s="38"/>
    </row>
    <row r="114" spans="9:9" x14ac:dyDescent="0.3">
      <c r="I114" s="38"/>
    </row>
    <row r="115" spans="9:9" x14ac:dyDescent="0.3">
      <c r="I115" s="38"/>
    </row>
    <row r="116" spans="9:9" x14ac:dyDescent="0.3">
      <c r="I116" s="38"/>
    </row>
    <row r="117" spans="9:9" x14ac:dyDescent="0.3">
      <c r="I117" s="38"/>
    </row>
    <row r="118" spans="9:9" x14ac:dyDescent="0.3">
      <c r="I118" s="38"/>
    </row>
    <row r="119" spans="9:9" x14ac:dyDescent="0.3">
      <c r="I119" s="38"/>
    </row>
    <row r="120" spans="9:9" x14ac:dyDescent="0.3">
      <c r="I120" s="38"/>
    </row>
    <row r="121" spans="9:9" x14ac:dyDescent="0.3">
      <c r="I121" s="38"/>
    </row>
    <row r="122" spans="9:9" x14ac:dyDescent="0.3">
      <c r="I122" s="38"/>
    </row>
    <row r="123" spans="9:9" x14ac:dyDescent="0.3">
      <c r="I123" s="38"/>
    </row>
    <row r="124" spans="9:9" x14ac:dyDescent="0.3">
      <c r="I124" s="38"/>
    </row>
    <row r="125" spans="9:9" x14ac:dyDescent="0.3">
      <c r="I125" s="38"/>
    </row>
    <row r="126" spans="9:9" x14ac:dyDescent="0.3">
      <c r="I126" s="38"/>
    </row>
    <row r="127" spans="9:9" x14ac:dyDescent="0.3">
      <c r="I127" s="38"/>
    </row>
    <row r="128" spans="9:9" x14ac:dyDescent="0.3">
      <c r="I128" s="38"/>
    </row>
    <row r="129" spans="9:9" x14ac:dyDescent="0.3">
      <c r="I129" s="38"/>
    </row>
    <row r="130" spans="9:9" x14ac:dyDescent="0.3">
      <c r="I130" s="38"/>
    </row>
    <row r="131" spans="9:9" x14ac:dyDescent="0.3">
      <c r="I131" s="38"/>
    </row>
    <row r="132" spans="9:9" x14ac:dyDescent="0.3">
      <c r="I132" s="38"/>
    </row>
    <row r="133" spans="9:9" x14ac:dyDescent="0.3">
      <c r="I133" s="38"/>
    </row>
    <row r="134" spans="9:9" x14ac:dyDescent="0.3">
      <c r="I134" s="38"/>
    </row>
    <row r="135" spans="9:9" x14ac:dyDescent="0.3">
      <c r="I135" s="38"/>
    </row>
    <row r="136" spans="9:9" x14ac:dyDescent="0.3">
      <c r="I136" s="38"/>
    </row>
    <row r="137" spans="9:9" x14ac:dyDescent="0.3">
      <c r="I137" s="38"/>
    </row>
    <row r="138" spans="9:9" x14ac:dyDescent="0.3">
      <c r="I138" s="38"/>
    </row>
    <row r="139" spans="9:9" x14ac:dyDescent="0.3">
      <c r="I139" s="38"/>
    </row>
    <row r="140" spans="9:9" x14ac:dyDescent="0.3">
      <c r="I140" s="38"/>
    </row>
    <row r="141" spans="9:9" x14ac:dyDescent="0.3">
      <c r="I141" s="38"/>
    </row>
    <row r="142" spans="9:9" x14ac:dyDescent="0.3">
      <c r="I142" s="38"/>
    </row>
    <row r="143" spans="9:9" x14ac:dyDescent="0.3">
      <c r="I143" s="38"/>
    </row>
    <row r="144" spans="9:9" x14ac:dyDescent="0.3">
      <c r="I144" s="38"/>
    </row>
    <row r="145" spans="9:9" x14ac:dyDescent="0.3">
      <c r="I145" s="38"/>
    </row>
    <row r="146" spans="9:9" x14ac:dyDescent="0.3">
      <c r="I146" s="38"/>
    </row>
    <row r="147" spans="9:9" x14ac:dyDescent="0.3">
      <c r="I147" s="38"/>
    </row>
    <row r="148" spans="9:9" x14ac:dyDescent="0.3">
      <c r="I148" s="38"/>
    </row>
    <row r="149" spans="9:9" x14ac:dyDescent="0.3">
      <c r="I149" s="38"/>
    </row>
    <row r="150" spans="9:9" x14ac:dyDescent="0.3">
      <c r="I150" s="38"/>
    </row>
    <row r="151" spans="9:9" x14ac:dyDescent="0.3">
      <c r="I151" s="38"/>
    </row>
    <row r="152" spans="9:9" x14ac:dyDescent="0.3">
      <c r="I152" s="38"/>
    </row>
    <row r="153" spans="9:9" x14ac:dyDescent="0.3">
      <c r="I153" s="38"/>
    </row>
    <row r="154" spans="9:9" x14ac:dyDescent="0.3">
      <c r="I154" s="38"/>
    </row>
    <row r="155" spans="9:9" x14ac:dyDescent="0.3">
      <c r="I155" s="38"/>
    </row>
    <row r="156" spans="9:9" x14ac:dyDescent="0.3">
      <c r="I156" s="38"/>
    </row>
    <row r="157" spans="9:9" x14ac:dyDescent="0.3">
      <c r="I157" s="38"/>
    </row>
    <row r="158" spans="9:9" x14ac:dyDescent="0.3">
      <c r="I158" s="38"/>
    </row>
    <row r="159" spans="9:9" x14ac:dyDescent="0.3">
      <c r="I159" s="38"/>
    </row>
    <row r="160" spans="9:9" x14ac:dyDescent="0.3">
      <c r="I160" s="38"/>
    </row>
    <row r="161" spans="9:9" x14ac:dyDescent="0.3">
      <c r="I161" s="38"/>
    </row>
    <row r="162" spans="9:9" x14ac:dyDescent="0.3">
      <c r="I162" s="38"/>
    </row>
    <row r="163" spans="9:9" x14ac:dyDescent="0.3">
      <c r="I163" s="38"/>
    </row>
    <row r="164" spans="9:9" x14ac:dyDescent="0.3">
      <c r="I164" s="38"/>
    </row>
    <row r="165" spans="9:9" x14ac:dyDescent="0.3">
      <c r="I165" s="38"/>
    </row>
    <row r="166" spans="9:9" x14ac:dyDescent="0.3">
      <c r="I166" s="38"/>
    </row>
    <row r="167" spans="9:9" x14ac:dyDescent="0.3">
      <c r="I167" s="38"/>
    </row>
    <row r="168" spans="9:9" x14ac:dyDescent="0.3">
      <c r="I168" s="38"/>
    </row>
    <row r="169" spans="9:9" x14ac:dyDescent="0.3">
      <c r="I169" s="38"/>
    </row>
    <row r="170" spans="9:9" x14ac:dyDescent="0.3">
      <c r="I170" s="38"/>
    </row>
    <row r="171" spans="9:9" x14ac:dyDescent="0.3">
      <c r="I171" s="38"/>
    </row>
    <row r="172" spans="9:9" x14ac:dyDescent="0.3">
      <c r="I172" s="38"/>
    </row>
    <row r="173" spans="9:9" x14ac:dyDescent="0.3">
      <c r="I173" s="38"/>
    </row>
    <row r="174" spans="9:9" x14ac:dyDescent="0.3">
      <c r="I174" s="38"/>
    </row>
    <row r="175" spans="9:9" x14ac:dyDescent="0.3">
      <c r="I175" s="38"/>
    </row>
    <row r="176" spans="9:9" x14ac:dyDescent="0.3">
      <c r="I176" s="38"/>
    </row>
    <row r="177" spans="9:9" x14ac:dyDescent="0.3">
      <c r="I177" s="38"/>
    </row>
    <row r="178" spans="9:9" x14ac:dyDescent="0.3">
      <c r="I178" s="38"/>
    </row>
    <row r="179" spans="9:9" x14ac:dyDescent="0.3">
      <c r="I179" s="38"/>
    </row>
    <row r="180" spans="9:9" x14ac:dyDescent="0.3">
      <c r="I180" s="38"/>
    </row>
    <row r="181" spans="9:9" x14ac:dyDescent="0.3">
      <c r="I181" s="38"/>
    </row>
    <row r="182" spans="9:9" x14ac:dyDescent="0.3">
      <c r="I182" s="38"/>
    </row>
    <row r="183" spans="9:9" x14ac:dyDescent="0.3">
      <c r="I183" s="38"/>
    </row>
    <row r="184" spans="9:9" x14ac:dyDescent="0.3">
      <c r="I184" s="38"/>
    </row>
    <row r="185" spans="9:9" x14ac:dyDescent="0.3">
      <c r="I185" s="38"/>
    </row>
    <row r="186" spans="9:9" x14ac:dyDescent="0.3">
      <c r="I186" s="38"/>
    </row>
    <row r="187" spans="9:9" x14ac:dyDescent="0.3">
      <c r="I187" s="38"/>
    </row>
    <row r="188" spans="9:9" x14ac:dyDescent="0.3">
      <c r="I188" s="38"/>
    </row>
    <row r="189" spans="9:9" x14ac:dyDescent="0.3">
      <c r="I189" s="38"/>
    </row>
    <row r="190" spans="9:9" x14ac:dyDescent="0.3">
      <c r="I190" s="38"/>
    </row>
    <row r="191" spans="9:9" x14ac:dyDescent="0.3">
      <c r="I191" s="38"/>
    </row>
    <row r="192" spans="9:9" x14ac:dyDescent="0.3">
      <c r="I192" s="38"/>
    </row>
    <row r="193" spans="9:9" x14ac:dyDescent="0.3">
      <c r="I193" s="38"/>
    </row>
    <row r="194" spans="9:9" x14ac:dyDescent="0.3">
      <c r="I194" s="38"/>
    </row>
    <row r="195" spans="9:9" x14ac:dyDescent="0.3">
      <c r="I195" s="38"/>
    </row>
    <row r="196" spans="9:9" x14ac:dyDescent="0.3">
      <c r="I196" s="38"/>
    </row>
    <row r="197" spans="9:9" x14ac:dyDescent="0.3">
      <c r="I197" s="38"/>
    </row>
    <row r="198" spans="9:9" x14ac:dyDescent="0.3">
      <c r="I198" s="38"/>
    </row>
    <row r="199" spans="9:9" x14ac:dyDescent="0.3">
      <c r="I199" s="38"/>
    </row>
    <row r="200" spans="9:9" x14ac:dyDescent="0.3">
      <c r="I200" s="38"/>
    </row>
    <row r="201" spans="9:9" x14ac:dyDescent="0.3">
      <c r="I201" s="38"/>
    </row>
    <row r="202" spans="9:9" x14ac:dyDescent="0.3">
      <c r="I202" s="38"/>
    </row>
    <row r="203" spans="9:9" x14ac:dyDescent="0.3">
      <c r="I203" s="38"/>
    </row>
    <row r="204" spans="9:9" x14ac:dyDescent="0.3">
      <c r="I204" s="38"/>
    </row>
    <row r="205" spans="9:9" x14ac:dyDescent="0.3">
      <c r="I205" s="38"/>
    </row>
    <row r="206" spans="9:9" x14ac:dyDescent="0.3">
      <c r="I206" s="38"/>
    </row>
    <row r="207" spans="9:9" x14ac:dyDescent="0.3">
      <c r="I207" s="38"/>
    </row>
    <row r="208" spans="9:9" x14ac:dyDescent="0.3">
      <c r="I208" s="38"/>
    </row>
    <row r="209" spans="9:9" x14ac:dyDescent="0.3">
      <c r="I209" s="38"/>
    </row>
    <row r="210" spans="9:9" x14ac:dyDescent="0.3">
      <c r="I210" s="38"/>
    </row>
    <row r="211" spans="9:9" x14ac:dyDescent="0.3">
      <c r="I211" s="38"/>
    </row>
    <row r="212" spans="9:9" x14ac:dyDescent="0.3">
      <c r="I212" s="38"/>
    </row>
    <row r="213" spans="9:9" x14ac:dyDescent="0.3">
      <c r="I213" s="38"/>
    </row>
    <row r="214" spans="9:9" x14ac:dyDescent="0.3">
      <c r="I214" s="38"/>
    </row>
    <row r="215" spans="9:9" x14ac:dyDescent="0.3">
      <c r="I215" s="38"/>
    </row>
    <row r="216" spans="9:9" x14ac:dyDescent="0.3">
      <c r="I216" s="38"/>
    </row>
    <row r="217" spans="9:9" x14ac:dyDescent="0.3">
      <c r="I217" s="38"/>
    </row>
    <row r="218" spans="9:9" x14ac:dyDescent="0.3">
      <c r="I218" s="38"/>
    </row>
    <row r="219" spans="9:9" x14ac:dyDescent="0.3">
      <c r="I219" s="38"/>
    </row>
    <row r="220" spans="9:9" x14ac:dyDescent="0.3">
      <c r="I220" s="38"/>
    </row>
    <row r="221" spans="9:9" x14ac:dyDescent="0.3">
      <c r="I221" s="38"/>
    </row>
    <row r="222" spans="9:9" x14ac:dyDescent="0.3">
      <c r="I222" s="38"/>
    </row>
    <row r="223" spans="9:9" x14ac:dyDescent="0.3">
      <c r="I223" s="38"/>
    </row>
    <row r="224" spans="9:9" x14ac:dyDescent="0.3">
      <c r="I224" s="38"/>
    </row>
    <row r="225" spans="9:9" x14ac:dyDescent="0.3">
      <c r="I225" s="38"/>
    </row>
    <row r="226" spans="9:9" x14ac:dyDescent="0.3">
      <c r="I226" s="38"/>
    </row>
    <row r="227" spans="9:9" x14ac:dyDescent="0.3">
      <c r="I227" s="38"/>
    </row>
    <row r="228" spans="9:9" x14ac:dyDescent="0.3">
      <c r="I228" s="38"/>
    </row>
    <row r="229" spans="9:9" x14ac:dyDescent="0.3">
      <c r="I229" s="38"/>
    </row>
    <row r="230" spans="9:9" x14ac:dyDescent="0.3">
      <c r="I230" s="38"/>
    </row>
    <row r="231" spans="9:9" x14ac:dyDescent="0.3">
      <c r="I231" s="38"/>
    </row>
    <row r="232" spans="9:9" x14ac:dyDescent="0.3">
      <c r="I232" s="38"/>
    </row>
    <row r="233" spans="9:9" x14ac:dyDescent="0.3">
      <c r="I233" s="38"/>
    </row>
    <row r="234" spans="9:9" x14ac:dyDescent="0.3">
      <c r="I234" s="38"/>
    </row>
    <row r="235" spans="9:9" x14ac:dyDescent="0.3">
      <c r="I235" s="38"/>
    </row>
    <row r="236" spans="9:9" x14ac:dyDescent="0.3">
      <c r="I236" s="38"/>
    </row>
    <row r="237" spans="9:9" x14ac:dyDescent="0.3">
      <c r="I237" s="38"/>
    </row>
    <row r="238" spans="9:9" x14ac:dyDescent="0.3">
      <c r="I238" s="38"/>
    </row>
    <row r="239" spans="9:9" x14ac:dyDescent="0.3">
      <c r="I239" s="38"/>
    </row>
    <row r="240" spans="9:9" x14ac:dyDescent="0.3">
      <c r="I240" s="38"/>
    </row>
    <row r="241" spans="9:9" x14ac:dyDescent="0.3">
      <c r="I241" s="38"/>
    </row>
    <row r="242" spans="9:9" x14ac:dyDescent="0.3">
      <c r="I242" s="38"/>
    </row>
    <row r="243" spans="9:9" x14ac:dyDescent="0.3">
      <c r="I243" s="38"/>
    </row>
    <row r="244" spans="9:9" x14ac:dyDescent="0.3">
      <c r="I244" s="38"/>
    </row>
    <row r="245" spans="9:9" x14ac:dyDescent="0.3">
      <c r="I245" s="38"/>
    </row>
    <row r="246" spans="9:9" x14ac:dyDescent="0.3">
      <c r="I246" s="38"/>
    </row>
    <row r="247" spans="9:9" x14ac:dyDescent="0.3">
      <c r="I247" s="38"/>
    </row>
    <row r="248" spans="9:9" x14ac:dyDescent="0.3">
      <c r="I248" s="38"/>
    </row>
    <row r="249" spans="9:9" x14ac:dyDescent="0.3">
      <c r="I249" s="38"/>
    </row>
    <row r="250" spans="9:9" x14ac:dyDescent="0.3">
      <c r="I250" s="38"/>
    </row>
    <row r="251" spans="9:9" x14ac:dyDescent="0.3">
      <c r="I251" s="38"/>
    </row>
    <row r="252" spans="9:9" x14ac:dyDescent="0.3">
      <c r="I252" s="38"/>
    </row>
    <row r="253" spans="9:9" x14ac:dyDescent="0.3">
      <c r="I253" s="38"/>
    </row>
    <row r="254" spans="9:9" x14ac:dyDescent="0.3">
      <c r="I254" s="38"/>
    </row>
    <row r="255" spans="9:9" x14ac:dyDescent="0.3">
      <c r="I255" s="38"/>
    </row>
    <row r="256" spans="9:9" x14ac:dyDescent="0.3">
      <c r="I256" s="38"/>
    </row>
    <row r="257" spans="9:9" x14ac:dyDescent="0.3">
      <c r="I257" s="38"/>
    </row>
    <row r="258" spans="9:9" x14ac:dyDescent="0.3">
      <c r="I258" s="38"/>
    </row>
    <row r="259" spans="9:9" x14ac:dyDescent="0.3">
      <c r="I259" s="38"/>
    </row>
    <row r="260" spans="9:9" x14ac:dyDescent="0.3">
      <c r="I260" s="38"/>
    </row>
    <row r="261" spans="9:9" x14ac:dyDescent="0.3">
      <c r="I261" s="38"/>
    </row>
    <row r="262" spans="9:9" x14ac:dyDescent="0.3">
      <c r="I262" s="38"/>
    </row>
    <row r="263" spans="9:9" x14ac:dyDescent="0.3">
      <c r="I263" s="38"/>
    </row>
    <row r="264" spans="9:9" x14ac:dyDescent="0.3">
      <c r="I264" s="38"/>
    </row>
    <row r="265" spans="9:9" x14ac:dyDescent="0.3">
      <c r="I265" s="38"/>
    </row>
    <row r="266" spans="9:9" x14ac:dyDescent="0.3">
      <c r="I266" s="38"/>
    </row>
    <row r="267" spans="9:9" x14ac:dyDescent="0.3">
      <c r="I267" s="38"/>
    </row>
    <row r="268" spans="9:9" x14ac:dyDescent="0.3">
      <c r="I268" s="38"/>
    </row>
    <row r="269" spans="9:9" x14ac:dyDescent="0.3">
      <c r="I269" s="38"/>
    </row>
    <row r="270" spans="9:9" x14ac:dyDescent="0.3">
      <c r="I270" s="38"/>
    </row>
    <row r="271" spans="9:9" x14ac:dyDescent="0.3">
      <c r="I271" s="38"/>
    </row>
    <row r="272" spans="9:9" x14ac:dyDescent="0.3">
      <c r="I272" s="38"/>
    </row>
    <row r="273" spans="9:9" x14ac:dyDescent="0.3">
      <c r="I273" s="38"/>
    </row>
    <row r="274" spans="9:9" x14ac:dyDescent="0.3">
      <c r="I274" s="38"/>
    </row>
    <row r="275" spans="9:9" x14ac:dyDescent="0.3">
      <c r="I275" s="38"/>
    </row>
    <row r="276" spans="9:9" x14ac:dyDescent="0.3">
      <c r="I276" s="38"/>
    </row>
    <row r="277" spans="9:9" x14ac:dyDescent="0.3">
      <c r="I277" s="38"/>
    </row>
    <row r="278" spans="9:9" x14ac:dyDescent="0.3">
      <c r="I278" s="38"/>
    </row>
    <row r="279" spans="9:9" x14ac:dyDescent="0.3">
      <c r="I279" s="38"/>
    </row>
    <row r="280" spans="9:9" x14ac:dyDescent="0.3">
      <c r="I280" s="38"/>
    </row>
    <row r="281" spans="9:9" x14ac:dyDescent="0.3">
      <c r="I281" s="38"/>
    </row>
    <row r="282" spans="9:9" x14ac:dyDescent="0.3">
      <c r="I282" s="38"/>
    </row>
    <row r="283" spans="9:9" x14ac:dyDescent="0.3">
      <c r="I283" s="38"/>
    </row>
    <row r="284" spans="9:9" x14ac:dyDescent="0.3">
      <c r="I284" s="38"/>
    </row>
    <row r="285" spans="9:9" x14ac:dyDescent="0.3">
      <c r="I285" s="38"/>
    </row>
    <row r="286" spans="9:9" x14ac:dyDescent="0.3">
      <c r="I286" s="38"/>
    </row>
    <row r="287" spans="9:9" x14ac:dyDescent="0.3">
      <c r="I287" s="38"/>
    </row>
    <row r="288" spans="9:9" x14ac:dyDescent="0.3">
      <c r="I288" s="38"/>
    </row>
    <row r="289" spans="9:9" x14ac:dyDescent="0.3">
      <c r="I289" s="38"/>
    </row>
    <row r="290" spans="9:9" x14ac:dyDescent="0.3">
      <c r="I290" s="38"/>
    </row>
    <row r="291" spans="9:9" x14ac:dyDescent="0.3">
      <c r="I291" s="38"/>
    </row>
    <row r="292" spans="9:9" x14ac:dyDescent="0.3">
      <c r="I292" s="38"/>
    </row>
    <row r="293" spans="9:9" x14ac:dyDescent="0.3">
      <c r="I293" s="38"/>
    </row>
    <row r="294" spans="9:9" x14ac:dyDescent="0.3">
      <c r="I294" s="38"/>
    </row>
    <row r="295" spans="9:9" x14ac:dyDescent="0.3">
      <c r="I295" s="38"/>
    </row>
    <row r="296" spans="9:9" x14ac:dyDescent="0.3">
      <c r="I296" s="38"/>
    </row>
    <row r="297" spans="9:9" x14ac:dyDescent="0.3">
      <c r="I297" s="38"/>
    </row>
    <row r="298" spans="9:9" x14ac:dyDescent="0.3">
      <c r="I298" s="38"/>
    </row>
    <row r="299" spans="9:9" x14ac:dyDescent="0.3">
      <c r="I299" s="38"/>
    </row>
    <row r="300" spans="9:9" x14ac:dyDescent="0.3">
      <c r="I300" s="38"/>
    </row>
    <row r="301" spans="9:9" x14ac:dyDescent="0.3">
      <c r="I301" s="38"/>
    </row>
    <row r="302" spans="9:9" x14ac:dyDescent="0.3">
      <c r="I302" s="38"/>
    </row>
    <row r="303" spans="9:9" x14ac:dyDescent="0.3">
      <c r="I303" s="38"/>
    </row>
    <row r="304" spans="9:9" x14ac:dyDescent="0.3">
      <c r="I304" s="38"/>
    </row>
    <row r="305" spans="9:9" x14ac:dyDescent="0.3">
      <c r="I305" s="38"/>
    </row>
    <row r="306" spans="9:9" x14ac:dyDescent="0.3">
      <c r="I306" s="38"/>
    </row>
    <row r="307" spans="9:9" x14ac:dyDescent="0.3">
      <c r="I307" s="38"/>
    </row>
    <row r="308" spans="9:9" x14ac:dyDescent="0.3">
      <c r="I308" s="38"/>
    </row>
    <row r="309" spans="9:9" x14ac:dyDescent="0.3">
      <c r="I309" s="38"/>
    </row>
    <row r="310" spans="9:9" x14ac:dyDescent="0.3">
      <c r="I310" s="38"/>
    </row>
    <row r="311" spans="9:9" x14ac:dyDescent="0.3">
      <c r="I311" s="38"/>
    </row>
    <row r="312" spans="9:9" x14ac:dyDescent="0.3">
      <c r="I312" s="38"/>
    </row>
    <row r="313" spans="9:9" x14ac:dyDescent="0.3">
      <c r="I313" s="38"/>
    </row>
    <row r="314" spans="9:9" x14ac:dyDescent="0.3">
      <c r="I314" s="38"/>
    </row>
    <row r="315" spans="9:9" x14ac:dyDescent="0.3">
      <c r="I315" s="38"/>
    </row>
    <row r="316" spans="9:9" x14ac:dyDescent="0.3">
      <c r="I316" s="38"/>
    </row>
    <row r="317" spans="9:9" x14ac:dyDescent="0.3">
      <c r="I317" s="38"/>
    </row>
    <row r="318" spans="9:9" x14ac:dyDescent="0.3">
      <c r="I318" s="38"/>
    </row>
    <row r="319" spans="9:9" x14ac:dyDescent="0.3">
      <c r="I319" s="38"/>
    </row>
    <row r="320" spans="9:9" x14ac:dyDescent="0.3">
      <c r="I320" s="38"/>
    </row>
    <row r="321" spans="9:9" x14ac:dyDescent="0.3">
      <c r="I321" s="38"/>
    </row>
    <row r="322" spans="9:9" x14ac:dyDescent="0.3">
      <c r="I322" s="38"/>
    </row>
    <row r="323" spans="9:9" x14ac:dyDescent="0.3">
      <c r="I323" s="38"/>
    </row>
    <row r="324" spans="9:9" x14ac:dyDescent="0.3">
      <c r="I324" s="38"/>
    </row>
    <row r="325" spans="9:9" x14ac:dyDescent="0.3">
      <c r="I325" s="38"/>
    </row>
    <row r="326" spans="9:9" x14ac:dyDescent="0.3">
      <c r="I326" s="38"/>
    </row>
    <row r="327" spans="9:9" x14ac:dyDescent="0.3">
      <c r="I327" s="38"/>
    </row>
    <row r="328" spans="9:9" x14ac:dyDescent="0.3">
      <c r="I328" s="38"/>
    </row>
    <row r="329" spans="9:9" x14ac:dyDescent="0.3">
      <c r="I329" s="38"/>
    </row>
    <row r="330" spans="9:9" x14ac:dyDescent="0.3">
      <c r="I330" s="38"/>
    </row>
    <row r="331" spans="9:9" x14ac:dyDescent="0.3">
      <c r="I331" s="38"/>
    </row>
    <row r="332" spans="9:9" x14ac:dyDescent="0.3">
      <c r="I332" s="38"/>
    </row>
    <row r="333" spans="9:9" x14ac:dyDescent="0.3">
      <c r="I333" s="38"/>
    </row>
    <row r="334" spans="9:9" x14ac:dyDescent="0.3">
      <c r="I334" s="38"/>
    </row>
    <row r="335" spans="9:9" x14ac:dyDescent="0.3">
      <c r="I335" s="38"/>
    </row>
    <row r="336" spans="9:9" x14ac:dyDescent="0.3">
      <c r="I336" s="38"/>
    </row>
    <row r="337" spans="9:9" x14ac:dyDescent="0.3">
      <c r="I337" s="38"/>
    </row>
    <row r="338" spans="9:9" x14ac:dyDescent="0.3">
      <c r="I338" s="38"/>
    </row>
    <row r="339" spans="9:9" x14ac:dyDescent="0.3">
      <c r="I339" s="38"/>
    </row>
    <row r="340" spans="9:9" x14ac:dyDescent="0.3">
      <c r="I340" s="38"/>
    </row>
    <row r="341" spans="9:9" x14ac:dyDescent="0.3">
      <c r="I341" s="38"/>
    </row>
    <row r="342" spans="9:9" x14ac:dyDescent="0.3">
      <c r="I342" s="38"/>
    </row>
    <row r="343" spans="9:9" x14ac:dyDescent="0.3">
      <c r="I343" s="38"/>
    </row>
    <row r="344" spans="9:9" x14ac:dyDescent="0.3">
      <c r="I344" s="38"/>
    </row>
    <row r="345" spans="9:9" x14ac:dyDescent="0.3">
      <c r="I345" s="38"/>
    </row>
    <row r="346" spans="9:9" x14ac:dyDescent="0.3">
      <c r="I346" s="38"/>
    </row>
    <row r="347" spans="9:9" x14ac:dyDescent="0.3">
      <c r="I347" s="38"/>
    </row>
    <row r="348" spans="9:9" x14ac:dyDescent="0.3">
      <c r="I348" s="38"/>
    </row>
    <row r="349" spans="9:9" x14ac:dyDescent="0.3">
      <c r="I349" s="38"/>
    </row>
    <row r="350" spans="9:9" x14ac:dyDescent="0.3">
      <c r="I350" s="38"/>
    </row>
    <row r="351" spans="9:9" x14ac:dyDescent="0.3">
      <c r="I351" s="38"/>
    </row>
    <row r="352" spans="9:9" x14ac:dyDescent="0.3">
      <c r="I352" s="38"/>
    </row>
    <row r="353" spans="9:9" x14ac:dyDescent="0.3">
      <c r="I353" s="38"/>
    </row>
    <row r="354" spans="9:9" x14ac:dyDescent="0.3">
      <c r="I354" s="38"/>
    </row>
    <row r="355" spans="9:9" x14ac:dyDescent="0.3">
      <c r="I355" s="38"/>
    </row>
    <row r="356" spans="9:9" x14ac:dyDescent="0.3">
      <c r="I356" s="38"/>
    </row>
    <row r="357" spans="9:9" x14ac:dyDescent="0.3">
      <c r="I357" s="38"/>
    </row>
    <row r="358" spans="9:9" x14ac:dyDescent="0.3">
      <c r="I358" s="38"/>
    </row>
    <row r="359" spans="9:9" x14ac:dyDescent="0.3">
      <c r="I359" s="38"/>
    </row>
    <row r="360" spans="9:9" x14ac:dyDescent="0.3">
      <c r="I360" s="38"/>
    </row>
    <row r="361" spans="9:9" x14ac:dyDescent="0.3">
      <c r="I361" s="38"/>
    </row>
    <row r="362" spans="9:9" x14ac:dyDescent="0.3">
      <c r="I362" s="38"/>
    </row>
    <row r="363" spans="9:9" x14ac:dyDescent="0.3">
      <c r="I363" s="38"/>
    </row>
    <row r="364" spans="9:9" x14ac:dyDescent="0.3">
      <c r="I364" s="38"/>
    </row>
    <row r="365" spans="9:9" x14ac:dyDescent="0.3">
      <c r="I365" s="38"/>
    </row>
    <row r="366" spans="9:9" x14ac:dyDescent="0.3">
      <c r="I366" s="38"/>
    </row>
    <row r="367" spans="9:9" x14ac:dyDescent="0.3">
      <c r="I367" s="38"/>
    </row>
    <row r="368" spans="9:9" x14ac:dyDescent="0.3">
      <c r="I368" s="38"/>
    </row>
    <row r="369" spans="9:9" x14ac:dyDescent="0.3">
      <c r="I369" s="38"/>
    </row>
    <row r="370" spans="9:9" x14ac:dyDescent="0.3">
      <c r="I370" s="38"/>
    </row>
    <row r="371" spans="9:9" x14ac:dyDescent="0.3">
      <c r="I371" s="38"/>
    </row>
    <row r="372" spans="9:9" x14ac:dyDescent="0.3">
      <c r="I372" s="38"/>
    </row>
    <row r="373" spans="9:9" x14ac:dyDescent="0.3">
      <c r="I373" s="38"/>
    </row>
    <row r="374" spans="9:9" x14ac:dyDescent="0.3">
      <c r="I374" s="38"/>
    </row>
    <row r="375" spans="9:9" x14ac:dyDescent="0.3">
      <c r="I375" s="38"/>
    </row>
    <row r="376" spans="9:9" x14ac:dyDescent="0.3">
      <c r="I376" s="38"/>
    </row>
    <row r="377" spans="9:9" x14ac:dyDescent="0.3">
      <c r="I377" s="38"/>
    </row>
    <row r="378" spans="9:9" x14ac:dyDescent="0.3">
      <c r="I378" s="38"/>
    </row>
    <row r="379" spans="9:9" x14ac:dyDescent="0.3">
      <c r="I379" s="38"/>
    </row>
    <row r="380" spans="9:9" x14ac:dyDescent="0.3">
      <c r="I380" s="38"/>
    </row>
    <row r="381" spans="9:9" x14ac:dyDescent="0.3">
      <c r="I381" s="38"/>
    </row>
    <row r="382" spans="9:9" x14ac:dyDescent="0.3">
      <c r="I382" s="38"/>
    </row>
    <row r="383" spans="9:9" x14ac:dyDescent="0.3">
      <c r="I383" s="38"/>
    </row>
    <row r="384" spans="9:9" x14ac:dyDescent="0.3">
      <c r="I384" s="38"/>
    </row>
    <row r="385" spans="9:9" x14ac:dyDescent="0.3">
      <c r="I385" s="38"/>
    </row>
    <row r="386" spans="9:9" x14ac:dyDescent="0.3">
      <c r="I386" s="38"/>
    </row>
    <row r="387" spans="9:9" x14ac:dyDescent="0.3">
      <c r="I387" s="38"/>
    </row>
    <row r="388" spans="9:9" x14ac:dyDescent="0.3">
      <c r="I388" s="38"/>
    </row>
    <row r="389" spans="9:9" x14ac:dyDescent="0.3">
      <c r="I389" s="38"/>
    </row>
    <row r="390" spans="9:9" x14ac:dyDescent="0.3">
      <c r="I390" s="38"/>
    </row>
    <row r="391" spans="9:9" x14ac:dyDescent="0.3">
      <c r="I391" s="38"/>
    </row>
    <row r="392" spans="9:9" x14ac:dyDescent="0.3">
      <c r="I392" s="38"/>
    </row>
    <row r="393" spans="9:9" x14ac:dyDescent="0.3">
      <c r="I393" s="38"/>
    </row>
    <row r="394" spans="9:9" x14ac:dyDescent="0.3">
      <c r="I394" s="38"/>
    </row>
    <row r="395" spans="9:9" x14ac:dyDescent="0.3">
      <c r="I395" s="38"/>
    </row>
    <row r="396" spans="9:9" x14ac:dyDescent="0.3">
      <c r="I396" s="38"/>
    </row>
    <row r="397" spans="9:9" x14ac:dyDescent="0.3">
      <c r="I397" s="38"/>
    </row>
    <row r="398" spans="9:9" x14ac:dyDescent="0.3">
      <c r="I398" s="38"/>
    </row>
    <row r="399" spans="9:9" x14ac:dyDescent="0.3">
      <c r="I399" s="38"/>
    </row>
    <row r="400" spans="9:9" x14ac:dyDescent="0.3">
      <c r="I400" s="38"/>
    </row>
    <row r="401" spans="9:9" x14ac:dyDescent="0.3">
      <c r="I401" s="38"/>
    </row>
    <row r="402" spans="9:9" x14ac:dyDescent="0.3">
      <c r="I402" s="38"/>
    </row>
    <row r="403" spans="9:9" x14ac:dyDescent="0.3">
      <c r="I403" s="38"/>
    </row>
    <row r="404" spans="9:9" x14ac:dyDescent="0.3">
      <c r="I404" s="38"/>
    </row>
    <row r="405" spans="9:9" x14ac:dyDescent="0.3">
      <c r="I405" s="38"/>
    </row>
    <row r="406" spans="9:9" x14ac:dyDescent="0.3">
      <c r="I406" s="38"/>
    </row>
    <row r="407" spans="9:9" x14ac:dyDescent="0.3">
      <c r="I407" s="38"/>
    </row>
    <row r="408" spans="9:9" x14ac:dyDescent="0.3">
      <c r="I408" s="38"/>
    </row>
    <row r="409" spans="9:9" x14ac:dyDescent="0.3">
      <c r="I409" s="38"/>
    </row>
    <row r="410" spans="9:9" x14ac:dyDescent="0.3">
      <c r="I410" s="38"/>
    </row>
    <row r="411" spans="9:9" x14ac:dyDescent="0.3">
      <c r="I411" s="38"/>
    </row>
    <row r="412" spans="9:9" x14ac:dyDescent="0.3">
      <c r="I412" s="38"/>
    </row>
    <row r="413" spans="9:9" x14ac:dyDescent="0.3">
      <c r="I413" s="38"/>
    </row>
    <row r="414" spans="9:9" x14ac:dyDescent="0.3">
      <c r="I414" s="38"/>
    </row>
    <row r="415" spans="9:9" x14ac:dyDescent="0.3">
      <c r="I415" s="38"/>
    </row>
    <row r="416" spans="9:9" x14ac:dyDescent="0.3">
      <c r="I416" s="38"/>
    </row>
    <row r="417" spans="9:9" x14ac:dyDescent="0.3">
      <c r="I417" s="38"/>
    </row>
    <row r="418" spans="9:9" x14ac:dyDescent="0.3">
      <c r="I418" s="38"/>
    </row>
    <row r="419" spans="9:9" x14ac:dyDescent="0.3">
      <c r="I419" s="38"/>
    </row>
    <row r="420" spans="9:9" x14ac:dyDescent="0.3">
      <c r="I420" s="38"/>
    </row>
    <row r="421" spans="9:9" x14ac:dyDescent="0.3">
      <c r="I421" s="38"/>
    </row>
    <row r="422" spans="9:9" x14ac:dyDescent="0.3">
      <c r="I422" s="38"/>
    </row>
    <row r="423" spans="9:9" x14ac:dyDescent="0.3">
      <c r="I423" s="38"/>
    </row>
    <row r="424" spans="9:9" x14ac:dyDescent="0.3">
      <c r="I424" s="38"/>
    </row>
    <row r="425" spans="9:9" x14ac:dyDescent="0.3">
      <c r="I425" s="38"/>
    </row>
    <row r="426" spans="9:9" x14ac:dyDescent="0.3">
      <c r="I426" s="38"/>
    </row>
    <row r="427" spans="9:9" x14ac:dyDescent="0.3">
      <c r="I427" s="38"/>
    </row>
    <row r="428" spans="9:9" x14ac:dyDescent="0.3">
      <c r="I428" s="38"/>
    </row>
    <row r="429" spans="9:9" x14ac:dyDescent="0.3">
      <c r="I429" s="38"/>
    </row>
    <row r="430" spans="9:9" x14ac:dyDescent="0.3">
      <c r="I430" s="38"/>
    </row>
    <row r="431" spans="9:9" x14ac:dyDescent="0.3">
      <c r="I431" s="38"/>
    </row>
    <row r="432" spans="9:9" x14ac:dyDescent="0.3">
      <c r="I432" s="38"/>
    </row>
    <row r="433" spans="9:9" x14ac:dyDescent="0.3">
      <c r="I433" s="38"/>
    </row>
    <row r="434" spans="9:9" x14ac:dyDescent="0.3">
      <c r="I434" s="38"/>
    </row>
    <row r="435" spans="9:9" x14ac:dyDescent="0.3">
      <c r="I435" s="38"/>
    </row>
    <row r="436" spans="9:9" x14ac:dyDescent="0.3">
      <c r="I436" s="38"/>
    </row>
    <row r="437" spans="9:9" x14ac:dyDescent="0.3">
      <c r="I437" s="38"/>
    </row>
    <row r="438" spans="9:9" x14ac:dyDescent="0.3">
      <c r="I438" s="38"/>
    </row>
    <row r="439" spans="9:9" x14ac:dyDescent="0.3">
      <c r="I439" s="38"/>
    </row>
    <row r="440" spans="9:9" x14ac:dyDescent="0.3">
      <c r="I440" s="38"/>
    </row>
    <row r="441" spans="9:9" x14ac:dyDescent="0.3">
      <c r="I441" s="38"/>
    </row>
    <row r="442" spans="9:9" x14ac:dyDescent="0.3">
      <c r="I442" s="38"/>
    </row>
    <row r="443" spans="9:9" x14ac:dyDescent="0.3">
      <c r="I443" s="38"/>
    </row>
    <row r="444" spans="9:9" x14ac:dyDescent="0.3">
      <c r="I444" s="38"/>
    </row>
    <row r="445" spans="9:9" x14ac:dyDescent="0.3">
      <c r="I445" s="38"/>
    </row>
    <row r="446" spans="9:9" x14ac:dyDescent="0.3">
      <c r="I446" s="38"/>
    </row>
    <row r="447" spans="9:9" x14ac:dyDescent="0.3">
      <c r="I447" s="38"/>
    </row>
    <row r="448" spans="9:9" x14ac:dyDescent="0.3">
      <c r="I448" s="38"/>
    </row>
    <row r="449" spans="9:9" x14ac:dyDescent="0.3">
      <c r="I449" s="38"/>
    </row>
    <row r="450" spans="9:9" x14ac:dyDescent="0.3">
      <c r="I450" s="38"/>
    </row>
    <row r="451" spans="9:9" x14ac:dyDescent="0.3">
      <c r="I451" s="38"/>
    </row>
    <row r="452" spans="9:9" x14ac:dyDescent="0.3">
      <c r="I452" s="38"/>
    </row>
    <row r="453" spans="9:9" x14ac:dyDescent="0.3">
      <c r="I453" s="38"/>
    </row>
    <row r="454" spans="9:9" x14ac:dyDescent="0.3">
      <c r="I454" s="38"/>
    </row>
    <row r="455" spans="9:9" x14ac:dyDescent="0.3">
      <c r="I455" s="38"/>
    </row>
    <row r="456" spans="9:9" x14ac:dyDescent="0.3">
      <c r="I456" s="38"/>
    </row>
    <row r="457" spans="9:9" x14ac:dyDescent="0.3">
      <c r="I457" s="38"/>
    </row>
    <row r="458" spans="9:9" x14ac:dyDescent="0.3">
      <c r="I458" s="38"/>
    </row>
    <row r="459" spans="9:9" x14ac:dyDescent="0.3">
      <c r="I459" s="38"/>
    </row>
    <row r="460" spans="9:9" x14ac:dyDescent="0.3">
      <c r="I460" s="38"/>
    </row>
    <row r="461" spans="9:9" x14ac:dyDescent="0.3">
      <c r="I461" s="38"/>
    </row>
    <row r="462" spans="9:9" x14ac:dyDescent="0.3">
      <c r="I462" s="38"/>
    </row>
    <row r="463" spans="9:9" x14ac:dyDescent="0.3">
      <c r="I463" s="38"/>
    </row>
    <row r="464" spans="9:9" x14ac:dyDescent="0.3">
      <c r="I464" s="38"/>
    </row>
    <row r="465" spans="9:9" x14ac:dyDescent="0.3">
      <c r="I465" s="38"/>
    </row>
    <row r="466" spans="9:9" x14ac:dyDescent="0.3">
      <c r="I466" s="38"/>
    </row>
    <row r="467" spans="9:9" x14ac:dyDescent="0.3">
      <c r="I467" s="38"/>
    </row>
    <row r="468" spans="9:9" x14ac:dyDescent="0.3">
      <c r="I468" s="38"/>
    </row>
    <row r="469" spans="9:9" x14ac:dyDescent="0.3">
      <c r="I469" s="38"/>
    </row>
    <row r="470" spans="9:9" x14ac:dyDescent="0.3">
      <c r="I470" s="38"/>
    </row>
    <row r="471" spans="9:9" x14ac:dyDescent="0.3">
      <c r="I471" s="38"/>
    </row>
    <row r="472" spans="9:9" x14ac:dyDescent="0.3">
      <c r="I472" s="38"/>
    </row>
    <row r="473" spans="9:9" x14ac:dyDescent="0.3">
      <c r="I473" s="38"/>
    </row>
    <row r="474" spans="9:9" x14ac:dyDescent="0.3">
      <c r="I474" s="38"/>
    </row>
    <row r="475" spans="9:9" x14ac:dyDescent="0.3">
      <c r="I475" s="38"/>
    </row>
    <row r="476" spans="9:9" x14ac:dyDescent="0.3">
      <c r="I476" s="38"/>
    </row>
    <row r="477" spans="9:9" x14ac:dyDescent="0.3">
      <c r="I477" s="38"/>
    </row>
    <row r="478" spans="9:9" x14ac:dyDescent="0.3">
      <c r="I478" s="38"/>
    </row>
    <row r="479" spans="9:9" x14ac:dyDescent="0.3">
      <c r="I479" s="38"/>
    </row>
    <row r="480" spans="9:9" x14ac:dyDescent="0.3">
      <c r="I480" s="38"/>
    </row>
    <row r="481" spans="9:9" x14ac:dyDescent="0.3">
      <c r="I481" s="38"/>
    </row>
    <row r="482" spans="9:9" x14ac:dyDescent="0.3">
      <c r="I482" s="38"/>
    </row>
    <row r="483" spans="9:9" x14ac:dyDescent="0.3">
      <c r="I483" s="38"/>
    </row>
    <row r="484" spans="9:9" x14ac:dyDescent="0.3">
      <c r="I484" s="38"/>
    </row>
    <row r="485" spans="9:9" x14ac:dyDescent="0.3">
      <c r="I485" s="38"/>
    </row>
    <row r="486" spans="9:9" x14ac:dyDescent="0.3">
      <c r="I486" s="38"/>
    </row>
    <row r="487" spans="9:9" x14ac:dyDescent="0.3">
      <c r="I487" s="38"/>
    </row>
    <row r="488" spans="9:9" x14ac:dyDescent="0.3">
      <c r="I488" s="38"/>
    </row>
    <row r="489" spans="9:9" x14ac:dyDescent="0.3">
      <c r="I489" s="38"/>
    </row>
    <row r="490" spans="9:9" x14ac:dyDescent="0.3">
      <c r="I490" s="38"/>
    </row>
    <row r="491" spans="9:9" x14ac:dyDescent="0.3">
      <c r="I491" s="38"/>
    </row>
    <row r="492" spans="9:9" x14ac:dyDescent="0.3">
      <c r="I492" s="38"/>
    </row>
    <row r="493" spans="9:9" x14ac:dyDescent="0.3">
      <c r="I493" s="38"/>
    </row>
    <row r="494" spans="9:9" x14ac:dyDescent="0.3">
      <c r="I494" s="38"/>
    </row>
    <row r="495" spans="9:9" x14ac:dyDescent="0.3">
      <c r="I495" s="38"/>
    </row>
    <row r="496" spans="9:9" x14ac:dyDescent="0.3">
      <c r="I496" s="38"/>
    </row>
    <row r="497" spans="9:9" x14ac:dyDescent="0.3">
      <c r="I497" s="38"/>
    </row>
    <row r="498" spans="9:9" x14ac:dyDescent="0.3">
      <c r="I498" s="38"/>
    </row>
    <row r="499" spans="9:9" x14ac:dyDescent="0.3">
      <c r="I499" s="38"/>
    </row>
    <row r="500" spans="9:9" x14ac:dyDescent="0.3">
      <c r="I500" s="38"/>
    </row>
    <row r="501" spans="9:9" x14ac:dyDescent="0.3">
      <c r="I501" s="38"/>
    </row>
    <row r="502" spans="9:9" x14ac:dyDescent="0.3">
      <c r="I502" s="38"/>
    </row>
    <row r="503" spans="9:9" x14ac:dyDescent="0.3">
      <c r="I503" s="38"/>
    </row>
    <row r="504" spans="9:9" x14ac:dyDescent="0.3">
      <c r="I504" s="38"/>
    </row>
    <row r="505" spans="9:9" x14ac:dyDescent="0.3">
      <c r="I505" s="38"/>
    </row>
    <row r="506" spans="9:9" x14ac:dyDescent="0.3">
      <c r="I506" s="38"/>
    </row>
    <row r="507" spans="9:9" x14ac:dyDescent="0.3">
      <c r="I507" s="38"/>
    </row>
    <row r="508" spans="9:9" x14ac:dyDescent="0.3">
      <c r="I508" s="38"/>
    </row>
    <row r="509" spans="9:9" x14ac:dyDescent="0.3">
      <c r="I509" s="38"/>
    </row>
    <row r="510" spans="9:9" x14ac:dyDescent="0.3">
      <c r="I510" s="38"/>
    </row>
    <row r="511" spans="9:9" x14ac:dyDescent="0.3">
      <c r="I511" s="38"/>
    </row>
    <row r="512" spans="9:9" x14ac:dyDescent="0.3">
      <c r="I512" s="38"/>
    </row>
    <row r="513" spans="9:9" x14ac:dyDescent="0.3">
      <c r="I513" s="38"/>
    </row>
    <row r="514" spans="9:9" x14ac:dyDescent="0.3">
      <c r="I514" s="38"/>
    </row>
    <row r="515" spans="9:9" x14ac:dyDescent="0.3">
      <c r="I515" s="38"/>
    </row>
    <row r="516" spans="9:9" x14ac:dyDescent="0.3">
      <c r="I516" s="38"/>
    </row>
    <row r="517" spans="9:9" x14ac:dyDescent="0.3">
      <c r="I517" s="38"/>
    </row>
    <row r="518" spans="9:9" x14ac:dyDescent="0.3">
      <c r="I518" s="38"/>
    </row>
    <row r="519" spans="9:9" x14ac:dyDescent="0.3">
      <c r="I519" s="38"/>
    </row>
    <row r="520" spans="9:9" x14ac:dyDescent="0.3">
      <c r="I520" s="38"/>
    </row>
    <row r="521" spans="9:9" x14ac:dyDescent="0.3">
      <c r="I521" s="38"/>
    </row>
    <row r="522" spans="9:9" x14ac:dyDescent="0.3">
      <c r="I522" s="38"/>
    </row>
    <row r="523" spans="9:9" x14ac:dyDescent="0.3">
      <c r="I523" s="38"/>
    </row>
    <row r="524" spans="9:9" x14ac:dyDescent="0.3">
      <c r="I524" s="38"/>
    </row>
    <row r="525" spans="9:9" x14ac:dyDescent="0.3">
      <c r="I525" s="38"/>
    </row>
    <row r="526" spans="9:9" x14ac:dyDescent="0.3">
      <c r="I526" s="38"/>
    </row>
    <row r="527" spans="9:9" x14ac:dyDescent="0.3">
      <c r="I527" s="38"/>
    </row>
    <row r="528" spans="9:9" x14ac:dyDescent="0.3">
      <c r="I528" s="38"/>
    </row>
    <row r="529" spans="9:9" x14ac:dyDescent="0.3">
      <c r="I529" s="38"/>
    </row>
    <row r="530" spans="9:9" x14ac:dyDescent="0.3">
      <c r="I530" s="38"/>
    </row>
    <row r="531" spans="9:9" x14ac:dyDescent="0.3">
      <c r="I531" s="38"/>
    </row>
    <row r="532" spans="9:9" x14ac:dyDescent="0.3">
      <c r="I532" s="38"/>
    </row>
    <row r="533" spans="9:9" x14ac:dyDescent="0.3">
      <c r="I533" s="38"/>
    </row>
    <row r="534" spans="9:9" x14ac:dyDescent="0.3">
      <c r="I534" s="38"/>
    </row>
    <row r="535" spans="9:9" x14ac:dyDescent="0.3">
      <c r="I535" s="38"/>
    </row>
    <row r="536" spans="9:9" x14ac:dyDescent="0.3">
      <c r="I536" s="38"/>
    </row>
    <row r="537" spans="9:9" x14ac:dyDescent="0.3">
      <c r="I537" s="38"/>
    </row>
    <row r="538" spans="9:9" x14ac:dyDescent="0.3">
      <c r="I538" s="38"/>
    </row>
    <row r="539" spans="9:9" x14ac:dyDescent="0.3">
      <c r="I539" s="38"/>
    </row>
    <row r="540" spans="9:9" x14ac:dyDescent="0.3">
      <c r="I540" s="38"/>
    </row>
    <row r="541" spans="9:9" x14ac:dyDescent="0.3">
      <c r="I541" s="38"/>
    </row>
    <row r="542" spans="9:9" x14ac:dyDescent="0.3">
      <c r="I542" s="38"/>
    </row>
    <row r="543" spans="9:9" x14ac:dyDescent="0.3">
      <c r="I543" s="38"/>
    </row>
    <row r="544" spans="9:9" x14ac:dyDescent="0.3">
      <c r="I544" s="38"/>
    </row>
    <row r="545" spans="9:9" x14ac:dyDescent="0.3">
      <c r="I545" s="38"/>
    </row>
    <row r="546" spans="9:9" x14ac:dyDescent="0.3">
      <c r="I546" s="38"/>
    </row>
    <row r="547" spans="9:9" x14ac:dyDescent="0.3">
      <c r="I547" s="38"/>
    </row>
    <row r="548" spans="9:9" x14ac:dyDescent="0.3">
      <c r="I548" s="38"/>
    </row>
    <row r="549" spans="9:9" x14ac:dyDescent="0.3">
      <c r="I549" s="38"/>
    </row>
    <row r="550" spans="9:9" x14ac:dyDescent="0.3">
      <c r="I550" s="38"/>
    </row>
    <row r="551" spans="9:9" x14ac:dyDescent="0.3">
      <c r="I551" s="38"/>
    </row>
    <row r="552" spans="9:9" x14ac:dyDescent="0.3">
      <c r="I552" s="38"/>
    </row>
    <row r="553" spans="9:9" x14ac:dyDescent="0.3">
      <c r="I553" s="38"/>
    </row>
    <row r="554" spans="9:9" x14ac:dyDescent="0.3">
      <c r="I554" s="38"/>
    </row>
    <row r="555" spans="9:9" x14ac:dyDescent="0.3">
      <c r="I555" s="38"/>
    </row>
    <row r="556" spans="9:9" x14ac:dyDescent="0.3">
      <c r="I556" s="38"/>
    </row>
    <row r="557" spans="9:9" x14ac:dyDescent="0.3">
      <c r="I557" s="38"/>
    </row>
    <row r="558" spans="9:9" x14ac:dyDescent="0.3">
      <c r="I558" s="38"/>
    </row>
    <row r="559" spans="9:9" x14ac:dyDescent="0.3">
      <c r="I559" s="38"/>
    </row>
    <row r="560" spans="9:9" x14ac:dyDescent="0.3">
      <c r="I560" s="38"/>
    </row>
    <row r="561" spans="9:9" x14ac:dyDescent="0.3">
      <c r="I561" s="38"/>
    </row>
    <row r="562" spans="9:9" x14ac:dyDescent="0.3">
      <c r="I562" s="38"/>
    </row>
    <row r="563" spans="9:9" x14ac:dyDescent="0.3">
      <c r="I563" s="38"/>
    </row>
    <row r="564" spans="9:9" x14ac:dyDescent="0.3">
      <c r="I564" s="38"/>
    </row>
    <row r="565" spans="9:9" x14ac:dyDescent="0.3">
      <c r="I565" s="38"/>
    </row>
    <row r="566" spans="9:9" x14ac:dyDescent="0.3">
      <c r="I566" s="38"/>
    </row>
    <row r="567" spans="9:9" x14ac:dyDescent="0.3">
      <c r="I567" s="38"/>
    </row>
    <row r="568" spans="9:9" x14ac:dyDescent="0.3">
      <c r="I568" s="38"/>
    </row>
    <row r="569" spans="9:9" x14ac:dyDescent="0.3">
      <c r="I569" s="38"/>
    </row>
    <row r="570" spans="9:9" x14ac:dyDescent="0.3">
      <c r="I570" s="38"/>
    </row>
    <row r="571" spans="9:9" x14ac:dyDescent="0.3">
      <c r="I571" s="38"/>
    </row>
    <row r="572" spans="9:9" x14ac:dyDescent="0.3">
      <c r="I572" s="38"/>
    </row>
    <row r="573" spans="9:9" x14ac:dyDescent="0.3">
      <c r="I573" s="38"/>
    </row>
    <row r="574" spans="9:9" x14ac:dyDescent="0.3">
      <c r="I574" s="38"/>
    </row>
    <row r="575" spans="9:9" x14ac:dyDescent="0.3">
      <c r="I575" s="38"/>
    </row>
    <row r="576" spans="9:9" x14ac:dyDescent="0.3">
      <c r="I576" s="38"/>
    </row>
    <row r="577" spans="9:9" x14ac:dyDescent="0.3">
      <c r="I577" s="38"/>
    </row>
    <row r="578" spans="9:9" x14ac:dyDescent="0.3">
      <c r="I578" s="38"/>
    </row>
    <row r="579" spans="9:9" x14ac:dyDescent="0.3">
      <c r="I579" s="38"/>
    </row>
    <row r="580" spans="9:9" x14ac:dyDescent="0.3">
      <c r="I580" s="38"/>
    </row>
    <row r="581" spans="9:9" x14ac:dyDescent="0.3">
      <c r="I581" s="38"/>
    </row>
    <row r="582" spans="9:9" x14ac:dyDescent="0.3">
      <c r="I582" s="38"/>
    </row>
    <row r="583" spans="9:9" x14ac:dyDescent="0.3">
      <c r="I583" s="38"/>
    </row>
    <row r="584" spans="9:9" x14ac:dyDescent="0.3">
      <c r="I584" s="38"/>
    </row>
    <row r="585" spans="9:9" x14ac:dyDescent="0.3">
      <c r="I585" s="38"/>
    </row>
    <row r="586" spans="9:9" x14ac:dyDescent="0.3">
      <c r="I586" s="38"/>
    </row>
    <row r="587" spans="9:9" x14ac:dyDescent="0.3">
      <c r="I587" s="38"/>
    </row>
    <row r="588" spans="9:9" x14ac:dyDescent="0.3">
      <c r="I588" s="38"/>
    </row>
    <row r="589" spans="9:9" x14ac:dyDescent="0.3">
      <c r="I589" s="38"/>
    </row>
    <row r="590" spans="9:9" x14ac:dyDescent="0.3">
      <c r="I590" s="38"/>
    </row>
    <row r="591" spans="9:9" x14ac:dyDescent="0.3">
      <c r="I591" s="38"/>
    </row>
    <row r="592" spans="9:9" x14ac:dyDescent="0.3">
      <c r="I592" s="38"/>
    </row>
    <row r="593" spans="9:9" x14ac:dyDescent="0.3">
      <c r="I593" s="38"/>
    </row>
    <row r="594" spans="9:9" x14ac:dyDescent="0.3">
      <c r="I594" s="38"/>
    </row>
    <row r="595" spans="9:9" x14ac:dyDescent="0.3">
      <c r="I595" s="38"/>
    </row>
    <row r="596" spans="9:9" x14ac:dyDescent="0.3">
      <c r="I596" s="38"/>
    </row>
    <row r="597" spans="9:9" x14ac:dyDescent="0.3">
      <c r="I597" s="38"/>
    </row>
    <row r="598" spans="9:9" x14ac:dyDescent="0.3">
      <c r="I598" s="38"/>
    </row>
    <row r="599" spans="9:9" x14ac:dyDescent="0.3">
      <c r="I599" s="38"/>
    </row>
    <row r="600" spans="9:9" x14ac:dyDescent="0.3">
      <c r="I600" s="38"/>
    </row>
    <row r="601" spans="9:9" x14ac:dyDescent="0.3">
      <c r="I601" s="38"/>
    </row>
    <row r="602" spans="9:9" x14ac:dyDescent="0.3">
      <c r="I602" s="38"/>
    </row>
    <row r="603" spans="9:9" x14ac:dyDescent="0.3">
      <c r="I603" s="38"/>
    </row>
    <row r="604" spans="9:9" x14ac:dyDescent="0.3">
      <c r="I604" s="38"/>
    </row>
    <row r="605" spans="9:9" x14ac:dyDescent="0.3">
      <c r="I605" s="38"/>
    </row>
    <row r="606" spans="9:9" x14ac:dyDescent="0.3">
      <c r="I606" s="38"/>
    </row>
    <row r="607" spans="9:9" x14ac:dyDescent="0.3">
      <c r="I607" s="38"/>
    </row>
    <row r="608" spans="9:9" x14ac:dyDescent="0.3">
      <c r="I608" s="38"/>
    </row>
    <row r="609" spans="9:9" x14ac:dyDescent="0.3">
      <c r="I609" s="38"/>
    </row>
    <row r="610" spans="9:9" x14ac:dyDescent="0.3">
      <c r="I610" s="38"/>
    </row>
    <row r="611" spans="9:9" x14ac:dyDescent="0.3">
      <c r="I611" s="38"/>
    </row>
    <row r="612" spans="9:9" x14ac:dyDescent="0.3">
      <c r="I612" s="38"/>
    </row>
    <row r="613" spans="9:9" x14ac:dyDescent="0.3">
      <c r="I613" s="38"/>
    </row>
    <row r="614" spans="9:9" x14ac:dyDescent="0.3">
      <c r="I614" s="38"/>
    </row>
    <row r="615" spans="9:9" x14ac:dyDescent="0.3">
      <c r="I615" s="38"/>
    </row>
    <row r="616" spans="9:9" x14ac:dyDescent="0.3">
      <c r="I616" s="38"/>
    </row>
    <row r="617" spans="9:9" x14ac:dyDescent="0.3">
      <c r="I617" s="38"/>
    </row>
    <row r="618" spans="9:9" x14ac:dyDescent="0.3">
      <c r="I618" s="38"/>
    </row>
    <row r="619" spans="9:9" x14ac:dyDescent="0.3">
      <c r="I619" s="38"/>
    </row>
    <row r="620" spans="9:9" x14ac:dyDescent="0.3">
      <c r="I620" s="38"/>
    </row>
    <row r="621" spans="9:9" x14ac:dyDescent="0.3">
      <c r="I621" s="38"/>
    </row>
    <row r="622" spans="9:9" x14ac:dyDescent="0.3">
      <c r="I622" s="38"/>
    </row>
    <row r="623" spans="9:9" x14ac:dyDescent="0.3">
      <c r="I623" s="38"/>
    </row>
    <row r="624" spans="9:9" x14ac:dyDescent="0.3">
      <c r="I624" s="38"/>
    </row>
    <row r="625" spans="9:9" x14ac:dyDescent="0.3">
      <c r="I625" s="38"/>
    </row>
    <row r="626" spans="9:9" x14ac:dyDescent="0.3">
      <c r="I626" s="38"/>
    </row>
    <row r="627" spans="9:9" x14ac:dyDescent="0.3">
      <c r="I627" s="38"/>
    </row>
    <row r="628" spans="9:9" x14ac:dyDescent="0.3">
      <c r="I628" s="38"/>
    </row>
    <row r="629" spans="9:9" x14ac:dyDescent="0.3">
      <c r="I629" s="38"/>
    </row>
    <row r="630" spans="9:9" x14ac:dyDescent="0.3">
      <c r="I630" s="38"/>
    </row>
    <row r="631" spans="9:9" x14ac:dyDescent="0.3">
      <c r="I631" s="38"/>
    </row>
    <row r="632" spans="9:9" x14ac:dyDescent="0.3">
      <c r="I632" s="38"/>
    </row>
    <row r="633" spans="9:9" x14ac:dyDescent="0.3">
      <c r="I633" s="38"/>
    </row>
    <row r="634" spans="9:9" x14ac:dyDescent="0.3">
      <c r="I634" s="38"/>
    </row>
    <row r="635" spans="9:9" x14ac:dyDescent="0.3">
      <c r="I635" s="38"/>
    </row>
    <row r="636" spans="9:9" x14ac:dyDescent="0.3">
      <c r="I636" s="38"/>
    </row>
    <row r="637" spans="9:9" x14ac:dyDescent="0.3">
      <c r="I637" s="38"/>
    </row>
    <row r="638" spans="9:9" x14ac:dyDescent="0.3">
      <c r="I638" s="38"/>
    </row>
    <row r="639" spans="9:9" x14ac:dyDescent="0.3">
      <c r="I639" s="38"/>
    </row>
    <row r="640" spans="9:9" x14ac:dyDescent="0.3">
      <c r="I640" s="38"/>
    </row>
    <row r="641" spans="9:9" x14ac:dyDescent="0.3">
      <c r="I641" s="38"/>
    </row>
    <row r="642" spans="9:9" x14ac:dyDescent="0.3">
      <c r="I642" s="38"/>
    </row>
    <row r="643" spans="9:9" x14ac:dyDescent="0.3">
      <c r="I643" s="38"/>
    </row>
    <row r="644" spans="9:9" x14ac:dyDescent="0.3">
      <c r="I644" s="38"/>
    </row>
    <row r="645" spans="9:9" x14ac:dyDescent="0.3">
      <c r="I645" s="38"/>
    </row>
    <row r="646" spans="9:9" x14ac:dyDescent="0.3">
      <c r="I646" s="38"/>
    </row>
    <row r="647" spans="9:9" x14ac:dyDescent="0.3">
      <c r="I647" s="38"/>
    </row>
    <row r="648" spans="9:9" x14ac:dyDescent="0.3">
      <c r="I648" s="38"/>
    </row>
    <row r="649" spans="9:9" x14ac:dyDescent="0.3">
      <c r="I649" s="38"/>
    </row>
    <row r="650" spans="9:9" x14ac:dyDescent="0.3">
      <c r="I650" s="38"/>
    </row>
    <row r="651" spans="9:9" x14ac:dyDescent="0.3">
      <c r="I651" s="38"/>
    </row>
    <row r="652" spans="9:9" x14ac:dyDescent="0.3">
      <c r="I652" s="38"/>
    </row>
    <row r="653" spans="9:9" x14ac:dyDescent="0.3">
      <c r="I653" s="38"/>
    </row>
    <row r="654" spans="9:9" x14ac:dyDescent="0.3">
      <c r="I654" s="38"/>
    </row>
    <row r="655" spans="9:9" x14ac:dyDescent="0.3">
      <c r="I655" s="38"/>
    </row>
    <row r="656" spans="9:9" x14ac:dyDescent="0.3">
      <c r="I656" s="38"/>
    </row>
    <row r="657" spans="9:9" x14ac:dyDescent="0.3">
      <c r="I657" s="38"/>
    </row>
    <row r="658" spans="9:9" x14ac:dyDescent="0.3">
      <c r="I658" s="38"/>
    </row>
    <row r="659" spans="9:9" x14ac:dyDescent="0.3">
      <c r="I659" s="38"/>
    </row>
    <row r="660" spans="9:9" x14ac:dyDescent="0.3">
      <c r="I660" s="38"/>
    </row>
    <row r="661" spans="9:9" x14ac:dyDescent="0.3">
      <c r="I661" s="38"/>
    </row>
    <row r="662" spans="9:9" x14ac:dyDescent="0.3">
      <c r="I662" s="38"/>
    </row>
    <row r="663" spans="9:9" x14ac:dyDescent="0.3">
      <c r="I663" s="38"/>
    </row>
    <row r="664" spans="9:9" x14ac:dyDescent="0.3">
      <c r="I664" s="38"/>
    </row>
    <row r="665" spans="9:9" x14ac:dyDescent="0.3">
      <c r="I665" s="38"/>
    </row>
    <row r="666" spans="9:9" x14ac:dyDescent="0.3">
      <c r="I666" s="38"/>
    </row>
    <row r="667" spans="9:9" x14ac:dyDescent="0.3">
      <c r="I667" s="38"/>
    </row>
    <row r="668" spans="9:9" x14ac:dyDescent="0.3">
      <c r="I668" s="38"/>
    </row>
    <row r="669" spans="9:9" x14ac:dyDescent="0.3">
      <c r="I669" s="38"/>
    </row>
    <row r="670" spans="9:9" x14ac:dyDescent="0.3">
      <c r="I670" s="38"/>
    </row>
    <row r="671" spans="9:9" x14ac:dyDescent="0.3">
      <c r="I671" s="38"/>
    </row>
    <row r="672" spans="9:9" x14ac:dyDescent="0.3">
      <c r="I672" s="38"/>
    </row>
    <row r="673" spans="9:9" x14ac:dyDescent="0.3">
      <c r="I673" s="38"/>
    </row>
    <row r="674" spans="9:9" x14ac:dyDescent="0.3">
      <c r="I674" s="38"/>
    </row>
    <row r="675" spans="9:9" x14ac:dyDescent="0.3">
      <c r="I675" s="38"/>
    </row>
    <row r="676" spans="9:9" x14ac:dyDescent="0.3">
      <c r="I676" s="38"/>
    </row>
    <row r="677" spans="9:9" x14ac:dyDescent="0.3">
      <c r="I677" s="38"/>
    </row>
    <row r="678" spans="9:9" x14ac:dyDescent="0.3">
      <c r="I678" s="38"/>
    </row>
    <row r="679" spans="9:9" x14ac:dyDescent="0.3">
      <c r="I679" s="38"/>
    </row>
    <row r="680" spans="9:9" x14ac:dyDescent="0.3">
      <c r="I680" s="38"/>
    </row>
    <row r="681" spans="9:9" x14ac:dyDescent="0.3">
      <c r="I681" s="38"/>
    </row>
    <row r="682" spans="9:9" x14ac:dyDescent="0.3">
      <c r="I682" s="38"/>
    </row>
    <row r="683" spans="9:9" x14ac:dyDescent="0.3">
      <c r="I683" s="38"/>
    </row>
    <row r="684" spans="9:9" x14ac:dyDescent="0.3">
      <c r="I684" s="38"/>
    </row>
    <row r="685" spans="9:9" x14ac:dyDescent="0.3">
      <c r="I685" s="38"/>
    </row>
    <row r="686" spans="9:9" x14ac:dyDescent="0.3">
      <c r="I686" s="38"/>
    </row>
    <row r="687" spans="9:9" x14ac:dyDescent="0.3">
      <c r="I687" s="38"/>
    </row>
    <row r="688" spans="9:9" x14ac:dyDescent="0.3">
      <c r="I688" s="38"/>
    </row>
    <row r="689" spans="9:9" x14ac:dyDescent="0.3">
      <c r="I689" s="38"/>
    </row>
    <row r="690" spans="9:9" x14ac:dyDescent="0.3">
      <c r="I690" s="38"/>
    </row>
    <row r="691" spans="9:9" x14ac:dyDescent="0.3">
      <c r="I691" s="38"/>
    </row>
    <row r="692" spans="9:9" x14ac:dyDescent="0.3">
      <c r="I692" s="38"/>
    </row>
    <row r="693" spans="9:9" x14ac:dyDescent="0.3">
      <c r="I693" s="38"/>
    </row>
    <row r="694" spans="9:9" x14ac:dyDescent="0.3">
      <c r="I694" s="38"/>
    </row>
    <row r="695" spans="9:9" x14ac:dyDescent="0.3">
      <c r="I695" s="38"/>
    </row>
    <row r="696" spans="9:9" x14ac:dyDescent="0.3">
      <c r="I696" s="38"/>
    </row>
    <row r="697" spans="9:9" x14ac:dyDescent="0.3">
      <c r="I697" s="38"/>
    </row>
    <row r="698" spans="9:9" x14ac:dyDescent="0.3">
      <c r="I698" s="38"/>
    </row>
    <row r="699" spans="9:9" x14ac:dyDescent="0.3">
      <c r="I699" s="38"/>
    </row>
    <row r="700" spans="9:9" x14ac:dyDescent="0.3">
      <c r="I700" s="38"/>
    </row>
    <row r="701" spans="9:9" x14ac:dyDescent="0.3">
      <c r="I701" s="38"/>
    </row>
    <row r="702" spans="9:9" x14ac:dyDescent="0.3">
      <c r="I702" s="38"/>
    </row>
    <row r="703" spans="9:9" x14ac:dyDescent="0.3">
      <c r="I703" s="38"/>
    </row>
    <row r="704" spans="9:9" x14ac:dyDescent="0.3">
      <c r="I704" s="38"/>
    </row>
    <row r="705" spans="9:9" x14ac:dyDescent="0.3">
      <c r="I705" s="38"/>
    </row>
    <row r="706" spans="9:9" x14ac:dyDescent="0.3">
      <c r="I706" s="38"/>
    </row>
    <row r="707" spans="9:9" x14ac:dyDescent="0.3">
      <c r="I707" s="38"/>
    </row>
    <row r="708" spans="9:9" x14ac:dyDescent="0.3">
      <c r="I708" s="38"/>
    </row>
    <row r="709" spans="9:9" x14ac:dyDescent="0.3">
      <c r="I709" s="38"/>
    </row>
    <row r="710" spans="9:9" x14ac:dyDescent="0.3">
      <c r="I710" s="38"/>
    </row>
    <row r="711" spans="9:9" x14ac:dyDescent="0.3">
      <c r="I711" s="38"/>
    </row>
    <row r="712" spans="9:9" x14ac:dyDescent="0.3">
      <c r="I712" s="38"/>
    </row>
    <row r="713" spans="9:9" x14ac:dyDescent="0.3">
      <c r="I713" s="38"/>
    </row>
    <row r="714" spans="9:9" x14ac:dyDescent="0.3">
      <c r="I714" s="38"/>
    </row>
    <row r="715" spans="9:9" x14ac:dyDescent="0.3">
      <c r="I715" s="38"/>
    </row>
    <row r="716" spans="9:9" x14ac:dyDescent="0.3">
      <c r="I716" s="38"/>
    </row>
    <row r="717" spans="9:9" x14ac:dyDescent="0.3">
      <c r="I717" s="38"/>
    </row>
    <row r="718" spans="9:9" x14ac:dyDescent="0.3">
      <c r="I718" s="38"/>
    </row>
    <row r="719" spans="9:9" x14ac:dyDescent="0.3">
      <c r="I719" s="38"/>
    </row>
    <row r="720" spans="9:9" x14ac:dyDescent="0.3">
      <c r="I720" s="38"/>
    </row>
    <row r="721" spans="9:9" x14ac:dyDescent="0.3">
      <c r="I721" s="38"/>
    </row>
    <row r="722" spans="9:9" x14ac:dyDescent="0.3">
      <c r="I722" s="38"/>
    </row>
    <row r="723" spans="9:9" x14ac:dyDescent="0.3">
      <c r="I723" s="38"/>
    </row>
    <row r="724" spans="9:9" x14ac:dyDescent="0.3">
      <c r="I724" s="38"/>
    </row>
    <row r="725" spans="9:9" x14ac:dyDescent="0.3">
      <c r="I725" s="38"/>
    </row>
    <row r="726" spans="9:9" x14ac:dyDescent="0.3">
      <c r="I726" s="38"/>
    </row>
    <row r="727" spans="9:9" x14ac:dyDescent="0.3">
      <c r="I727" s="38"/>
    </row>
    <row r="728" spans="9:9" x14ac:dyDescent="0.3">
      <c r="I728" s="38"/>
    </row>
    <row r="729" spans="9:9" x14ac:dyDescent="0.3">
      <c r="I729" s="38"/>
    </row>
    <row r="730" spans="9:9" x14ac:dyDescent="0.3">
      <c r="I730" s="38"/>
    </row>
    <row r="731" spans="9:9" x14ac:dyDescent="0.3">
      <c r="I731" s="38"/>
    </row>
    <row r="732" spans="9:9" x14ac:dyDescent="0.3">
      <c r="I732" s="38"/>
    </row>
    <row r="733" spans="9:9" x14ac:dyDescent="0.3">
      <c r="I733" s="38"/>
    </row>
    <row r="734" spans="9:9" x14ac:dyDescent="0.3">
      <c r="I734" s="38"/>
    </row>
    <row r="735" spans="9:9" x14ac:dyDescent="0.3">
      <c r="I735" s="38"/>
    </row>
    <row r="736" spans="9:9" x14ac:dyDescent="0.3">
      <c r="I736" s="38"/>
    </row>
    <row r="737" spans="9:9" x14ac:dyDescent="0.3">
      <c r="I737" s="38"/>
    </row>
    <row r="738" spans="9:9" x14ac:dyDescent="0.3">
      <c r="I738" s="38"/>
    </row>
    <row r="739" spans="9:9" x14ac:dyDescent="0.3">
      <c r="I739" s="38"/>
    </row>
    <row r="740" spans="9:9" x14ac:dyDescent="0.3">
      <c r="I740" s="38"/>
    </row>
    <row r="741" spans="9:9" x14ac:dyDescent="0.3">
      <c r="I741" s="38"/>
    </row>
    <row r="742" spans="9:9" x14ac:dyDescent="0.3">
      <c r="I742" s="38"/>
    </row>
    <row r="743" spans="9:9" x14ac:dyDescent="0.3">
      <c r="I743" s="38"/>
    </row>
    <row r="744" spans="9:9" x14ac:dyDescent="0.3">
      <c r="I744" s="38"/>
    </row>
    <row r="745" spans="9:9" x14ac:dyDescent="0.3">
      <c r="I745" s="38"/>
    </row>
    <row r="746" spans="9:9" x14ac:dyDescent="0.3">
      <c r="I746" s="38"/>
    </row>
    <row r="747" spans="9:9" x14ac:dyDescent="0.3">
      <c r="I747" s="38"/>
    </row>
    <row r="748" spans="9:9" x14ac:dyDescent="0.3">
      <c r="I748" s="38"/>
    </row>
    <row r="749" spans="9:9" x14ac:dyDescent="0.3">
      <c r="I749" s="38"/>
    </row>
    <row r="750" spans="9:9" x14ac:dyDescent="0.3">
      <c r="I750" s="38"/>
    </row>
    <row r="751" spans="9:9" x14ac:dyDescent="0.3">
      <c r="I751" s="38"/>
    </row>
    <row r="752" spans="9:9" x14ac:dyDescent="0.3">
      <c r="I752" s="38"/>
    </row>
    <row r="753" spans="9:9" x14ac:dyDescent="0.3">
      <c r="I753" s="38"/>
    </row>
    <row r="754" spans="9:9" x14ac:dyDescent="0.3">
      <c r="I754" s="38"/>
    </row>
    <row r="755" spans="9:9" x14ac:dyDescent="0.3">
      <c r="I755" s="38"/>
    </row>
    <row r="756" spans="9:9" x14ac:dyDescent="0.3">
      <c r="I756" s="38"/>
    </row>
    <row r="757" spans="9:9" x14ac:dyDescent="0.3">
      <c r="I757" s="38"/>
    </row>
    <row r="758" spans="9:9" x14ac:dyDescent="0.3">
      <c r="I758" s="38"/>
    </row>
    <row r="759" spans="9:9" x14ac:dyDescent="0.3">
      <c r="I759" s="38"/>
    </row>
    <row r="760" spans="9:9" x14ac:dyDescent="0.3">
      <c r="I760" s="38"/>
    </row>
    <row r="761" spans="9:9" x14ac:dyDescent="0.3">
      <c r="I761" s="38"/>
    </row>
    <row r="762" spans="9:9" x14ac:dyDescent="0.3">
      <c r="I762" s="38"/>
    </row>
    <row r="763" spans="9:9" x14ac:dyDescent="0.3">
      <c r="I763" s="38"/>
    </row>
    <row r="764" spans="9:9" x14ac:dyDescent="0.3">
      <c r="I764" s="38"/>
    </row>
    <row r="765" spans="9:9" x14ac:dyDescent="0.3">
      <c r="I765" s="38"/>
    </row>
    <row r="766" spans="9:9" x14ac:dyDescent="0.3">
      <c r="I766" s="38"/>
    </row>
    <row r="767" spans="9:9" x14ac:dyDescent="0.3">
      <c r="I767" s="38"/>
    </row>
    <row r="768" spans="9:9" x14ac:dyDescent="0.3">
      <c r="I768" s="38"/>
    </row>
    <row r="769" spans="9:9" x14ac:dyDescent="0.3">
      <c r="I769" s="38"/>
    </row>
    <row r="770" spans="9:9" x14ac:dyDescent="0.3">
      <c r="I770" s="38"/>
    </row>
    <row r="771" spans="9:9" x14ac:dyDescent="0.3">
      <c r="I771" s="38"/>
    </row>
    <row r="772" spans="9:9" x14ac:dyDescent="0.3">
      <c r="I772" s="38"/>
    </row>
    <row r="773" spans="9:9" x14ac:dyDescent="0.3">
      <c r="I773" s="38"/>
    </row>
    <row r="774" spans="9:9" x14ac:dyDescent="0.3">
      <c r="I774" s="38"/>
    </row>
    <row r="775" spans="9:9" x14ac:dyDescent="0.3">
      <c r="I775" s="38"/>
    </row>
    <row r="776" spans="9:9" x14ac:dyDescent="0.3">
      <c r="I776" s="38"/>
    </row>
    <row r="777" spans="9:9" x14ac:dyDescent="0.3">
      <c r="I777" s="38"/>
    </row>
    <row r="778" spans="9:9" x14ac:dyDescent="0.3">
      <c r="I778" s="38"/>
    </row>
    <row r="779" spans="9:9" x14ac:dyDescent="0.3">
      <c r="I779" s="38"/>
    </row>
    <row r="780" spans="9:9" x14ac:dyDescent="0.3">
      <c r="I780" s="38"/>
    </row>
    <row r="781" spans="9:9" x14ac:dyDescent="0.3">
      <c r="I781" s="38"/>
    </row>
    <row r="782" spans="9:9" x14ac:dyDescent="0.3">
      <c r="I782" s="38"/>
    </row>
    <row r="783" spans="9:9" x14ac:dyDescent="0.3">
      <c r="I783" s="38"/>
    </row>
    <row r="784" spans="9:9" x14ac:dyDescent="0.3">
      <c r="I784" s="38"/>
    </row>
    <row r="785" spans="9:9" x14ac:dyDescent="0.3">
      <c r="I785" s="38"/>
    </row>
    <row r="786" spans="9:9" x14ac:dyDescent="0.3">
      <c r="I786" s="38"/>
    </row>
    <row r="787" spans="9:9" x14ac:dyDescent="0.3">
      <c r="I787" s="38"/>
    </row>
    <row r="788" spans="9:9" x14ac:dyDescent="0.3">
      <c r="I788" s="38"/>
    </row>
    <row r="789" spans="9:9" x14ac:dyDescent="0.3">
      <c r="I789" s="38"/>
    </row>
    <row r="790" spans="9:9" x14ac:dyDescent="0.3">
      <c r="I790" s="38"/>
    </row>
    <row r="791" spans="9:9" x14ac:dyDescent="0.3">
      <c r="I791" s="38"/>
    </row>
    <row r="792" spans="9:9" x14ac:dyDescent="0.3">
      <c r="I792" s="38"/>
    </row>
    <row r="793" spans="9:9" x14ac:dyDescent="0.3">
      <c r="I793" s="38"/>
    </row>
    <row r="794" spans="9:9" x14ac:dyDescent="0.3">
      <c r="I794" s="38"/>
    </row>
    <row r="795" spans="9:9" x14ac:dyDescent="0.3">
      <c r="I795" s="38"/>
    </row>
    <row r="796" spans="9:9" x14ac:dyDescent="0.3">
      <c r="I796" s="38"/>
    </row>
    <row r="797" spans="9:9" x14ac:dyDescent="0.3">
      <c r="I797" s="38"/>
    </row>
    <row r="798" spans="9:9" x14ac:dyDescent="0.3">
      <c r="I798" s="38"/>
    </row>
    <row r="799" spans="9:9" x14ac:dyDescent="0.3">
      <c r="I799" s="38"/>
    </row>
    <row r="800" spans="9:9" x14ac:dyDescent="0.3">
      <c r="I800" s="38"/>
    </row>
    <row r="801" spans="9:9" x14ac:dyDescent="0.3">
      <c r="I801" s="38"/>
    </row>
    <row r="802" spans="9:9" x14ac:dyDescent="0.3">
      <c r="I802" s="38"/>
    </row>
    <row r="803" spans="9:9" x14ac:dyDescent="0.3">
      <c r="I803" s="38"/>
    </row>
    <row r="804" spans="9:9" x14ac:dyDescent="0.3">
      <c r="I804" s="38"/>
    </row>
    <row r="805" spans="9:9" x14ac:dyDescent="0.3">
      <c r="I805" s="38"/>
    </row>
    <row r="806" spans="9:9" x14ac:dyDescent="0.3">
      <c r="I806" s="38"/>
    </row>
    <row r="807" spans="9:9" x14ac:dyDescent="0.3">
      <c r="I807" s="38"/>
    </row>
    <row r="808" spans="9:9" x14ac:dyDescent="0.3">
      <c r="I808" s="38"/>
    </row>
    <row r="809" spans="9:9" x14ac:dyDescent="0.3">
      <c r="I809" s="38"/>
    </row>
    <row r="810" spans="9:9" x14ac:dyDescent="0.3">
      <c r="I810" s="38"/>
    </row>
    <row r="811" spans="9:9" x14ac:dyDescent="0.3">
      <c r="I811" s="38"/>
    </row>
    <row r="812" spans="9:9" x14ac:dyDescent="0.3">
      <c r="I812" s="38"/>
    </row>
    <row r="813" spans="9:9" x14ac:dyDescent="0.3">
      <c r="I813" s="38"/>
    </row>
    <row r="814" spans="9:9" x14ac:dyDescent="0.3">
      <c r="I814" s="38"/>
    </row>
    <row r="815" spans="9:9" x14ac:dyDescent="0.3">
      <c r="I815" s="38"/>
    </row>
    <row r="816" spans="9:9" x14ac:dyDescent="0.3">
      <c r="I816" s="38"/>
    </row>
    <row r="817" spans="9:9" x14ac:dyDescent="0.3">
      <c r="I817" s="38"/>
    </row>
    <row r="818" spans="9:9" x14ac:dyDescent="0.3">
      <c r="I818" s="38"/>
    </row>
    <row r="819" spans="9:9" x14ac:dyDescent="0.3">
      <c r="I819" s="38"/>
    </row>
    <row r="820" spans="9:9" x14ac:dyDescent="0.3">
      <c r="I820" s="38"/>
    </row>
    <row r="821" spans="9:9" x14ac:dyDescent="0.3">
      <c r="I821" s="38"/>
    </row>
    <row r="822" spans="9:9" x14ac:dyDescent="0.3">
      <c r="I822" s="38"/>
    </row>
    <row r="823" spans="9:9" x14ac:dyDescent="0.3">
      <c r="I823" s="38"/>
    </row>
    <row r="824" spans="9:9" x14ac:dyDescent="0.3">
      <c r="I824" s="38"/>
    </row>
    <row r="825" spans="9:9" x14ac:dyDescent="0.3">
      <c r="I825" s="38"/>
    </row>
    <row r="826" spans="9:9" x14ac:dyDescent="0.3">
      <c r="I826" s="38"/>
    </row>
    <row r="827" spans="9:9" x14ac:dyDescent="0.3">
      <c r="I827" s="38"/>
    </row>
    <row r="828" spans="9:9" x14ac:dyDescent="0.3">
      <c r="I828" s="38"/>
    </row>
    <row r="829" spans="9:9" x14ac:dyDescent="0.3">
      <c r="I829" s="38"/>
    </row>
    <row r="830" spans="9:9" x14ac:dyDescent="0.3">
      <c r="I830" s="38"/>
    </row>
    <row r="831" spans="9:9" x14ac:dyDescent="0.3">
      <c r="I831" s="38"/>
    </row>
    <row r="832" spans="9:9" x14ac:dyDescent="0.3">
      <c r="I832" s="38"/>
    </row>
    <row r="833" spans="9:9" x14ac:dyDescent="0.3">
      <c r="I833" s="38"/>
    </row>
    <row r="834" spans="9:9" x14ac:dyDescent="0.3">
      <c r="I834" s="38"/>
    </row>
    <row r="835" spans="9:9" x14ac:dyDescent="0.3">
      <c r="I835" s="38"/>
    </row>
    <row r="836" spans="9:9" x14ac:dyDescent="0.3">
      <c r="I836" s="38"/>
    </row>
    <row r="837" spans="9:9" x14ac:dyDescent="0.3">
      <c r="I837" s="38"/>
    </row>
    <row r="838" spans="9:9" x14ac:dyDescent="0.3">
      <c r="I838" s="38"/>
    </row>
    <row r="839" spans="9:9" x14ac:dyDescent="0.3">
      <c r="I839" s="38"/>
    </row>
    <row r="840" spans="9:9" x14ac:dyDescent="0.3">
      <c r="I840" s="38"/>
    </row>
    <row r="841" spans="9:9" x14ac:dyDescent="0.3">
      <c r="I841" s="38"/>
    </row>
    <row r="842" spans="9:9" x14ac:dyDescent="0.3">
      <c r="I842" s="38"/>
    </row>
    <row r="843" spans="9:9" x14ac:dyDescent="0.3">
      <c r="I843" s="38"/>
    </row>
    <row r="844" spans="9:9" x14ac:dyDescent="0.3">
      <c r="I844" s="38"/>
    </row>
    <row r="845" spans="9:9" x14ac:dyDescent="0.3">
      <c r="I845" s="38"/>
    </row>
    <row r="846" spans="9:9" x14ac:dyDescent="0.3">
      <c r="I846" s="38"/>
    </row>
    <row r="847" spans="9:9" x14ac:dyDescent="0.3">
      <c r="I847" s="38"/>
    </row>
    <row r="848" spans="9:9" x14ac:dyDescent="0.3">
      <c r="I848" s="38"/>
    </row>
    <row r="849" spans="9:9" x14ac:dyDescent="0.3">
      <c r="I849" s="38"/>
    </row>
    <row r="850" spans="9:9" x14ac:dyDescent="0.3">
      <c r="I850" s="38"/>
    </row>
    <row r="851" spans="9:9" x14ac:dyDescent="0.3">
      <c r="I851" s="38"/>
    </row>
    <row r="852" spans="9:9" x14ac:dyDescent="0.3">
      <c r="I852" s="38"/>
    </row>
    <row r="853" spans="9:9" x14ac:dyDescent="0.3">
      <c r="I853" s="38"/>
    </row>
    <row r="854" spans="9:9" x14ac:dyDescent="0.3">
      <c r="I854" s="38"/>
    </row>
    <row r="855" spans="9:9" x14ac:dyDescent="0.3">
      <c r="I855" s="38"/>
    </row>
    <row r="856" spans="9:9" x14ac:dyDescent="0.3">
      <c r="I856" s="38"/>
    </row>
    <row r="857" spans="9:9" x14ac:dyDescent="0.3">
      <c r="I857" s="38"/>
    </row>
    <row r="858" spans="9:9" x14ac:dyDescent="0.3">
      <c r="I858" s="38"/>
    </row>
    <row r="859" spans="9:9" x14ac:dyDescent="0.3">
      <c r="I859" s="38"/>
    </row>
    <row r="860" spans="9:9" x14ac:dyDescent="0.3">
      <c r="I860" s="38"/>
    </row>
    <row r="861" spans="9:9" x14ac:dyDescent="0.3">
      <c r="I861" s="38"/>
    </row>
    <row r="862" spans="9:9" x14ac:dyDescent="0.3">
      <c r="I862" s="38"/>
    </row>
    <row r="863" spans="9:9" x14ac:dyDescent="0.3">
      <c r="I863" s="38"/>
    </row>
    <row r="864" spans="9:9" x14ac:dyDescent="0.3">
      <c r="I864" s="38"/>
    </row>
    <row r="865" spans="9:9" x14ac:dyDescent="0.3">
      <c r="I865" s="38"/>
    </row>
    <row r="866" spans="9:9" x14ac:dyDescent="0.3">
      <c r="I866" s="38"/>
    </row>
    <row r="867" spans="9:9" x14ac:dyDescent="0.3">
      <c r="I867" s="38"/>
    </row>
    <row r="868" spans="9:9" x14ac:dyDescent="0.3">
      <c r="I868" s="38"/>
    </row>
    <row r="869" spans="9:9" x14ac:dyDescent="0.3">
      <c r="I869" s="38"/>
    </row>
    <row r="870" spans="9:9" x14ac:dyDescent="0.3">
      <c r="I870" s="38"/>
    </row>
  </sheetData>
  <mergeCells count="5">
    <mergeCell ref="A1:U1"/>
    <mergeCell ref="A2:G2"/>
    <mergeCell ref="I2:J2"/>
    <mergeCell ref="P2:U2"/>
    <mergeCell ref="AA2:AG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Sabie (Main)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Mathonsi (22008826)</dc:creator>
  <cp:lastModifiedBy>S Mathonsi (22008826)</cp:lastModifiedBy>
  <dcterms:created xsi:type="dcterms:W3CDTF">2026-04-08T06:37:48Z</dcterms:created>
  <dcterms:modified xsi:type="dcterms:W3CDTF">2026-04-08T06:40:12Z</dcterms:modified>
</cp:coreProperties>
</file>