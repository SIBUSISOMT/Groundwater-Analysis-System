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3C3CE566-8730-4A36-9B03-DF8276DF1F47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Sabie workbook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6" i="7" l="1"/>
  <c r="E116" i="7" s="1"/>
  <c r="D116" i="7"/>
  <c r="C117" i="7"/>
  <c r="D117" i="7"/>
  <c r="C118" i="7"/>
  <c r="D118" i="7"/>
  <c r="C119" i="7"/>
  <c r="D119" i="7"/>
  <c r="C120" i="7"/>
  <c r="D120" i="7"/>
  <c r="C121" i="7"/>
  <c r="D121" i="7"/>
  <c r="C122" i="7"/>
  <c r="D122" i="7"/>
  <c r="C123" i="7"/>
  <c r="D123" i="7"/>
  <c r="C124" i="7"/>
  <c r="E124" i="7" s="1"/>
  <c r="D124" i="7"/>
  <c r="C125" i="7"/>
  <c r="D125" i="7"/>
  <c r="C126" i="7"/>
  <c r="D126" i="7"/>
  <c r="C127" i="7"/>
  <c r="D127" i="7"/>
  <c r="C128" i="7"/>
  <c r="E128" i="7" s="1"/>
  <c r="D128" i="7"/>
  <c r="C129" i="7"/>
  <c r="D129" i="7"/>
  <c r="C130" i="7"/>
  <c r="D130" i="7"/>
  <c r="C131" i="7"/>
  <c r="D131" i="7"/>
  <c r="C132" i="7"/>
  <c r="E132" i="7" s="1"/>
  <c r="D132" i="7"/>
  <c r="C133" i="7"/>
  <c r="D133" i="7"/>
  <c r="C134" i="7"/>
  <c r="D134" i="7"/>
  <c r="C135" i="7"/>
  <c r="D135" i="7"/>
  <c r="C136" i="7"/>
  <c r="E136" i="7" s="1"/>
  <c r="D136" i="7"/>
  <c r="C137" i="7"/>
  <c r="D137" i="7"/>
  <c r="C138" i="7"/>
  <c r="D138" i="7"/>
  <c r="C139" i="7"/>
  <c r="D139" i="7"/>
  <c r="C140" i="7"/>
  <c r="E140" i="7" s="1"/>
  <c r="D140" i="7"/>
  <c r="C141" i="7"/>
  <c r="D141" i="7"/>
  <c r="C142" i="7"/>
  <c r="D142" i="7"/>
  <c r="C143" i="7"/>
  <c r="D143" i="7"/>
  <c r="C144" i="7"/>
  <c r="E144" i="7" s="1"/>
  <c r="F144" i="7" s="1"/>
  <c r="D144" i="7"/>
  <c r="C145" i="7"/>
  <c r="D145" i="7"/>
  <c r="C146" i="7"/>
  <c r="D146" i="7"/>
  <c r="C147" i="7"/>
  <c r="D147" i="7"/>
  <c r="C148" i="7"/>
  <c r="E148" i="7" s="1"/>
  <c r="D148" i="7"/>
  <c r="C149" i="7"/>
  <c r="D149" i="7"/>
  <c r="C150" i="7"/>
  <c r="D150" i="7"/>
  <c r="C151" i="7"/>
  <c r="D151" i="7"/>
  <c r="C152" i="7"/>
  <c r="E152" i="7" s="1"/>
  <c r="F152" i="7" s="1"/>
  <c r="D152" i="7"/>
  <c r="C153" i="7"/>
  <c r="D153" i="7"/>
  <c r="C154" i="7"/>
  <c r="D154" i="7"/>
  <c r="C155" i="7"/>
  <c r="D155" i="7"/>
  <c r="C156" i="7"/>
  <c r="E156" i="7" s="1"/>
  <c r="D156" i="7"/>
  <c r="C157" i="7"/>
  <c r="D157" i="7"/>
  <c r="C158" i="7"/>
  <c r="D158" i="7"/>
  <c r="C159" i="7"/>
  <c r="D159" i="7"/>
  <c r="C160" i="7"/>
  <c r="E160" i="7" s="1"/>
  <c r="D160" i="7"/>
  <c r="C161" i="7"/>
  <c r="D161" i="7"/>
  <c r="C162" i="7"/>
  <c r="D162" i="7"/>
  <c r="C163" i="7"/>
  <c r="D163" i="7"/>
  <c r="C164" i="7"/>
  <c r="E164" i="7" s="1"/>
  <c r="D164" i="7"/>
  <c r="C165" i="7"/>
  <c r="D165" i="7"/>
  <c r="C166" i="7"/>
  <c r="D166" i="7"/>
  <c r="C167" i="7"/>
  <c r="D167" i="7"/>
  <c r="C168" i="7"/>
  <c r="E168" i="7" s="1"/>
  <c r="D168" i="7"/>
  <c r="C169" i="7"/>
  <c r="D169" i="7"/>
  <c r="C170" i="7"/>
  <c r="D170" i="7"/>
  <c r="C171" i="7"/>
  <c r="D171" i="7"/>
  <c r="C172" i="7"/>
  <c r="E172" i="7" s="1"/>
  <c r="D172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2" i="7"/>
  <c r="D7" i="7"/>
  <c r="D15" i="7"/>
  <c r="D23" i="7"/>
  <c r="D31" i="7"/>
  <c r="D39" i="7"/>
  <c r="D47" i="7"/>
  <c r="D55" i="7"/>
  <c r="D63" i="7"/>
  <c r="D71" i="7"/>
  <c r="D79" i="7"/>
  <c r="D87" i="7"/>
  <c r="D95" i="7"/>
  <c r="D103" i="7"/>
  <c r="D111" i="7"/>
  <c r="C4" i="7"/>
  <c r="E4" i="7" s="1"/>
  <c r="C12" i="7"/>
  <c r="E12" i="7" s="1"/>
  <c r="C20" i="7"/>
  <c r="E20" i="7" s="1"/>
  <c r="C28" i="7"/>
  <c r="C36" i="7"/>
  <c r="C44" i="7"/>
  <c r="C52" i="7"/>
  <c r="E52" i="7" s="1"/>
  <c r="C60" i="7"/>
  <c r="E60" i="7" s="1"/>
  <c r="C68" i="7"/>
  <c r="E68" i="7" s="1"/>
  <c r="C76" i="7"/>
  <c r="E76" i="7" s="1"/>
  <c r="C84" i="7"/>
  <c r="E84" i="7" s="1"/>
  <c r="C92" i="7"/>
  <c r="C100" i="7"/>
  <c r="C108" i="7"/>
  <c r="E108" i="7" s="1"/>
  <c r="D12" i="7"/>
  <c r="D108" i="7"/>
  <c r="C9" i="7"/>
  <c r="E9" i="7" s="1"/>
  <c r="C41" i="7"/>
  <c r="E41" i="7" s="1"/>
  <c r="C81" i="7"/>
  <c r="C105" i="7"/>
  <c r="E137" i="7"/>
  <c r="C35" i="7"/>
  <c r="E35" i="7" s="1"/>
  <c r="C99" i="7"/>
  <c r="E99" i="7" s="1"/>
  <c r="E123" i="7"/>
  <c r="E163" i="7"/>
  <c r="D8" i="7"/>
  <c r="D16" i="7"/>
  <c r="D24" i="7"/>
  <c r="D32" i="7"/>
  <c r="D40" i="7"/>
  <c r="D48" i="7"/>
  <c r="D56" i="7"/>
  <c r="D64" i="7"/>
  <c r="D72" i="7"/>
  <c r="D80" i="7"/>
  <c r="D88" i="7"/>
  <c r="D96" i="7"/>
  <c r="D104" i="7"/>
  <c r="D112" i="7"/>
  <c r="C5" i="7"/>
  <c r="E5" i="7" s="1"/>
  <c r="C13" i="7"/>
  <c r="E13" i="7" s="1"/>
  <c r="C21" i="7"/>
  <c r="E21" i="7" s="1"/>
  <c r="C29" i="7"/>
  <c r="E29" i="7" s="1"/>
  <c r="C37" i="7"/>
  <c r="C45" i="7"/>
  <c r="C53" i="7"/>
  <c r="E53" i="7" s="1"/>
  <c r="C61" i="7"/>
  <c r="E61" i="7" s="1"/>
  <c r="C69" i="7"/>
  <c r="E69" i="7" s="1"/>
  <c r="C77" i="7"/>
  <c r="C85" i="7"/>
  <c r="E85" i="7" s="1"/>
  <c r="C93" i="7"/>
  <c r="E93" i="7" s="1"/>
  <c r="C101" i="7"/>
  <c r="E101" i="7" s="1"/>
  <c r="C109" i="7"/>
  <c r="E117" i="7"/>
  <c r="E125" i="7"/>
  <c r="E133" i="7"/>
  <c r="E141" i="7"/>
  <c r="E149" i="7"/>
  <c r="E157" i="7"/>
  <c r="E165" i="7"/>
  <c r="C2" i="7"/>
  <c r="E2" i="7" s="1"/>
  <c r="D76" i="7"/>
  <c r="C25" i="7"/>
  <c r="E25" i="7" s="1"/>
  <c r="C65" i="7"/>
  <c r="E65" i="7" s="1"/>
  <c r="E121" i="7"/>
  <c r="E161" i="7"/>
  <c r="C59" i="7"/>
  <c r="E59" i="7" s="1"/>
  <c r="D9" i="7"/>
  <c r="D17" i="7"/>
  <c r="D25" i="7"/>
  <c r="D33" i="7"/>
  <c r="D41" i="7"/>
  <c r="D49" i="7"/>
  <c r="D57" i="7"/>
  <c r="D65" i="7"/>
  <c r="D73" i="7"/>
  <c r="D81" i="7"/>
  <c r="D89" i="7"/>
  <c r="D97" i="7"/>
  <c r="D105" i="7"/>
  <c r="C6" i="7"/>
  <c r="E6" i="7" s="1"/>
  <c r="C14" i="7"/>
  <c r="E14" i="7" s="1"/>
  <c r="C22" i="7"/>
  <c r="C30" i="7"/>
  <c r="E30" i="7" s="1"/>
  <c r="C38" i="7"/>
  <c r="C46" i="7"/>
  <c r="E46" i="7" s="1"/>
  <c r="C54" i="7"/>
  <c r="E54" i="7" s="1"/>
  <c r="C62" i="7"/>
  <c r="E62" i="7" s="1"/>
  <c r="C70" i="7"/>
  <c r="E70" i="7" s="1"/>
  <c r="C78" i="7"/>
  <c r="E78" i="7" s="1"/>
  <c r="C86" i="7"/>
  <c r="C94" i="7"/>
  <c r="E94" i="7" s="1"/>
  <c r="C102" i="7"/>
  <c r="E102" i="7" s="1"/>
  <c r="C110" i="7"/>
  <c r="E110" i="7" s="1"/>
  <c r="E118" i="7"/>
  <c r="E126" i="7"/>
  <c r="E134" i="7"/>
  <c r="E142" i="7"/>
  <c r="E158" i="7"/>
  <c r="E166" i="7"/>
  <c r="D4" i="7"/>
  <c r="D28" i="7"/>
  <c r="D44" i="7"/>
  <c r="D52" i="7"/>
  <c r="D60" i="7"/>
  <c r="D68" i="7"/>
  <c r="D84" i="7"/>
  <c r="C33" i="7"/>
  <c r="E33" i="7" s="1"/>
  <c r="F33" i="7" s="1"/>
  <c r="C73" i="7"/>
  <c r="E73" i="7" s="1"/>
  <c r="E129" i="7"/>
  <c r="E169" i="7"/>
  <c r="C51" i="7"/>
  <c r="E131" i="7"/>
  <c r="D10" i="7"/>
  <c r="D18" i="7"/>
  <c r="D26" i="7"/>
  <c r="D34" i="7"/>
  <c r="D42" i="7"/>
  <c r="D50" i="7"/>
  <c r="D58" i="7"/>
  <c r="D66" i="7"/>
  <c r="D74" i="7"/>
  <c r="D82" i="7"/>
  <c r="D90" i="7"/>
  <c r="D98" i="7"/>
  <c r="D106" i="7"/>
  <c r="C7" i="7"/>
  <c r="C15" i="7"/>
  <c r="E15" i="7" s="1"/>
  <c r="F15" i="7" s="1"/>
  <c r="C23" i="7"/>
  <c r="C31" i="7"/>
  <c r="E31" i="7" s="1"/>
  <c r="C39" i="7"/>
  <c r="E39" i="7" s="1"/>
  <c r="C47" i="7"/>
  <c r="E47" i="7" s="1"/>
  <c r="C55" i="7"/>
  <c r="E55" i="7" s="1"/>
  <c r="C63" i="7"/>
  <c r="E63" i="7" s="1"/>
  <c r="C71" i="7"/>
  <c r="E71" i="7" s="1"/>
  <c r="C79" i="7"/>
  <c r="E79" i="7" s="1"/>
  <c r="C87" i="7"/>
  <c r="C95" i="7"/>
  <c r="E95" i="7" s="1"/>
  <c r="C103" i="7"/>
  <c r="E103" i="7" s="1"/>
  <c r="C111" i="7"/>
  <c r="E111" i="7" s="1"/>
  <c r="E119" i="7"/>
  <c r="E127" i="7"/>
  <c r="E135" i="7"/>
  <c r="E159" i="7"/>
  <c r="E167" i="7"/>
  <c r="D20" i="7"/>
  <c r="D100" i="7"/>
  <c r="C17" i="7"/>
  <c r="E17" i="7" s="1"/>
  <c r="C49" i="7"/>
  <c r="E49" i="7" s="1"/>
  <c r="C89" i="7"/>
  <c r="E145" i="7"/>
  <c r="C19" i="7"/>
  <c r="E19" i="7" s="1"/>
  <c r="C91" i="7"/>
  <c r="E91" i="7" s="1"/>
  <c r="E171" i="7"/>
  <c r="D3" i="7"/>
  <c r="D11" i="7"/>
  <c r="D19" i="7"/>
  <c r="D27" i="7"/>
  <c r="D35" i="7"/>
  <c r="D43" i="7"/>
  <c r="D51" i="7"/>
  <c r="D59" i="7"/>
  <c r="D67" i="7"/>
  <c r="D75" i="7"/>
  <c r="D83" i="7"/>
  <c r="D91" i="7"/>
  <c r="D99" i="7"/>
  <c r="D107" i="7"/>
  <c r="C8" i="7"/>
  <c r="E8" i="7" s="1"/>
  <c r="C16" i="7"/>
  <c r="E16" i="7" s="1"/>
  <c r="F16" i="7" s="1"/>
  <c r="C24" i="7"/>
  <c r="E24" i="7" s="1"/>
  <c r="F24" i="7" s="1"/>
  <c r="C32" i="7"/>
  <c r="E32" i="7" s="1"/>
  <c r="C40" i="7"/>
  <c r="E40" i="7" s="1"/>
  <c r="C48" i="7"/>
  <c r="E48" i="7" s="1"/>
  <c r="C56" i="7"/>
  <c r="E56" i="7" s="1"/>
  <c r="C64" i="7"/>
  <c r="E64" i="7" s="1"/>
  <c r="C72" i="7"/>
  <c r="E72" i="7" s="1"/>
  <c r="C80" i="7"/>
  <c r="E80" i="7" s="1"/>
  <c r="F80" i="7" s="1"/>
  <c r="C88" i="7"/>
  <c r="E88" i="7" s="1"/>
  <c r="F88" i="7" s="1"/>
  <c r="C96" i="7"/>
  <c r="E96" i="7" s="1"/>
  <c r="C104" i="7"/>
  <c r="E104" i="7" s="1"/>
  <c r="C112" i="7"/>
  <c r="E112" i="7" s="1"/>
  <c r="E120" i="7"/>
  <c r="D36" i="7"/>
  <c r="D92" i="7"/>
  <c r="C57" i="7"/>
  <c r="E57" i="7" s="1"/>
  <c r="F57" i="7" s="1"/>
  <c r="C97" i="7"/>
  <c r="E153" i="7"/>
  <c r="C67" i="7"/>
  <c r="E67" i="7" s="1"/>
  <c r="E155" i="7"/>
  <c r="D5" i="7"/>
  <c r="D13" i="7"/>
  <c r="D21" i="7"/>
  <c r="D29" i="7"/>
  <c r="D37" i="7"/>
  <c r="D45" i="7"/>
  <c r="D53" i="7"/>
  <c r="D61" i="7"/>
  <c r="D69" i="7"/>
  <c r="D77" i="7"/>
  <c r="D85" i="7"/>
  <c r="D93" i="7"/>
  <c r="D101" i="7"/>
  <c r="D109" i="7"/>
  <c r="D2" i="7"/>
  <c r="C10" i="7"/>
  <c r="E10" i="7" s="1"/>
  <c r="C18" i="7"/>
  <c r="E18" i="7" s="1"/>
  <c r="C26" i="7"/>
  <c r="E26" i="7" s="1"/>
  <c r="F26" i="7" s="1"/>
  <c r="C34" i="7"/>
  <c r="E34" i="7" s="1"/>
  <c r="C42" i="7"/>
  <c r="E42" i="7" s="1"/>
  <c r="C50" i="7"/>
  <c r="E50" i="7" s="1"/>
  <c r="C58" i="7"/>
  <c r="C66" i="7"/>
  <c r="E66" i="7" s="1"/>
  <c r="C74" i="7"/>
  <c r="E74" i="7" s="1"/>
  <c r="C82" i="7"/>
  <c r="E82" i="7" s="1"/>
  <c r="C90" i="7"/>
  <c r="E90" i="7" s="1"/>
  <c r="F90" i="7" s="1"/>
  <c r="C98" i="7"/>
  <c r="E98" i="7" s="1"/>
  <c r="C106" i="7"/>
  <c r="E106" i="7" s="1"/>
  <c r="E122" i="7"/>
  <c r="F122" i="7" s="1"/>
  <c r="E138" i="7"/>
  <c r="E146" i="7"/>
  <c r="E154" i="7"/>
  <c r="E162" i="7"/>
  <c r="F162" i="7" s="1"/>
  <c r="E170" i="7"/>
  <c r="D6" i="7"/>
  <c r="D14" i="7"/>
  <c r="D22" i="7"/>
  <c r="D30" i="7"/>
  <c r="D38" i="7"/>
  <c r="D46" i="7"/>
  <c r="D54" i="7"/>
  <c r="D62" i="7"/>
  <c r="D70" i="7"/>
  <c r="D78" i="7"/>
  <c r="D86" i="7"/>
  <c r="D94" i="7"/>
  <c r="D102" i="7"/>
  <c r="D110" i="7"/>
  <c r="C3" i="7"/>
  <c r="E3" i="7" s="1"/>
  <c r="C11" i="7"/>
  <c r="E11" i="7" s="1"/>
  <c r="C27" i="7"/>
  <c r="E27" i="7" s="1"/>
  <c r="C43" i="7"/>
  <c r="E43" i="7" s="1"/>
  <c r="C75" i="7"/>
  <c r="E75" i="7" s="1"/>
  <c r="C83" i="7"/>
  <c r="E83" i="7" s="1"/>
  <c r="C107" i="7"/>
  <c r="E107" i="7" s="1"/>
  <c r="E147" i="7"/>
  <c r="E109" i="7"/>
  <c r="E151" i="7"/>
  <c r="E87" i="7"/>
  <c r="E23" i="7"/>
  <c r="E28" i="7"/>
  <c r="E92" i="7"/>
  <c r="E100" i="7"/>
  <c r="E44" i="7"/>
  <c r="F44" i="7" s="1"/>
  <c r="E36" i="7"/>
  <c r="E77" i="7"/>
  <c r="E45" i="7"/>
  <c r="E7" i="7"/>
  <c r="F7" i="7" s="1"/>
  <c r="E143" i="7"/>
  <c r="E37" i="7"/>
  <c r="F37" i="7" s="1"/>
  <c r="E150" i="7"/>
  <c r="E86" i="7"/>
  <c r="E38" i="7"/>
  <c r="E22" i="7"/>
  <c r="E139" i="7"/>
  <c r="E51" i="7"/>
  <c r="E130" i="7"/>
  <c r="F130" i="7" s="1"/>
  <c r="E58" i="7"/>
  <c r="F58" i="7" s="1"/>
  <c r="E105" i="7"/>
  <c r="E97" i="7"/>
  <c r="E89" i="7"/>
  <c r="E81" i="7"/>
  <c r="F143" i="7" l="1"/>
  <c r="F22" i="7"/>
  <c r="F74" i="7"/>
  <c r="F75" i="7"/>
  <c r="F106" i="7"/>
  <c r="F42" i="7"/>
  <c r="F11" i="7"/>
  <c r="F50" i="7"/>
  <c r="F83" i="7"/>
  <c r="F40" i="7"/>
  <c r="F129" i="7"/>
  <c r="F128" i="7"/>
  <c r="F64" i="7"/>
  <c r="F5" i="7"/>
  <c r="F137" i="7"/>
  <c r="F104" i="7"/>
  <c r="F81" i="7"/>
  <c r="F159" i="7"/>
  <c r="F51" i="7"/>
  <c r="F146" i="7"/>
  <c r="F10" i="7"/>
  <c r="F168" i="7"/>
  <c r="F148" i="7"/>
  <c r="F138" i="7"/>
  <c r="F66" i="7"/>
  <c r="F153" i="7"/>
  <c r="F96" i="7"/>
  <c r="F73" i="7"/>
  <c r="F6" i="7"/>
  <c r="F121" i="7"/>
  <c r="F85" i="7"/>
  <c r="F21" i="7"/>
  <c r="F17" i="7"/>
  <c r="F170" i="7"/>
  <c r="F20" i="7"/>
  <c r="F2" i="7"/>
  <c r="F139" i="7"/>
  <c r="F116" i="7"/>
  <c r="F154" i="7"/>
  <c r="F82" i="7"/>
  <c r="F18" i="7"/>
  <c r="F23" i="7"/>
  <c r="F41" i="7"/>
  <c r="F84" i="7"/>
  <c r="F119" i="7"/>
  <c r="F55" i="7"/>
  <c r="F25" i="7"/>
  <c r="F89" i="7"/>
  <c r="F147" i="7"/>
  <c r="F112" i="7"/>
  <c r="F48" i="7"/>
  <c r="F167" i="7"/>
  <c r="F39" i="7"/>
  <c r="F65" i="7"/>
  <c r="F123" i="7"/>
  <c r="F68" i="7"/>
  <c r="F120" i="7"/>
  <c r="F56" i="7"/>
  <c r="F19" i="7"/>
  <c r="F126" i="7"/>
  <c r="F62" i="7"/>
  <c r="F163" i="7"/>
  <c r="F9" i="7"/>
  <c r="F76" i="7"/>
  <c r="F107" i="7"/>
  <c r="F97" i="7"/>
  <c r="F28" i="7"/>
  <c r="F108" i="7"/>
  <c r="F164" i="7"/>
  <c r="F69" i="7"/>
  <c r="F118" i="7"/>
  <c r="F54" i="7"/>
  <c r="F141" i="7"/>
  <c r="F132" i="7"/>
  <c r="F4" i="7"/>
  <c r="F110" i="7"/>
  <c r="F77" i="7"/>
  <c r="F49" i="7"/>
  <c r="F158" i="7"/>
  <c r="F94" i="7"/>
  <c r="F30" i="7"/>
  <c r="F117" i="7"/>
  <c r="F53" i="7"/>
  <c r="F105" i="7"/>
  <c r="F46" i="7"/>
  <c r="F150" i="7"/>
  <c r="F169" i="7"/>
  <c r="F92" i="7"/>
  <c r="F136" i="7"/>
  <c r="F72" i="7"/>
  <c r="F8" i="7"/>
  <c r="F63" i="7"/>
  <c r="F142" i="7"/>
  <c r="F78" i="7"/>
  <c r="F14" i="7"/>
  <c r="F59" i="7"/>
  <c r="F101" i="7"/>
  <c r="F156" i="7"/>
  <c r="F43" i="7"/>
  <c r="F52" i="7"/>
  <c r="F131" i="7"/>
  <c r="F3" i="7"/>
  <c r="F67" i="7"/>
  <c r="F38" i="7"/>
  <c r="F102" i="7"/>
  <c r="F166" i="7"/>
  <c r="F172" i="7"/>
  <c r="F125" i="7"/>
  <c r="F71" i="7"/>
  <c r="F60" i="7"/>
  <c r="F151" i="7"/>
  <c r="F171" i="7"/>
  <c r="F13" i="7"/>
  <c r="F165" i="7"/>
  <c r="F27" i="7"/>
  <c r="F111" i="7"/>
  <c r="F29" i="7"/>
  <c r="F35" i="7"/>
  <c r="F99" i="7"/>
  <c r="F155" i="7"/>
  <c r="F32" i="7"/>
  <c r="F160" i="7"/>
  <c r="F70" i="7"/>
  <c r="F134" i="7"/>
  <c r="F149" i="7"/>
  <c r="F103" i="7"/>
  <c r="F36" i="7"/>
  <c r="F45" i="7"/>
  <c r="F79" i="7"/>
  <c r="F91" i="7"/>
  <c r="F87" i="7"/>
  <c r="F145" i="7"/>
  <c r="F157" i="7"/>
  <c r="F124" i="7"/>
  <c r="F135" i="7"/>
  <c r="F109" i="7"/>
  <c r="F86" i="7"/>
  <c r="F93" i="7"/>
  <c r="F31" i="7"/>
  <c r="F12" i="7"/>
  <c r="F140" i="7"/>
  <c r="F161" i="7"/>
  <c r="F47" i="7"/>
  <c r="F95" i="7"/>
  <c r="F34" i="7"/>
  <c r="F98" i="7"/>
  <c r="F127" i="7"/>
  <c r="F61" i="7"/>
  <c r="F100" i="7"/>
  <c r="F13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<sst xmlns="http://schemas.openxmlformats.org/spreadsheetml/2006/main" count="5" uniqueCount="5">
  <si>
    <t>STDEV</t>
  </si>
  <si>
    <t>Date</t>
  </si>
  <si>
    <t>GW Level</t>
  </si>
  <si>
    <t>Average GW Level</t>
  </si>
  <si>
    <t>Standardized GW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</si>
</sst>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i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4" borderId="3" applyNumberFormat="0" applyAlignment="0" applyProtection="0"/>
    <xf numFmtId="0" fontId="4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16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2" borderId="4" xfId="0" applyFill="1" applyBorder="1"/>
    <xf numFmtId="0" fontId="0" fillId="3" borderId="4" xfId="0" applyFill="1" applyBorder="1"/>
    <xf numFmtId="0" fontId="5" fillId="0" borderId="0" xfId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2" fontId="1" fillId="3" borderId="4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" fillId="6" borderId="4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65" fontId="0" fillId="2" borderId="2" xfId="0" applyNumberFormat="1" applyFill="1" applyBorder="1"/>
    <xf numFmtId="165" fontId="1" fillId="5" borderId="2" xfId="0" applyNumberFormat="1" applyFont="1" applyFill="1" applyBorder="1" applyAlignment="1">
      <alignment horizontal="center"/>
    </xf>
    <xf numFmtId="165" fontId="0" fillId="3" borderId="2" xfId="0" applyNumberFormat="1" applyFill="1" applyBorder="1"/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H172"/>
  <sheetViews>
    <sheetView tabSelected="1" zoomScaleNormal="100" workbookViewId="0">
      <selection activeCell="G126" sqref="G126"/>
    </sheetView>
  </sheetViews>
  <sheetFormatPr defaultRowHeight="14.4" x14ac:dyDescent="0.3"/>
  <cols>
    <col min="1" max="1" width="15.5546875" style="15" customWidth="1"/>
    <col min="2" max="2" width="19.5546875" style="5" customWidth="1"/>
    <col min="3" max="3" width="22.88671875" style="1" customWidth="1"/>
    <col min="4" max="4" width="16" style="1" customWidth="1"/>
    <col min="5" max="5" width="13.6640625" style="1" customWidth="1"/>
    <col min="6" max="6" width="25.6640625" style="1" customWidth="1"/>
    <col min="7" max="7" width="21.88671875" bestFit="1" customWidth="1"/>
  </cols>
  <sheetData>
    <row r="1" spans="1:8" x14ac:dyDescent="0.3">
      <c r="A1" s="13" t="s">
        <v>1</v>
      </c>
      <c r="B1" s="4" t="s">
        <v>2</v>
      </c>
      <c r="C1" s="3" t="s">
        <v>3</v>
      </c>
      <c r="D1" s="3" t="s">
        <v>0</v>
      </c>
      <c r="E1" s="2"/>
      <c r="F1" s="2" t="s">
        <v>4</v>
      </c>
      <c r="G1" s="6"/>
      <c r="H1" s="6"/>
    </row>
    <row r="2" spans="1:8" x14ac:dyDescent="0.3">
      <c r="A2" s="14">
        <f>DATE(2011,1,1)</f>
        <v>40544</v>
      </c>
      <c r="B2" s="8">
        <v>652.42571428571432</v>
      </c>
      <c r="C2" s="10">
        <f>AVERAGE($B$2:$B$172)</f>
        <v>615.06874857282094</v>
      </c>
      <c r="D2" s="10">
        <f>_xlfn.STDEV.S($B$2:$B$172)</f>
        <v>83.005244791402987</v>
      </c>
      <c r="E2" s="10">
        <f>B2-C2</f>
        <v>37.356965712893384</v>
      </c>
      <c r="F2" s="10">
        <f>E2/D2</f>
        <v>0.45005548512956756</v>
      </c>
      <c r="G2" s="9"/>
      <c r="H2" s="7"/>
    </row>
    <row r="3" spans="1:8" x14ac:dyDescent="0.3">
      <c r="A3" s="14">
        <f>DATE(2011,2,1)</f>
        <v>40575</v>
      </c>
      <c r="B3" s="8">
        <v>652.35428571428577</v>
      </c>
      <c r="C3" s="10">
        <f t="shared" ref="C3:C66" si="0">AVERAGE($B$2:$B$172)</f>
        <v>615.06874857282094</v>
      </c>
      <c r="D3" s="10">
        <f t="shared" ref="D3:D66" si="1">_xlfn.STDEV.S($B$2:$B$172)</f>
        <v>83.005244791402987</v>
      </c>
      <c r="E3" s="10">
        <f t="shared" ref="E3:E66" si="2">B3-C3</f>
        <v>37.285537141464829</v>
      </c>
      <c r="F3" s="10">
        <f t="shared" ref="F3:F66" si="3">E3/D3</f>
        <v>0.44919495430879763</v>
      </c>
      <c r="G3" s="9"/>
      <c r="H3" s="7"/>
    </row>
    <row r="4" spans="1:8" x14ac:dyDescent="0.3">
      <c r="A4" s="14">
        <f>DATE(2011,3,1)</f>
        <v>40603</v>
      </c>
      <c r="B4" s="8">
        <v>652.41000000000008</v>
      </c>
      <c r="C4" s="10">
        <f t="shared" si="0"/>
        <v>615.06874857282094</v>
      </c>
      <c r="D4" s="10">
        <f t="shared" si="1"/>
        <v>83.005244791402987</v>
      </c>
      <c r="E4" s="10">
        <f t="shared" si="2"/>
        <v>37.341251427179145</v>
      </c>
      <c r="F4" s="10">
        <f t="shared" si="3"/>
        <v>0.44986616834899873</v>
      </c>
      <c r="G4" s="9"/>
      <c r="H4" s="7"/>
    </row>
    <row r="5" spans="1:8" x14ac:dyDescent="0.3">
      <c r="A5" s="14">
        <f>DATE(2011,4,1)</f>
        <v>40634</v>
      </c>
      <c r="B5" s="8">
        <v>652.4242857142857</v>
      </c>
      <c r="C5" s="10">
        <f t="shared" si="0"/>
        <v>615.06874857282094</v>
      </c>
      <c r="D5" s="10">
        <f t="shared" si="1"/>
        <v>83.005244791402987</v>
      </c>
      <c r="E5" s="10">
        <f t="shared" si="2"/>
        <v>37.355537141464765</v>
      </c>
      <c r="F5" s="10">
        <f t="shared" si="3"/>
        <v>0.45003827451315159</v>
      </c>
      <c r="G5" s="9"/>
      <c r="H5" s="7"/>
    </row>
    <row r="6" spans="1:8" x14ac:dyDescent="0.3">
      <c r="A6" s="14">
        <f>DATE(2011,5,1)</f>
        <v>40664</v>
      </c>
      <c r="B6" s="8">
        <v>652.39492857142852</v>
      </c>
      <c r="C6" s="10">
        <f t="shared" si="0"/>
        <v>615.06874857282094</v>
      </c>
      <c r="D6" s="10">
        <f t="shared" si="1"/>
        <v>83.005244791402987</v>
      </c>
      <c r="E6" s="10">
        <f t="shared" si="2"/>
        <v>37.326179998607586</v>
      </c>
      <c r="F6" s="10">
        <f t="shared" si="3"/>
        <v>0.44968459634581465</v>
      </c>
      <c r="G6" s="9"/>
      <c r="H6" s="7"/>
    </row>
    <row r="7" spans="1:8" x14ac:dyDescent="0.3">
      <c r="A7" s="14">
        <f>DATE(2011,6,1)</f>
        <v>40695</v>
      </c>
      <c r="B7" s="8">
        <v>652.43842857142863</v>
      </c>
      <c r="C7" s="10">
        <f t="shared" si="0"/>
        <v>615.06874857282094</v>
      </c>
      <c r="D7" s="10">
        <f t="shared" si="1"/>
        <v>83.005244791402987</v>
      </c>
      <c r="E7" s="10">
        <f t="shared" si="2"/>
        <v>37.369679998607694</v>
      </c>
      <c r="F7" s="10">
        <f t="shared" si="3"/>
        <v>0.45020865961566497</v>
      </c>
      <c r="G7" s="9"/>
      <c r="H7" s="7"/>
    </row>
    <row r="8" spans="1:8" x14ac:dyDescent="0.3">
      <c r="A8" s="14">
        <f>DATE(2011,7,1)</f>
        <v>40725</v>
      </c>
      <c r="B8" s="8">
        <v>626.42750000000001</v>
      </c>
      <c r="C8" s="10">
        <f t="shared" si="0"/>
        <v>615.06874857282094</v>
      </c>
      <c r="D8" s="10">
        <f t="shared" si="1"/>
        <v>83.005244791402987</v>
      </c>
      <c r="E8" s="10">
        <f t="shared" si="2"/>
        <v>11.358751427179072</v>
      </c>
      <c r="F8" s="10">
        <f t="shared" si="3"/>
        <v>0.13684377963975983</v>
      </c>
      <c r="G8" s="9"/>
      <c r="H8" s="7"/>
    </row>
    <row r="9" spans="1:8" x14ac:dyDescent="0.3">
      <c r="A9" s="14">
        <f>DATE(2011,8,1)</f>
        <v>40756</v>
      </c>
      <c r="B9" s="8">
        <v>626.3850000000001</v>
      </c>
      <c r="C9" s="10">
        <f t="shared" si="0"/>
        <v>615.06874857282094</v>
      </c>
      <c r="D9" s="10">
        <f t="shared" si="1"/>
        <v>83.005244791402987</v>
      </c>
      <c r="E9" s="10">
        <f t="shared" si="2"/>
        <v>11.316251427179168</v>
      </c>
      <c r="F9" s="10">
        <f t="shared" si="3"/>
        <v>0.13633176380140274</v>
      </c>
      <c r="G9" s="9"/>
      <c r="H9" s="7"/>
    </row>
    <row r="10" spans="1:8" x14ac:dyDescent="0.3">
      <c r="A10" s="14">
        <f>DATE(2011,9,1)</f>
        <v>40787</v>
      </c>
      <c r="B10" s="8">
        <v>626.34</v>
      </c>
      <c r="C10" s="10">
        <f t="shared" si="0"/>
        <v>615.06874857282094</v>
      </c>
      <c r="D10" s="10">
        <f t="shared" si="1"/>
        <v>83.005244791402987</v>
      </c>
      <c r="E10" s="10">
        <f t="shared" si="2"/>
        <v>11.271251427179095</v>
      </c>
      <c r="F10" s="10">
        <f t="shared" si="3"/>
        <v>0.13578962938431668</v>
      </c>
      <c r="G10" s="9"/>
      <c r="H10" s="7"/>
    </row>
    <row r="11" spans="1:8" x14ac:dyDescent="0.3">
      <c r="A11" s="14">
        <f>DATE(2011,10,1)</f>
        <v>40817</v>
      </c>
      <c r="B11" s="8">
        <v>652.35142857142853</v>
      </c>
      <c r="C11" s="10">
        <f t="shared" si="0"/>
        <v>615.06874857282094</v>
      </c>
      <c r="D11" s="10">
        <f t="shared" si="1"/>
        <v>83.005244791402987</v>
      </c>
      <c r="E11" s="10">
        <f t="shared" si="2"/>
        <v>37.282679998607591</v>
      </c>
      <c r="F11" s="10">
        <f t="shared" si="3"/>
        <v>0.44916053307596571</v>
      </c>
      <c r="G11" s="9"/>
      <c r="H11" s="7"/>
    </row>
    <row r="12" spans="1:8" x14ac:dyDescent="0.3">
      <c r="A12" s="14">
        <f>DATE(2011,11,1)</f>
        <v>40848</v>
      </c>
      <c r="B12" s="8">
        <v>652.31857142857132</v>
      </c>
      <c r="C12" s="10">
        <f t="shared" si="0"/>
        <v>615.06874857282094</v>
      </c>
      <c r="D12" s="10">
        <f t="shared" si="1"/>
        <v>83.005244791402987</v>
      </c>
      <c r="E12" s="10">
        <f t="shared" si="2"/>
        <v>37.249822855750381</v>
      </c>
      <c r="F12" s="10">
        <f t="shared" si="3"/>
        <v>0.44876468889841065</v>
      </c>
      <c r="G12" s="9"/>
      <c r="H12" s="7"/>
    </row>
    <row r="13" spans="1:8" x14ac:dyDescent="0.3">
      <c r="A13" s="14">
        <f>DATE(2011,12,1)</f>
        <v>40878</v>
      </c>
      <c r="B13" s="8">
        <v>626.78249999999991</v>
      </c>
      <c r="C13" s="10">
        <f t="shared" si="0"/>
        <v>615.06874857282094</v>
      </c>
      <c r="D13" s="10">
        <f t="shared" si="1"/>
        <v>83.005244791402987</v>
      </c>
      <c r="E13" s="10">
        <f t="shared" si="2"/>
        <v>11.713751427178977</v>
      </c>
      <c r="F13" s="10">
        <f t="shared" si="3"/>
        <v>0.14112061781898622</v>
      </c>
      <c r="G13" s="9"/>
      <c r="H13" s="7"/>
    </row>
    <row r="14" spans="1:8" x14ac:dyDescent="0.3">
      <c r="A14" s="14">
        <f>DATE(2012,1,1)</f>
        <v>40909</v>
      </c>
      <c r="B14" s="8">
        <v>638.95857142857142</v>
      </c>
      <c r="C14" s="10">
        <f t="shared" si="0"/>
        <v>615.06874857282094</v>
      </c>
      <c r="D14" s="10">
        <f t="shared" si="1"/>
        <v>83.005244791402987</v>
      </c>
      <c r="E14" s="10">
        <f t="shared" si="2"/>
        <v>23.889822855750481</v>
      </c>
      <c r="F14" s="10">
        <f t="shared" si="3"/>
        <v>0.28781100418156702</v>
      </c>
      <c r="G14" s="9"/>
      <c r="H14" s="7"/>
    </row>
    <row r="15" spans="1:8" x14ac:dyDescent="0.3">
      <c r="A15" s="14">
        <f>DATE(2012,2,1)</f>
        <v>40940</v>
      </c>
      <c r="B15" s="8">
        <v>638.86714285714299</v>
      </c>
      <c r="C15" s="10">
        <f t="shared" si="0"/>
        <v>615.06874857282094</v>
      </c>
      <c r="D15" s="10">
        <f t="shared" si="1"/>
        <v>83.005244791402987</v>
      </c>
      <c r="E15" s="10">
        <f t="shared" si="2"/>
        <v>23.798394284322058</v>
      </c>
      <c r="F15" s="10">
        <f t="shared" si="3"/>
        <v>0.28670952473098305</v>
      </c>
      <c r="G15" s="9"/>
      <c r="H15" s="7"/>
    </row>
    <row r="16" spans="1:8" x14ac:dyDescent="0.3">
      <c r="A16" s="14">
        <f>DATE(2012,3,1)</f>
        <v>40969</v>
      </c>
      <c r="B16" s="8">
        <v>638.79</v>
      </c>
      <c r="C16" s="10">
        <f t="shared" si="0"/>
        <v>615.06874857282094</v>
      </c>
      <c r="D16" s="10">
        <f t="shared" si="1"/>
        <v>83.005244791402987</v>
      </c>
      <c r="E16" s="10">
        <f t="shared" si="2"/>
        <v>23.721251427179027</v>
      </c>
      <c r="F16" s="10">
        <f t="shared" si="3"/>
        <v>0.28578015144454921</v>
      </c>
      <c r="G16" s="9"/>
      <c r="H16" s="7"/>
    </row>
    <row r="17" spans="1:8" x14ac:dyDescent="0.3">
      <c r="A17" s="14">
        <f t="shared" ref="A17:A66" si="4">DATE(2011,1,1)</f>
        <v>40544</v>
      </c>
      <c r="B17" s="8">
        <v>638.86142857142852</v>
      </c>
      <c r="C17" s="10">
        <f t="shared" si="0"/>
        <v>615.06874857282094</v>
      </c>
      <c r="D17" s="10">
        <f t="shared" si="1"/>
        <v>83.005244791402987</v>
      </c>
      <c r="E17" s="10">
        <f t="shared" si="2"/>
        <v>23.792679998607582</v>
      </c>
      <c r="F17" s="10">
        <f t="shared" si="3"/>
        <v>0.28664068226531919</v>
      </c>
      <c r="G17" s="9"/>
      <c r="H17" s="7"/>
    </row>
    <row r="18" spans="1:8" x14ac:dyDescent="0.3">
      <c r="A18" s="14">
        <f t="shared" si="4"/>
        <v>40544</v>
      </c>
      <c r="B18" s="8">
        <v>626.94312500000001</v>
      </c>
      <c r="C18" s="10">
        <f t="shared" si="0"/>
        <v>615.06874857282094</v>
      </c>
      <c r="D18" s="10">
        <f t="shared" si="1"/>
        <v>83.005244791402987</v>
      </c>
      <c r="E18" s="10">
        <f t="shared" si="2"/>
        <v>11.874376427179072</v>
      </c>
      <c r="F18" s="10">
        <f t="shared" si="3"/>
        <v>0.14305573650219419</v>
      </c>
      <c r="G18" s="9"/>
      <c r="H18" s="7"/>
    </row>
    <row r="19" spans="1:8" x14ac:dyDescent="0.3">
      <c r="A19" s="14">
        <f t="shared" si="4"/>
        <v>40544</v>
      </c>
      <c r="B19" s="8">
        <v>611.09571428571428</v>
      </c>
      <c r="C19" s="10">
        <f t="shared" si="0"/>
        <v>615.06874857282094</v>
      </c>
      <c r="D19" s="10">
        <f t="shared" si="1"/>
        <v>83.005244791402987</v>
      </c>
      <c r="E19" s="10">
        <f t="shared" si="2"/>
        <v>-3.9730342871066568</v>
      </c>
      <c r="F19" s="10">
        <f t="shared" si="3"/>
        <v>-4.7864858384444542E-2</v>
      </c>
      <c r="G19" s="9"/>
      <c r="H19" s="7"/>
    </row>
    <row r="20" spans="1:8" x14ac:dyDescent="0.3">
      <c r="A20" s="14">
        <f t="shared" si="4"/>
        <v>40544</v>
      </c>
      <c r="B20" s="8">
        <v>611.08428571428578</v>
      </c>
      <c r="C20" s="10">
        <f t="shared" si="0"/>
        <v>615.06874857282094</v>
      </c>
      <c r="D20" s="10">
        <f t="shared" si="1"/>
        <v>83.005244791402987</v>
      </c>
      <c r="E20" s="10">
        <f t="shared" si="2"/>
        <v>-3.9844628585351529</v>
      </c>
      <c r="F20" s="10">
        <f t="shared" si="3"/>
        <v>-4.8002543315766852E-2</v>
      </c>
      <c r="G20" s="9"/>
    </row>
    <row r="21" spans="1:8" x14ac:dyDescent="0.3">
      <c r="A21" s="14">
        <f t="shared" si="4"/>
        <v>40544</v>
      </c>
      <c r="B21" s="8">
        <v>626.78125</v>
      </c>
      <c r="C21" s="10">
        <f t="shared" si="0"/>
        <v>615.06874857282094</v>
      </c>
      <c r="D21" s="10">
        <f t="shared" si="1"/>
        <v>83.005244791402987</v>
      </c>
      <c r="E21" s="10">
        <f t="shared" si="2"/>
        <v>11.712501427179063</v>
      </c>
      <c r="F21" s="10">
        <f t="shared" si="3"/>
        <v>0.14110555852962378</v>
      </c>
      <c r="G21" s="9"/>
    </row>
    <row r="22" spans="1:8" x14ac:dyDescent="0.3">
      <c r="A22" s="14">
        <f t="shared" si="4"/>
        <v>40544</v>
      </c>
      <c r="B22" s="8">
        <v>626.87125000000003</v>
      </c>
      <c r="C22" s="10">
        <f t="shared" si="0"/>
        <v>615.06874857282094</v>
      </c>
      <c r="D22" s="10">
        <f t="shared" si="1"/>
        <v>83.005244791402987</v>
      </c>
      <c r="E22" s="10">
        <f t="shared" si="2"/>
        <v>11.802501427179095</v>
      </c>
      <c r="F22" s="10">
        <f t="shared" si="3"/>
        <v>0.14218982736379451</v>
      </c>
      <c r="G22" s="9"/>
    </row>
    <row r="23" spans="1:8" x14ac:dyDescent="0.3">
      <c r="A23" s="14">
        <f t="shared" si="4"/>
        <v>40544</v>
      </c>
      <c r="B23" s="8">
        <v>626.8125</v>
      </c>
      <c r="C23" s="10">
        <f t="shared" si="0"/>
        <v>615.06874857282094</v>
      </c>
      <c r="D23" s="10">
        <f t="shared" si="1"/>
        <v>83.005244791402987</v>
      </c>
      <c r="E23" s="10">
        <f t="shared" si="2"/>
        <v>11.743751427179063</v>
      </c>
      <c r="F23" s="10">
        <f t="shared" si="3"/>
        <v>0.14148204076371071</v>
      </c>
      <c r="G23" s="9"/>
    </row>
    <row r="24" spans="1:8" x14ac:dyDescent="0.3">
      <c r="A24" s="14">
        <f t="shared" si="4"/>
        <v>40544</v>
      </c>
      <c r="B24" s="8">
        <v>626.78875000000005</v>
      </c>
      <c r="C24" s="10">
        <f t="shared" si="0"/>
        <v>615.06874857282094</v>
      </c>
      <c r="D24" s="10">
        <f t="shared" si="1"/>
        <v>83.005244791402987</v>
      </c>
      <c r="E24" s="10">
        <f t="shared" si="2"/>
        <v>11.720001427179113</v>
      </c>
      <c r="F24" s="10">
        <f t="shared" si="3"/>
        <v>0.14119591426580524</v>
      </c>
      <c r="G24" s="9"/>
    </row>
    <row r="25" spans="1:8" x14ac:dyDescent="0.3">
      <c r="A25" s="14">
        <f t="shared" si="4"/>
        <v>40544</v>
      </c>
      <c r="B25" s="8">
        <v>626.83125000000007</v>
      </c>
      <c r="C25" s="10">
        <f t="shared" si="0"/>
        <v>615.06874857282094</v>
      </c>
      <c r="D25" s="10">
        <f t="shared" si="1"/>
        <v>83.005244791402987</v>
      </c>
      <c r="E25" s="10">
        <f t="shared" si="2"/>
        <v>11.762501427179131</v>
      </c>
      <c r="F25" s="10">
        <f t="shared" si="3"/>
        <v>0.14170793010416369</v>
      </c>
      <c r="G25" s="9"/>
    </row>
    <row r="26" spans="1:8" x14ac:dyDescent="0.3">
      <c r="A26" s="14">
        <f t="shared" si="4"/>
        <v>40544</v>
      </c>
      <c r="B26" s="8">
        <v>626.92375000000004</v>
      </c>
      <c r="C26" s="10">
        <f t="shared" si="0"/>
        <v>615.06874857282094</v>
      </c>
      <c r="D26" s="10">
        <f t="shared" si="1"/>
        <v>83.005244791402987</v>
      </c>
      <c r="E26" s="10">
        <f t="shared" si="2"/>
        <v>11.855001427179104</v>
      </c>
      <c r="F26" s="10">
        <f t="shared" si="3"/>
        <v>0.14282231751706068</v>
      </c>
      <c r="G26" s="9"/>
    </row>
    <row r="27" spans="1:8" x14ac:dyDescent="0.3">
      <c r="A27" s="14">
        <f t="shared" si="4"/>
        <v>40544</v>
      </c>
      <c r="B27" s="8">
        <v>627.10500000000002</v>
      </c>
      <c r="C27" s="10">
        <f t="shared" si="0"/>
        <v>615.06874857282094</v>
      </c>
      <c r="D27" s="10">
        <f t="shared" si="1"/>
        <v>83.005244791402987</v>
      </c>
      <c r="E27" s="10">
        <f t="shared" si="2"/>
        <v>12.036251427179081</v>
      </c>
      <c r="F27" s="10">
        <f t="shared" si="3"/>
        <v>0.1450059144747646</v>
      </c>
      <c r="G27" s="9"/>
    </row>
    <row r="28" spans="1:8" x14ac:dyDescent="0.3">
      <c r="A28" s="14">
        <f t="shared" si="4"/>
        <v>40544</v>
      </c>
      <c r="B28" s="8">
        <v>627.17124999999999</v>
      </c>
      <c r="C28" s="10">
        <f t="shared" si="0"/>
        <v>615.06874857282094</v>
      </c>
      <c r="D28" s="10">
        <f t="shared" si="1"/>
        <v>83.005244791402987</v>
      </c>
      <c r="E28" s="10">
        <f t="shared" si="2"/>
        <v>12.10250142717905</v>
      </c>
      <c r="F28" s="10">
        <f t="shared" si="3"/>
        <v>0.14580405681102851</v>
      </c>
      <c r="G28" s="9"/>
    </row>
    <row r="29" spans="1:8" x14ac:dyDescent="0.3">
      <c r="A29" s="14">
        <f t="shared" si="4"/>
        <v>40544</v>
      </c>
      <c r="B29" s="8">
        <v>627.19374999999991</v>
      </c>
      <c r="C29" s="10">
        <f t="shared" si="0"/>
        <v>615.06874857282094</v>
      </c>
      <c r="D29" s="10">
        <f t="shared" si="1"/>
        <v>83.005244791402987</v>
      </c>
      <c r="E29" s="10">
        <f t="shared" si="2"/>
        <v>12.125001427178972</v>
      </c>
      <c r="F29" s="10">
        <f t="shared" si="3"/>
        <v>0.14607512401957018</v>
      </c>
      <c r="G29" s="9"/>
    </row>
    <row r="30" spans="1:8" x14ac:dyDescent="0.3">
      <c r="A30" s="14">
        <f t="shared" si="4"/>
        <v>40544</v>
      </c>
      <c r="B30" s="8">
        <v>627.25125000000003</v>
      </c>
      <c r="C30" s="10">
        <f t="shared" si="0"/>
        <v>615.06874857282094</v>
      </c>
      <c r="D30" s="10">
        <f t="shared" si="1"/>
        <v>83.005244791402987</v>
      </c>
      <c r="E30" s="10">
        <f t="shared" si="2"/>
        <v>12.182501427179091</v>
      </c>
      <c r="F30" s="10">
        <f t="shared" si="3"/>
        <v>0.14676785133029155</v>
      </c>
      <c r="G30" s="9"/>
    </row>
    <row r="31" spans="1:8" x14ac:dyDescent="0.3">
      <c r="A31" s="14">
        <f t="shared" si="4"/>
        <v>40544</v>
      </c>
      <c r="B31" s="8">
        <v>611.4028571428571</v>
      </c>
      <c r="C31" s="10">
        <f t="shared" si="0"/>
        <v>615.06874857282094</v>
      </c>
      <c r="D31" s="10">
        <f t="shared" si="1"/>
        <v>83.005244791402987</v>
      </c>
      <c r="E31" s="10">
        <f t="shared" si="2"/>
        <v>-3.6658914299638354</v>
      </c>
      <c r="F31" s="10">
        <f t="shared" si="3"/>
        <v>-4.416457585513342E-2</v>
      </c>
      <c r="G31" s="9"/>
    </row>
    <row r="32" spans="1:8" x14ac:dyDescent="0.3">
      <c r="A32" s="14">
        <f t="shared" si="4"/>
        <v>40544</v>
      </c>
      <c r="B32" s="8">
        <v>611.24</v>
      </c>
      <c r="C32" s="10">
        <f t="shared" si="0"/>
        <v>615.06874857282094</v>
      </c>
      <c r="D32" s="10">
        <f t="shared" si="1"/>
        <v>83.005244791402987</v>
      </c>
      <c r="E32" s="10">
        <f t="shared" si="2"/>
        <v>-3.8287485728209276</v>
      </c>
      <c r="F32" s="10">
        <f t="shared" si="3"/>
        <v>-4.6126586126488699E-2</v>
      </c>
      <c r="G32" s="9"/>
    </row>
    <row r="33" spans="1:7" x14ac:dyDescent="0.3">
      <c r="A33" s="14">
        <f t="shared" si="4"/>
        <v>40544</v>
      </c>
      <c r="B33" s="8">
        <v>600.60142857142853</v>
      </c>
      <c r="C33" s="10">
        <f t="shared" si="0"/>
        <v>615.06874857282094</v>
      </c>
      <c r="D33" s="10">
        <f t="shared" si="1"/>
        <v>83.005244791402987</v>
      </c>
      <c r="E33" s="10">
        <f t="shared" si="2"/>
        <v>-14.467320001392409</v>
      </c>
      <c r="F33" s="10">
        <f t="shared" si="3"/>
        <v>-0.17429404657199224</v>
      </c>
      <c r="G33" s="9"/>
    </row>
    <row r="34" spans="1:7" x14ac:dyDescent="0.3">
      <c r="A34" s="14">
        <f t="shared" si="4"/>
        <v>40544</v>
      </c>
      <c r="B34" s="8">
        <v>600.49771428571421</v>
      </c>
      <c r="C34" s="10">
        <f t="shared" si="0"/>
        <v>615.06874857282094</v>
      </c>
      <c r="D34" s="10">
        <f t="shared" si="1"/>
        <v>83.005244791402987</v>
      </c>
      <c r="E34" s="10">
        <f t="shared" si="2"/>
        <v>-14.571034287106727</v>
      </c>
      <c r="F34" s="10">
        <f t="shared" si="3"/>
        <v>-0.17554353732375086</v>
      </c>
      <c r="G34" s="9"/>
    </row>
    <row r="35" spans="1:7" x14ac:dyDescent="0.3">
      <c r="A35" s="14">
        <f t="shared" si="4"/>
        <v>40544</v>
      </c>
      <c r="B35" s="8">
        <v>626.85500000000002</v>
      </c>
      <c r="C35" s="10">
        <f t="shared" si="0"/>
        <v>615.06874857282094</v>
      </c>
      <c r="D35" s="10">
        <f t="shared" si="1"/>
        <v>83.005244791402987</v>
      </c>
      <c r="E35" s="10">
        <f t="shared" si="2"/>
        <v>11.786251427179081</v>
      </c>
      <c r="F35" s="10">
        <f t="shared" si="3"/>
        <v>0.14199405660206915</v>
      </c>
      <c r="G35" s="9"/>
    </row>
    <row r="36" spans="1:7" x14ac:dyDescent="0.3">
      <c r="A36" s="14">
        <f t="shared" si="4"/>
        <v>40544</v>
      </c>
      <c r="B36" s="8">
        <v>627.09</v>
      </c>
      <c r="C36" s="10">
        <f t="shared" si="0"/>
        <v>615.06874857282094</v>
      </c>
      <c r="D36" s="10">
        <f t="shared" si="1"/>
        <v>83.005244791402987</v>
      </c>
      <c r="E36" s="10">
        <f t="shared" si="2"/>
        <v>12.021251427179095</v>
      </c>
      <c r="F36" s="10">
        <f t="shared" si="3"/>
        <v>0.14482520300240304</v>
      </c>
      <c r="G36" s="9"/>
    </row>
    <row r="37" spans="1:7" x14ac:dyDescent="0.3">
      <c r="A37" s="14">
        <f t="shared" si="4"/>
        <v>40544</v>
      </c>
      <c r="B37" s="8">
        <v>627.20625000000007</v>
      </c>
      <c r="C37" s="10">
        <f t="shared" si="0"/>
        <v>615.06874857282094</v>
      </c>
      <c r="D37" s="10">
        <f t="shared" si="1"/>
        <v>83.005244791402987</v>
      </c>
      <c r="E37" s="10">
        <f t="shared" si="2"/>
        <v>12.137501427179131</v>
      </c>
      <c r="F37" s="10">
        <f t="shared" si="3"/>
        <v>0.14622571691320685</v>
      </c>
      <c r="G37" s="9"/>
    </row>
    <row r="38" spans="1:7" x14ac:dyDescent="0.3">
      <c r="A38" s="14">
        <f t="shared" si="4"/>
        <v>40544</v>
      </c>
      <c r="B38" s="8">
        <v>627.27875000000006</v>
      </c>
      <c r="C38" s="10">
        <f t="shared" si="0"/>
        <v>615.06874857282094</v>
      </c>
      <c r="D38" s="10">
        <f t="shared" si="1"/>
        <v>83.005244791402987</v>
      </c>
      <c r="E38" s="10">
        <f t="shared" si="2"/>
        <v>12.210001427179122</v>
      </c>
      <c r="F38" s="10">
        <f t="shared" si="3"/>
        <v>0.14709915569628843</v>
      </c>
      <c r="G38" s="9"/>
    </row>
    <row r="39" spans="1:7" x14ac:dyDescent="0.3">
      <c r="A39" s="14">
        <f t="shared" si="4"/>
        <v>40544</v>
      </c>
      <c r="B39" s="8">
        <v>627.37000000000012</v>
      </c>
      <c r="C39" s="10">
        <f t="shared" si="0"/>
        <v>615.06874857282094</v>
      </c>
      <c r="D39" s="10">
        <f t="shared" si="1"/>
        <v>83.005244791402987</v>
      </c>
      <c r="E39" s="10">
        <f t="shared" si="2"/>
        <v>12.301251427179182</v>
      </c>
      <c r="F39" s="10">
        <f t="shared" si="3"/>
        <v>0.14819848381982298</v>
      </c>
      <c r="G39" s="9"/>
    </row>
    <row r="40" spans="1:7" x14ac:dyDescent="0.3">
      <c r="A40" s="14">
        <f t="shared" si="4"/>
        <v>40544</v>
      </c>
      <c r="B40" s="8">
        <v>627.60799999999995</v>
      </c>
      <c r="C40" s="10">
        <f t="shared" si="0"/>
        <v>615.06874857282094</v>
      </c>
      <c r="D40" s="10">
        <f t="shared" si="1"/>
        <v>83.005244791402987</v>
      </c>
      <c r="E40" s="10">
        <f t="shared" si="2"/>
        <v>12.539251427179011</v>
      </c>
      <c r="F40" s="10">
        <f t="shared" si="3"/>
        <v>0.15106577251462699</v>
      </c>
      <c r="G40" s="9"/>
    </row>
    <row r="41" spans="1:7" x14ac:dyDescent="0.3">
      <c r="A41" s="14">
        <f t="shared" si="4"/>
        <v>40544</v>
      </c>
      <c r="B41" s="8">
        <v>627.50250000000005</v>
      </c>
      <c r="C41" s="10">
        <f t="shared" si="0"/>
        <v>615.06874857282094</v>
      </c>
      <c r="D41" s="10">
        <f t="shared" si="1"/>
        <v>83.005244791402987</v>
      </c>
      <c r="E41" s="10">
        <f t="shared" si="2"/>
        <v>12.433751427179118</v>
      </c>
      <c r="F41" s="10">
        <f t="shared" si="3"/>
        <v>0.14979476849235079</v>
      </c>
      <c r="G41" s="9"/>
    </row>
    <row r="42" spans="1:7" x14ac:dyDescent="0.3">
      <c r="A42" s="14">
        <f t="shared" si="4"/>
        <v>40544</v>
      </c>
      <c r="B42" s="8">
        <v>627.49824999999998</v>
      </c>
      <c r="C42" s="10">
        <f t="shared" si="0"/>
        <v>615.06874857282094</v>
      </c>
      <c r="D42" s="10">
        <f t="shared" si="1"/>
        <v>83.005244791402987</v>
      </c>
      <c r="E42" s="10">
        <f t="shared" si="2"/>
        <v>12.429501427179048</v>
      </c>
      <c r="F42" s="10">
        <f t="shared" si="3"/>
        <v>0.14974356690851415</v>
      </c>
      <c r="G42" s="9"/>
    </row>
    <row r="43" spans="1:7" x14ac:dyDescent="0.3">
      <c r="A43" s="14">
        <f t="shared" si="4"/>
        <v>40544</v>
      </c>
      <c r="B43" s="8">
        <v>627.43124999999998</v>
      </c>
      <c r="C43" s="10">
        <f t="shared" si="0"/>
        <v>615.06874857282094</v>
      </c>
      <c r="D43" s="10">
        <f t="shared" si="1"/>
        <v>83.005244791402987</v>
      </c>
      <c r="E43" s="10">
        <f t="shared" si="2"/>
        <v>12.362501427179041</v>
      </c>
      <c r="F43" s="10">
        <f t="shared" si="3"/>
        <v>0.14893638899863168</v>
      </c>
      <c r="G43" s="9"/>
    </row>
    <row r="44" spans="1:7" x14ac:dyDescent="0.3">
      <c r="A44" s="14">
        <f t="shared" si="4"/>
        <v>40544</v>
      </c>
      <c r="B44" s="8">
        <v>627.43500000000006</v>
      </c>
      <c r="C44" s="10">
        <f t="shared" si="0"/>
        <v>615.06874857282094</v>
      </c>
      <c r="D44" s="10">
        <f t="shared" si="1"/>
        <v>83.005244791402987</v>
      </c>
      <c r="E44" s="10">
        <f t="shared" si="2"/>
        <v>12.366251427179122</v>
      </c>
      <c r="F44" s="10">
        <f t="shared" si="3"/>
        <v>0.14898156686672309</v>
      </c>
      <c r="G44" s="9"/>
    </row>
    <row r="45" spans="1:7" x14ac:dyDescent="0.3">
      <c r="A45" s="14">
        <f t="shared" si="4"/>
        <v>40544</v>
      </c>
      <c r="B45" s="8">
        <v>627.48500000000001</v>
      </c>
      <c r="C45" s="10">
        <f t="shared" si="0"/>
        <v>615.06874857282094</v>
      </c>
      <c r="D45" s="10">
        <f t="shared" si="1"/>
        <v>83.005244791402987</v>
      </c>
      <c r="E45" s="10">
        <f t="shared" si="2"/>
        <v>12.416251427179077</v>
      </c>
      <c r="F45" s="10">
        <f t="shared" si="3"/>
        <v>0.14958393844126164</v>
      </c>
      <c r="G45" s="9"/>
    </row>
    <row r="46" spans="1:7" x14ac:dyDescent="0.3">
      <c r="A46" s="14">
        <f t="shared" si="4"/>
        <v>40544</v>
      </c>
      <c r="B46" s="8">
        <v>627.45499999999993</v>
      </c>
      <c r="C46" s="10">
        <f t="shared" si="0"/>
        <v>615.06874857282094</v>
      </c>
      <c r="D46" s="10">
        <f t="shared" si="1"/>
        <v>83.005244791402987</v>
      </c>
      <c r="E46" s="10">
        <f t="shared" si="2"/>
        <v>12.386251427178991</v>
      </c>
      <c r="F46" s="10">
        <f t="shared" si="3"/>
        <v>0.14922251549653714</v>
      </c>
      <c r="G46" s="9"/>
    </row>
    <row r="47" spans="1:7" x14ac:dyDescent="0.3">
      <c r="A47" s="14">
        <f t="shared" si="4"/>
        <v>40544</v>
      </c>
      <c r="B47" s="8">
        <v>627.4162500000001</v>
      </c>
      <c r="C47" s="10">
        <f t="shared" si="0"/>
        <v>615.06874857282094</v>
      </c>
      <c r="D47" s="10">
        <f t="shared" si="1"/>
        <v>83.005244791402987</v>
      </c>
      <c r="E47" s="10">
        <f t="shared" si="2"/>
        <v>12.347501427179168</v>
      </c>
      <c r="F47" s="10">
        <f t="shared" si="3"/>
        <v>0.14875567752627147</v>
      </c>
      <c r="G47" s="9"/>
    </row>
    <row r="48" spans="1:7" x14ac:dyDescent="0.3">
      <c r="A48" s="14">
        <f t="shared" si="4"/>
        <v>40544</v>
      </c>
      <c r="B48" s="8">
        <v>627.41499999999996</v>
      </c>
      <c r="C48" s="10">
        <f t="shared" si="0"/>
        <v>615.06874857282094</v>
      </c>
      <c r="D48" s="10">
        <f t="shared" si="1"/>
        <v>83.005244791402987</v>
      </c>
      <c r="E48" s="10">
        <f t="shared" si="2"/>
        <v>12.346251427179027</v>
      </c>
      <c r="F48" s="10">
        <f t="shared" si="3"/>
        <v>0.14874061823690629</v>
      </c>
      <c r="G48" s="9"/>
    </row>
    <row r="49" spans="1:7" x14ac:dyDescent="0.3">
      <c r="A49" s="14">
        <f t="shared" si="4"/>
        <v>40544</v>
      </c>
      <c r="B49" s="8">
        <v>627.4162500000001</v>
      </c>
      <c r="C49" s="10">
        <f t="shared" si="0"/>
        <v>615.06874857282094</v>
      </c>
      <c r="D49" s="10">
        <f t="shared" si="1"/>
        <v>83.005244791402987</v>
      </c>
      <c r="E49" s="10">
        <f t="shared" si="2"/>
        <v>12.347501427179168</v>
      </c>
      <c r="F49" s="10">
        <f t="shared" si="3"/>
        <v>0.14875567752627147</v>
      </c>
      <c r="G49" s="9"/>
    </row>
    <row r="50" spans="1:7" x14ac:dyDescent="0.3">
      <c r="A50" s="14">
        <f t="shared" si="4"/>
        <v>40544</v>
      </c>
      <c r="B50" s="8">
        <v>627.54500000000007</v>
      </c>
      <c r="C50" s="10">
        <f t="shared" si="0"/>
        <v>615.06874857282094</v>
      </c>
      <c r="D50" s="10">
        <f t="shared" si="1"/>
        <v>83.005244791402987</v>
      </c>
      <c r="E50" s="10">
        <f t="shared" si="2"/>
        <v>12.476251427179136</v>
      </c>
      <c r="F50" s="10">
        <f t="shared" si="3"/>
        <v>0.15030678433070924</v>
      </c>
      <c r="G50" s="9"/>
    </row>
    <row r="51" spans="1:7" x14ac:dyDescent="0.3">
      <c r="A51" s="14">
        <f t="shared" si="4"/>
        <v>40544</v>
      </c>
      <c r="B51" s="8">
        <v>627.505</v>
      </c>
      <c r="C51" s="10">
        <f t="shared" si="0"/>
        <v>615.06874857282094</v>
      </c>
      <c r="D51" s="10">
        <f t="shared" si="1"/>
        <v>83.005244791402987</v>
      </c>
      <c r="E51" s="10">
        <f t="shared" si="2"/>
        <v>12.436251427179059</v>
      </c>
      <c r="F51" s="10">
        <f t="shared" si="3"/>
        <v>0.14982488707107705</v>
      </c>
      <c r="G51" s="9"/>
    </row>
    <row r="52" spans="1:7" x14ac:dyDescent="0.3">
      <c r="A52" s="14">
        <f t="shared" si="4"/>
        <v>40544</v>
      </c>
      <c r="B52" s="8">
        <v>627.3275000000001</v>
      </c>
      <c r="C52" s="10">
        <f t="shared" si="0"/>
        <v>615.06874857282094</v>
      </c>
      <c r="D52" s="10">
        <f t="shared" si="1"/>
        <v>83.005244791402987</v>
      </c>
      <c r="E52" s="10">
        <f t="shared" si="2"/>
        <v>12.258751427179163</v>
      </c>
      <c r="F52" s="10">
        <f t="shared" si="3"/>
        <v>0.14768646798146454</v>
      </c>
      <c r="G52" s="9"/>
    </row>
    <row r="53" spans="1:7" x14ac:dyDescent="0.3">
      <c r="A53" s="14">
        <f t="shared" si="4"/>
        <v>40544</v>
      </c>
      <c r="B53" s="8">
        <v>627.27500000000009</v>
      </c>
      <c r="C53" s="10">
        <f t="shared" si="0"/>
        <v>615.06874857282094</v>
      </c>
      <c r="D53" s="10">
        <f t="shared" si="1"/>
        <v>83.005244791402987</v>
      </c>
      <c r="E53" s="10">
        <f t="shared" si="2"/>
        <v>12.206251427179154</v>
      </c>
      <c r="F53" s="10">
        <f t="shared" si="3"/>
        <v>0.14705397782819837</v>
      </c>
      <c r="G53" s="9"/>
    </row>
    <row r="54" spans="1:7" x14ac:dyDescent="0.3">
      <c r="A54" s="14">
        <f t="shared" si="4"/>
        <v>40544</v>
      </c>
      <c r="B54" s="8">
        <v>627.21375</v>
      </c>
      <c r="C54" s="10">
        <f t="shared" si="0"/>
        <v>615.06874857282094</v>
      </c>
      <c r="D54" s="10">
        <f t="shared" si="1"/>
        <v>83.005244791402987</v>
      </c>
      <c r="E54" s="10">
        <f t="shared" si="2"/>
        <v>12.145001427179068</v>
      </c>
      <c r="F54" s="10">
        <f t="shared" si="3"/>
        <v>0.14631607264938695</v>
      </c>
      <c r="G54" s="9"/>
    </row>
    <row r="55" spans="1:7" x14ac:dyDescent="0.3">
      <c r="A55" s="14">
        <f t="shared" si="4"/>
        <v>40544</v>
      </c>
      <c r="B55" s="8">
        <v>627.16750000000002</v>
      </c>
      <c r="C55" s="10">
        <f t="shared" si="0"/>
        <v>615.06874857282094</v>
      </c>
      <c r="D55" s="10">
        <f t="shared" si="1"/>
        <v>83.005244791402987</v>
      </c>
      <c r="E55" s="10">
        <f t="shared" si="2"/>
        <v>12.098751427179081</v>
      </c>
      <c r="F55" s="10">
        <f t="shared" si="3"/>
        <v>0.14575887894293846</v>
      </c>
      <c r="G55" s="9"/>
    </row>
    <row r="56" spans="1:7" x14ac:dyDescent="0.3">
      <c r="A56" s="14">
        <f t="shared" si="4"/>
        <v>40544</v>
      </c>
      <c r="B56" s="8">
        <v>611.47714285714289</v>
      </c>
      <c r="C56" s="10">
        <f t="shared" si="0"/>
        <v>615.06874857282094</v>
      </c>
      <c r="D56" s="10">
        <f t="shared" si="1"/>
        <v>83.005244791402987</v>
      </c>
      <c r="E56" s="10">
        <f t="shared" si="2"/>
        <v>-3.5916057156780425</v>
      </c>
      <c r="F56" s="10">
        <f t="shared" si="3"/>
        <v>-4.3269623801531543E-2</v>
      </c>
      <c r="G56" s="9"/>
    </row>
    <row r="57" spans="1:7" x14ac:dyDescent="0.3">
      <c r="A57" s="14">
        <f t="shared" si="4"/>
        <v>40544</v>
      </c>
      <c r="B57" s="8">
        <v>626.94500000000005</v>
      </c>
      <c r="C57" s="10">
        <f t="shared" si="0"/>
        <v>615.06874857282094</v>
      </c>
      <c r="D57" s="10">
        <f t="shared" si="1"/>
        <v>83.005244791402987</v>
      </c>
      <c r="E57" s="10">
        <f t="shared" si="2"/>
        <v>11.876251427179113</v>
      </c>
      <c r="F57" s="10">
        <f t="shared" si="3"/>
        <v>0.14307832543623991</v>
      </c>
      <c r="G57" s="9"/>
    </row>
    <row r="58" spans="1:7" x14ac:dyDescent="0.3">
      <c r="A58" s="14">
        <f t="shared" si="4"/>
        <v>40544</v>
      </c>
      <c r="B58" s="8">
        <v>627.08249999999998</v>
      </c>
      <c r="C58" s="10">
        <f t="shared" si="0"/>
        <v>615.06874857282094</v>
      </c>
      <c r="D58" s="10">
        <f t="shared" si="1"/>
        <v>83.005244791402987</v>
      </c>
      <c r="E58" s="10">
        <f t="shared" si="2"/>
        <v>12.013751427179045</v>
      </c>
      <c r="F58" s="10">
        <f t="shared" si="3"/>
        <v>0.14473484726622157</v>
      </c>
      <c r="G58" s="9"/>
    </row>
    <row r="59" spans="1:7" x14ac:dyDescent="0.3">
      <c r="A59" s="14">
        <f t="shared" si="4"/>
        <v>40544</v>
      </c>
      <c r="B59" s="8">
        <v>626.89750000000004</v>
      </c>
      <c r="C59" s="10">
        <f t="shared" si="0"/>
        <v>615.06874857282094</v>
      </c>
      <c r="D59" s="10">
        <f t="shared" si="1"/>
        <v>83.005244791402987</v>
      </c>
      <c r="E59" s="10">
        <f t="shared" si="2"/>
        <v>11.8287514271791</v>
      </c>
      <c r="F59" s="10">
        <f t="shared" si="3"/>
        <v>0.14250607244042759</v>
      </c>
      <c r="G59" s="9"/>
    </row>
    <row r="60" spans="1:7" x14ac:dyDescent="0.3">
      <c r="A60" s="14">
        <f t="shared" si="4"/>
        <v>40544</v>
      </c>
      <c r="B60" s="8">
        <v>626.84</v>
      </c>
      <c r="C60" s="10">
        <f t="shared" si="0"/>
        <v>615.06874857282094</v>
      </c>
      <c r="D60" s="10">
        <f t="shared" si="1"/>
        <v>83.005244791402987</v>
      </c>
      <c r="E60" s="10">
        <f t="shared" si="2"/>
        <v>11.771251427179095</v>
      </c>
      <c r="F60" s="10">
        <f t="shared" si="3"/>
        <v>0.14181334512970759</v>
      </c>
      <c r="G60" s="9"/>
    </row>
    <row r="61" spans="1:7" x14ac:dyDescent="0.3">
      <c r="A61" s="14">
        <f t="shared" si="4"/>
        <v>40544</v>
      </c>
      <c r="B61" s="8">
        <v>626.76750000000015</v>
      </c>
      <c r="C61" s="10">
        <f t="shared" si="0"/>
        <v>615.06874857282094</v>
      </c>
      <c r="D61" s="10">
        <f t="shared" si="1"/>
        <v>83.005244791402987</v>
      </c>
      <c r="E61" s="10">
        <f t="shared" si="2"/>
        <v>11.698751427179218</v>
      </c>
      <c r="F61" s="10">
        <f t="shared" si="3"/>
        <v>0.1409399063466274</v>
      </c>
      <c r="G61" s="9"/>
    </row>
    <row r="62" spans="1:7" x14ac:dyDescent="0.3">
      <c r="A62" s="14">
        <f t="shared" si="4"/>
        <v>40544</v>
      </c>
      <c r="B62" s="8">
        <v>626.70625000000007</v>
      </c>
      <c r="C62" s="10">
        <f t="shared" si="0"/>
        <v>615.06874857282094</v>
      </c>
      <c r="D62" s="10">
        <f t="shared" si="1"/>
        <v>83.005244791402987</v>
      </c>
      <c r="E62" s="10">
        <f t="shared" si="2"/>
        <v>11.637501427179131</v>
      </c>
      <c r="F62" s="10">
        <f t="shared" si="3"/>
        <v>0.14020200116781598</v>
      </c>
      <c r="G62" s="9"/>
    </row>
    <row r="63" spans="1:7" x14ac:dyDescent="0.3">
      <c r="A63" s="14">
        <f t="shared" si="4"/>
        <v>40544</v>
      </c>
      <c r="B63" s="8">
        <v>626.63499999999999</v>
      </c>
      <c r="C63" s="10">
        <f t="shared" si="0"/>
        <v>615.06874857282094</v>
      </c>
      <c r="D63" s="10">
        <f t="shared" si="1"/>
        <v>83.005244791402987</v>
      </c>
      <c r="E63" s="10">
        <f t="shared" si="2"/>
        <v>11.566251427179054</v>
      </c>
      <c r="F63" s="10">
        <f t="shared" si="3"/>
        <v>0.13934362167409683</v>
      </c>
      <c r="G63" s="9"/>
    </row>
    <row r="64" spans="1:7" x14ac:dyDescent="0.3">
      <c r="A64" s="14">
        <f t="shared" si="4"/>
        <v>40544</v>
      </c>
      <c r="B64" s="8">
        <v>626.61249999999995</v>
      </c>
      <c r="C64" s="10">
        <f t="shared" si="0"/>
        <v>615.06874857282094</v>
      </c>
      <c r="D64" s="10">
        <f t="shared" si="1"/>
        <v>83.005244791402987</v>
      </c>
      <c r="E64" s="10">
        <f t="shared" si="2"/>
        <v>11.543751427179018</v>
      </c>
      <c r="F64" s="10">
        <f t="shared" si="3"/>
        <v>0.1390725544655538</v>
      </c>
      <c r="G64" s="9"/>
    </row>
    <row r="65" spans="1:7" x14ac:dyDescent="0.3">
      <c r="A65" s="14">
        <f t="shared" si="4"/>
        <v>40544</v>
      </c>
      <c r="B65" s="8">
        <v>626.57625000000007</v>
      </c>
      <c r="C65" s="10">
        <f t="shared" si="0"/>
        <v>615.06874857282094</v>
      </c>
      <c r="D65" s="10">
        <f t="shared" si="1"/>
        <v>83.005244791402987</v>
      </c>
      <c r="E65" s="10">
        <f t="shared" si="2"/>
        <v>11.507501427179136</v>
      </c>
      <c r="F65" s="10">
        <f t="shared" si="3"/>
        <v>0.13863583507401439</v>
      </c>
      <c r="G65" s="9"/>
    </row>
    <row r="66" spans="1:7" x14ac:dyDescent="0.3">
      <c r="A66" s="14">
        <f t="shared" si="4"/>
        <v>40544</v>
      </c>
      <c r="B66" s="8">
        <v>626.44625000000008</v>
      </c>
      <c r="C66" s="10">
        <f t="shared" si="0"/>
        <v>615.06874857282094</v>
      </c>
      <c r="D66" s="10">
        <f t="shared" si="1"/>
        <v>83.005244791402987</v>
      </c>
      <c r="E66" s="10">
        <f t="shared" si="2"/>
        <v>11.377501427179141</v>
      </c>
      <c r="F66" s="10">
        <f t="shared" si="3"/>
        <v>0.13706966898021281</v>
      </c>
      <c r="G66" s="9"/>
    </row>
    <row r="67" spans="1:7" x14ac:dyDescent="0.3">
      <c r="A67" s="14">
        <f t="shared" ref="A67:A130" si="5">DATE(2011,1,1)</f>
        <v>40544</v>
      </c>
      <c r="B67" s="8">
        <v>610.71285714285716</v>
      </c>
      <c r="C67" s="10">
        <f t="shared" ref="C67:C130" si="6">AVERAGE($B$2:$B$172)</f>
        <v>615.06874857282094</v>
      </c>
      <c r="D67" s="10">
        <f t="shared" ref="D67:D130" si="7">_xlfn.STDEV.S($B$2:$B$172)</f>
        <v>83.005244791402987</v>
      </c>
      <c r="E67" s="10">
        <f t="shared" ref="E67:E130" si="8">B67-C67</f>
        <v>-4.3558914299637763</v>
      </c>
      <c r="F67" s="10">
        <f t="shared" ref="F67:F130" si="9">E67/D67</f>
        <v>-5.2477303583772145E-2</v>
      </c>
      <c r="G67" s="9"/>
    </row>
    <row r="68" spans="1:7" x14ac:dyDescent="0.3">
      <c r="A68" s="14">
        <f t="shared" si="5"/>
        <v>40544</v>
      </c>
      <c r="B68" s="8">
        <v>610.62571428571425</v>
      </c>
      <c r="C68" s="10">
        <f t="shared" si="6"/>
        <v>615.06874857282094</v>
      </c>
      <c r="D68" s="10">
        <f t="shared" si="7"/>
        <v>83.005244791402987</v>
      </c>
      <c r="E68" s="10">
        <f t="shared" si="8"/>
        <v>-4.4430342871066841</v>
      </c>
      <c r="F68" s="10">
        <f t="shared" si="9"/>
        <v>-5.3527151185112316E-2</v>
      </c>
      <c r="G68" s="9"/>
    </row>
    <row r="69" spans="1:7" x14ac:dyDescent="0.3">
      <c r="A69" s="14">
        <f t="shared" si="5"/>
        <v>40544</v>
      </c>
      <c r="B69" s="8">
        <v>626.23625000000004</v>
      </c>
      <c r="C69" s="10">
        <f t="shared" si="6"/>
        <v>615.06874857282094</v>
      </c>
      <c r="D69" s="10">
        <f t="shared" si="7"/>
        <v>83.005244791402987</v>
      </c>
      <c r="E69" s="10">
        <f t="shared" si="8"/>
        <v>11.167501427179104</v>
      </c>
      <c r="F69" s="10">
        <f t="shared" si="9"/>
        <v>0.13453970836714818</v>
      </c>
      <c r="G69" s="9"/>
    </row>
    <row r="70" spans="1:7" x14ac:dyDescent="0.3">
      <c r="A70" s="14">
        <f t="shared" si="5"/>
        <v>40544</v>
      </c>
      <c r="B70" s="8">
        <v>626.23249999999996</v>
      </c>
      <c r="C70" s="10">
        <f t="shared" si="6"/>
        <v>615.06874857282094</v>
      </c>
      <c r="D70" s="10">
        <f t="shared" si="7"/>
        <v>83.005244791402987</v>
      </c>
      <c r="E70" s="10">
        <f t="shared" si="8"/>
        <v>11.163751427179022</v>
      </c>
      <c r="F70" s="10">
        <f t="shared" si="9"/>
        <v>0.13449453049905677</v>
      </c>
      <c r="G70" s="9"/>
    </row>
    <row r="71" spans="1:7" x14ac:dyDescent="0.3">
      <c r="A71" s="14">
        <f t="shared" si="5"/>
        <v>40544</v>
      </c>
      <c r="B71" s="8">
        <v>626.16250000000002</v>
      </c>
      <c r="C71" s="10">
        <f t="shared" si="6"/>
        <v>615.06874857282094</v>
      </c>
      <c r="D71" s="10">
        <f t="shared" si="7"/>
        <v>83.005244791402987</v>
      </c>
      <c r="E71" s="10">
        <f t="shared" si="8"/>
        <v>11.093751427179086</v>
      </c>
      <c r="F71" s="10">
        <f t="shared" si="9"/>
        <v>0.13365121029470281</v>
      </c>
      <c r="G71" s="9"/>
    </row>
    <row r="72" spans="1:7" x14ac:dyDescent="0.3">
      <c r="A72" s="14">
        <f t="shared" si="5"/>
        <v>40544</v>
      </c>
      <c r="B72" s="8">
        <v>626.1712500000001</v>
      </c>
      <c r="C72" s="10">
        <f t="shared" si="6"/>
        <v>615.06874857282094</v>
      </c>
      <c r="D72" s="10">
        <f t="shared" si="7"/>
        <v>83.005244791402987</v>
      </c>
      <c r="E72" s="10">
        <f t="shared" si="8"/>
        <v>11.102501427179163</v>
      </c>
      <c r="F72" s="10">
        <f t="shared" si="9"/>
        <v>0.1337566253202481</v>
      </c>
      <c r="G72" s="9"/>
    </row>
    <row r="73" spans="1:7" x14ac:dyDescent="0.3">
      <c r="A73" s="14">
        <f t="shared" si="5"/>
        <v>40544</v>
      </c>
      <c r="B73" s="8">
        <v>625.64</v>
      </c>
      <c r="C73" s="10">
        <f t="shared" si="6"/>
        <v>615.06874857282094</v>
      </c>
      <c r="D73" s="10">
        <f t="shared" si="7"/>
        <v>83.005244791402987</v>
      </c>
      <c r="E73" s="10">
        <f t="shared" si="8"/>
        <v>10.57125142717905</v>
      </c>
      <c r="F73" s="10">
        <f t="shared" si="9"/>
        <v>0.12735642734076888</v>
      </c>
      <c r="G73" s="9"/>
    </row>
    <row r="74" spans="1:7" x14ac:dyDescent="0.3">
      <c r="A74" s="14">
        <f t="shared" si="5"/>
        <v>40544</v>
      </c>
      <c r="B74" s="8">
        <v>625.85250000000008</v>
      </c>
      <c r="C74" s="10">
        <f t="shared" si="6"/>
        <v>615.06874857282094</v>
      </c>
      <c r="D74" s="10">
        <f t="shared" si="7"/>
        <v>83.005244791402987</v>
      </c>
      <c r="E74" s="10">
        <f t="shared" si="8"/>
        <v>10.783751427179141</v>
      </c>
      <c r="F74" s="10">
        <f t="shared" si="9"/>
        <v>0.12991650653256112</v>
      </c>
      <c r="G74" s="9"/>
    </row>
    <row r="75" spans="1:7" x14ac:dyDescent="0.3">
      <c r="A75" s="14">
        <f t="shared" si="5"/>
        <v>40544</v>
      </c>
      <c r="B75" s="8">
        <v>626.45500000000004</v>
      </c>
      <c r="C75" s="10">
        <f t="shared" si="6"/>
        <v>615.06874857282094</v>
      </c>
      <c r="D75" s="10">
        <f t="shared" si="7"/>
        <v>83.005244791402987</v>
      </c>
      <c r="E75" s="10">
        <f t="shared" si="8"/>
        <v>11.386251427179104</v>
      </c>
      <c r="F75" s="10">
        <f t="shared" si="9"/>
        <v>0.1371750840057567</v>
      </c>
      <c r="G75" s="9"/>
    </row>
    <row r="76" spans="1:7" x14ac:dyDescent="0.3">
      <c r="A76" s="14">
        <f t="shared" si="5"/>
        <v>40544</v>
      </c>
      <c r="B76" s="8">
        <v>626.48249999999996</v>
      </c>
      <c r="C76" s="10">
        <f t="shared" si="6"/>
        <v>615.06874857282094</v>
      </c>
      <c r="D76" s="10">
        <f t="shared" si="7"/>
        <v>83.005244791402987</v>
      </c>
      <c r="E76" s="10">
        <f t="shared" si="8"/>
        <v>11.413751427179022</v>
      </c>
      <c r="F76" s="10">
        <f t="shared" si="9"/>
        <v>0.13750638837175222</v>
      </c>
      <c r="G76" s="9"/>
    </row>
    <row r="77" spans="1:7" x14ac:dyDescent="0.3">
      <c r="A77" s="14">
        <f t="shared" si="5"/>
        <v>40544</v>
      </c>
      <c r="B77" s="8">
        <v>626.41</v>
      </c>
      <c r="C77" s="10">
        <f t="shared" si="6"/>
        <v>615.06874857282094</v>
      </c>
      <c r="D77" s="10">
        <f t="shared" si="7"/>
        <v>83.005244791402987</v>
      </c>
      <c r="E77" s="10">
        <f t="shared" si="8"/>
        <v>11.341251427179031</v>
      </c>
      <c r="F77" s="10">
        <f t="shared" si="9"/>
        <v>0.13663294958867064</v>
      </c>
      <c r="G77" s="9"/>
    </row>
    <row r="78" spans="1:7" x14ac:dyDescent="0.3">
      <c r="A78" s="14">
        <f t="shared" si="5"/>
        <v>40544</v>
      </c>
      <c r="B78" s="8">
        <v>626.31312500000001</v>
      </c>
      <c r="C78" s="10">
        <f t="shared" si="6"/>
        <v>615.06874857282094</v>
      </c>
      <c r="D78" s="10">
        <f t="shared" si="7"/>
        <v>83.005244791402987</v>
      </c>
      <c r="E78" s="10">
        <f t="shared" si="8"/>
        <v>11.244376427179077</v>
      </c>
      <c r="F78" s="10">
        <f t="shared" si="9"/>
        <v>0.13546585466300171</v>
      </c>
      <c r="G78" s="9"/>
    </row>
    <row r="79" spans="1:7" x14ac:dyDescent="0.3">
      <c r="A79" s="14">
        <f t="shared" si="5"/>
        <v>40544</v>
      </c>
      <c r="B79" s="8">
        <v>626.29875000000004</v>
      </c>
      <c r="C79" s="10">
        <f t="shared" si="6"/>
        <v>615.06874857282094</v>
      </c>
      <c r="D79" s="10">
        <f t="shared" si="7"/>
        <v>83.005244791402987</v>
      </c>
      <c r="E79" s="10">
        <f t="shared" si="8"/>
        <v>11.230001427179104</v>
      </c>
      <c r="F79" s="10">
        <f t="shared" si="9"/>
        <v>0.13529267283532206</v>
      </c>
      <c r="G79" s="9"/>
    </row>
    <row r="80" spans="1:7" x14ac:dyDescent="0.3">
      <c r="A80" s="14">
        <f t="shared" si="5"/>
        <v>40544</v>
      </c>
      <c r="B80" s="8">
        <v>626.208125</v>
      </c>
      <c r="C80" s="10">
        <f t="shared" si="6"/>
        <v>615.06874857282094</v>
      </c>
      <c r="D80" s="10">
        <f t="shared" si="7"/>
        <v>83.005244791402987</v>
      </c>
      <c r="E80" s="10">
        <f t="shared" si="8"/>
        <v>11.139376427179059</v>
      </c>
      <c r="F80" s="10">
        <f t="shared" si="9"/>
        <v>0.13420087435646941</v>
      </c>
      <c r="G80" s="9"/>
    </row>
    <row r="81" spans="1:7" x14ac:dyDescent="0.3">
      <c r="A81" s="14">
        <f t="shared" si="5"/>
        <v>40544</v>
      </c>
      <c r="B81" s="8">
        <v>632.3257142857143</v>
      </c>
      <c r="C81" s="10">
        <f t="shared" si="6"/>
        <v>615.06874857282094</v>
      </c>
      <c r="D81" s="10">
        <f t="shared" si="7"/>
        <v>83.005244791402987</v>
      </c>
      <c r="E81" s="10">
        <f t="shared" si="8"/>
        <v>17.256965712893361</v>
      </c>
      <c r="F81" s="10">
        <f t="shared" si="9"/>
        <v>0.20790211216485321</v>
      </c>
      <c r="G81" s="9"/>
    </row>
    <row r="82" spans="1:7" x14ac:dyDescent="0.3">
      <c r="A82" s="14">
        <f t="shared" si="5"/>
        <v>40544</v>
      </c>
      <c r="B82" s="8">
        <v>632.29714285714283</v>
      </c>
      <c r="C82" s="10">
        <f t="shared" si="6"/>
        <v>615.06874857282094</v>
      </c>
      <c r="D82" s="10">
        <f t="shared" si="7"/>
        <v>83.005244791402987</v>
      </c>
      <c r="E82" s="10">
        <f t="shared" si="8"/>
        <v>17.228394284321894</v>
      </c>
      <c r="F82" s="10">
        <f t="shared" si="9"/>
        <v>0.20755789983654468</v>
      </c>
      <c r="G82" s="9"/>
    </row>
    <row r="83" spans="1:7" x14ac:dyDescent="0.3">
      <c r="A83" s="14">
        <f t="shared" si="5"/>
        <v>40544</v>
      </c>
      <c r="B83" s="8">
        <v>632.24571428571437</v>
      </c>
      <c r="C83" s="10">
        <f t="shared" si="6"/>
        <v>615.06874857282094</v>
      </c>
      <c r="D83" s="10">
        <f t="shared" si="7"/>
        <v>83.005244791402987</v>
      </c>
      <c r="E83" s="10">
        <f t="shared" si="8"/>
        <v>17.176965712893434</v>
      </c>
      <c r="F83" s="10">
        <f t="shared" si="9"/>
        <v>0.20693831764559154</v>
      </c>
      <c r="G83" s="9"/>
    </row>
    <row r="84" spans="1:7" x14ac:dyDescent="0.3">
      <c r="A84" s="14">
        <f t="shared" si="5"/>
        <v>40544</v>
      </c>
      <c r="B84" s="8">
        <v>632.16428571428582</v>
      </c>
      <c r="C84" s="10">
        <f t="shared" si="6"/>
        <v>615.06874857282094</v>
      </c>
      <c r="D84" s="10">
        <f t="shared" si="7"/>
        <v>83.005244791402987</v>
      </c>
      <c r="E84" s="10">
        <f t="shared" si="8"/>
        <v>17.095537141464888</v>
      </c>
      <c r="F84" s="10">
        <f t="shared" si="9"/>
        <v>0.20595731250991389</v>
      </c>
      <c r="G84" s="9"/>
    </row>
    <row r="85" spans="1:7" x14ac:dyDescent="0.3">
      <c r="A85" s="14">
        <f t="shared" si="5"/>
        <v>40544</v>
      </c>
      <c r="B85" s="8">
        <v>632.13285714285723</v>
      </c>
      <c r="C85" s="10">
        <f t="shared" si="6"/>
        <v>615.06874857282094</v>
      </c>
      <c r="D85" s="10">
        <f t="shared" si="7"/>
        <v>83.005244791402987</v>
      </c>
      <c r="E85" s="10">
        <f t="shared" si="8"/>
        <v>17.064108570036296</v>
      </c>
      <c r="F85" s="10">
        <f t="shared" si="9"/>
        <v>0.2055786789487748</v>
      </c>
      <c r="G85" s="9"/>
    </row>
    <row r="86" spans="1:7" x14ac:dyDescent="0.3">
      <c r="A86" s="14">
        <f t="shared" si="5"/>
        <v>40544</v>
      </c>
      <c r="B86" s="8">
        <v>632.10142857142876</v>
      </c>
      <c r="C86" s="10">
        <f t="shared" si="6"/>
        <v>615.06874857282094</v>
      </c>
      <c r="D86" s="10">
        <f t="shared" si="7"/>
        <v>83.005244791402987</v>
      </c>
      <c r="E86" s="10">
        <f t="shared" si="8"/>
        <v>17.032679998607819</v>
      </c>
      <c r="F86" s="10">
        <f t="shared" si="9"/>
        <v>0.20520004538763706</v>
      </c>
      <c r="G86" s="9"/>
    </row>
    <row r="87" spans="1:7" x14ac:dyDescent="0.3">
      <c r="A87" s="14">
        <f t="shared" si="5"/>
        <v>40544</v>
      </c>
      <c r="B87" s="8">
        <v>632.10571428571427</v>
      </c>
      <c r="C87" s="10">
        <f t="shared" si="6"/>
        <v>615.06874857282094</v>
      </c>
      <c r="D87" s="10">
        <f t="shared" si="7"/>
        <v>83.005244791402987</v>
      </c>
      <c r="E87" s="10">
        <f t="shared" si="8"/>
        <v>17.036965712893334</v>
      </c>
      <c r="F87" s="10">
        <f t="shared" si="9"/>
        <v>0.2052516772368809</v>
      </c>
      <c r="G87" s="9"/>
    </row>
    <row r="88" spans="1:7" x14ac:dyDescent="0.3">
      <c r="A88" s="14">
        <f t="shared" si="5"/>
        <v>40544</v>
      </c>
      <c r="B88" s="8">
        <v>632.10857142857151</v>
      </c>
      <c r="C88" s="10">
        <f t="shared" si="6"/>
        <v>615.06874857282094</v>
      </c>
      <c r="D88" s="10">
        <f t="shared" si="7"/>
        <v>83.005244791402987</v>
      </c>
      <c r="E88" s="10">
        <f t="shared" si="8"/>
        <v>17.039822855750572</v>
      </c>
      <c r="F88" s="10">
        <f t="shared" si="9"/>
        <v>0.20528609846971282</v>
      </c>
      <c r="G88" s="9"/>
    </row>
    <row r="89" spans="1:7" x14ac:dyDescent="0.3">
      <c r="A89" s="14">
        <f t="shared" si="5"/>
        <v>40544</v>
      </c>
      <c r="B89" s="8">
        <v>632.10428571428577</v>
      </c>
      <c r="C89" s="10">
        <f t="shared" si="6"/>
        <v>615.06874857282094</v>
      </c>
      <c r="D89" s="10">
        <f t="shared" si="7"/>
        <v>83.005244791402987</v>
      </c>
      <c r="E89" s="10">
        <f t="shared" si="8"/>
        <v>17.035537141464829</v>
      </c>
      <c r="F89" s="10">
        <f t="shared" si="9"/>
        <v>0.20523446662046629</v>
      </c>
      <c r="G89" s="9"/>
    </row>
    <row r="90" spans="1:7" x14ac:dyDescent="0.3">
      <c r="A90" s="14">
        <f t="shared" si="5"/>
        <v>40544</v>
      </c>
      <c r="B90" s="8">
        <v>632.02285714285711</v>
      </c>
      <c r="C90" s="10">
        <f t="shared" si="6"/>
        <v>615.06874857282094</v>
      </c>
      <c r="D90" s="10">
        <f t="shared" si="7"/>
        <v>83.005244791402987</v>
      </c>
      <c r="E90" s="10">
        <f t="shared" si="8"/>
        <v>16.954108570036169</v>
      </c>
      <c r="F90" s="10">
        <f t="shared" si="9"/>
        <v>0.20425346148478726</v>
      </c>
      <c r="G90" s="9"/>
    </row>
    <row r="91" spans="1:7" x14ac:dyDescent="0.3">
      <c r="A91" s="14">
        <f t="shared" si="5"/>
        <v>40544</v>
      </c>
      <c r="B91" s="8">
        <v>608.65750000000003</v>
      </c>
      <c r="C91" s="10">
        <f t="shared" si="6"/>
        <v>615.06874857282094</v>
      </c>
      <c r="D91" s="10">
        <f t="shared" si="7"/>
        <v>83.005244791402987</v>
      </c>
      <c r="E91" s="10">
        <f t="shared" si="8"/>
        <v>-6.4112485728209094</v>
      </c>
      <c r="F91" s="10">
        <f t="shared" si="9"/>
        <v>-7.7239077951432478E-2</v>
      </c>
      <c r="G91" s="9"/>
    </row>
    <row r="92" spans="1:7" x14ac:dyDescent="0.3">
      <c r="A92" s="14">
        <f t="shared" si="5"/>
        <v>40544</v>
      </c>
      <c r="B92" s="8">
        <v>608.59749999999997</v>
      </c>
      <c r="C92" s="10">
        <f t="shared" si="6"/>
        <v>615.06874857282094</v>
      </c>
      <c r="D92" s="10">
        <f t="shared" si="7"/>
        <v>83.005244791402987</v>
      </c>
      <c r="E92" s="10">
        <f t="shared" si="8"/>
        <v>-6.4712485728209685</v>
      </c>
      <c r="F92" s="10">
        <f t="shared" si="9"/>
        <v>-7.796192384088009E-2</v>
      </c>
      <c r="G92" s="9"/>
    </row>
    <row r="93" spans="1:7" x14ac:dyDescent="0.3">
      <c r="A93" s="14">
        <f t="shared" si="5"/>
        <v>40544</v>
      </c>
      <c r="B93" s="8">
        <v>631.8271428571428</v>
      </c>
      <c r="C93" s="10">
        <f t="shared" si="6"/>
        <v>615.06874857282094</v>
      </c>
      <c r="D93" s="10">
        <f t="shared" si="7"/>
        <v>83.005244791402987</v>
      </c>
      <c r="E93" s="10">
        <f t="shared" si="8"/>
        <v>16.758394284321867</v>
      </c>
      <c r="F93" s="10">
        <f t="shared" si="9"/>
        <v>0.20189560703587692</v>
      </c>
      <c r="G93" s="9"/>
    </row>
    <row r="94" spans="1:7" x14ac:dyDescent="0.3">
      <c r="A94" s="14">
        <f t="shared" si="5"/>
        <v>40544</v>
      </c>
      <c r="B94" s="8">
        <v>631.82857142857142</v>
      </c>
      <c r="C94" s="10">
        <f t="shared" si="6"/>
        <v>615.06874857282094</v>
      </c>
      <c r="D94" s="10">
        <f t="shared" si="7"/>
        <v>83.005244791402987</v>
      </c>
      <c r="E94" s="10">
        <f t="shared" si="8"/>
        <v>16.759822855750485</v>
      </c>
      <c r="F94" s="10">
        <f t="shared" si="9"/>
        <v>0.20191281765229288</v>
      </c>
      <c r="G94" s="9"/>
    </row>
    <row r="95" spans="1:7" x14ac:dyDescent="0.3">
      <c r="A95" s="14">
        <f t="shared" si="5"/>
        <v>40544</v>
      </c>
      <c r="B95" s="8">
        <v>631.78857142857146</v>
      </c>
      <c r="C95" s="10">
        <f t="shared" si="6"/>
        <v>615.06874857282094</v>
      </c>
      <c r="D95" s="10">
        <f t="shared" si="7"/>
        <v>83.005244791402987</v>
      </c>
      <c r="E95" s="10">
        <f t="shared" si="8"/>
        <v>16.719822855750522</v>
      </c>
      <c r="F95" s="10">
        <f t="shared" si="9"/>
        <v>0.20143092039266206</v>
      </c>
      <c r="G95" s="9"/>
    </row>
    <row r="96" spans="1:7" x14ac:dyDescent="0.3">
      <c r="A96" s="14">
        <f t="shared" si="5"/>
        <v>40544</v>
      </c>
      <c r="B96" s="8">
        <v>631.77714285714285</v>
      </c>
      <c r="C96" s="10">
        <f t="shared" si="6"/>
        <v>615.06874857282094</v>
      </c>
      <c r="D96" s="10">
        <f t="shared" si="7"/>
        <v>83.005244791402987</v>
      </c>
      <c r="E96" s="10">
        <f t="shared" si="8"/>
        <v>16.708394284321912</v>
      </c>
      <c r="F96" s="10">
        <f t="shared" si="9"/>
        <v>0.20129323546133837</v>
      </c>
      <c r="G96" s="9"/>
    </row>
    <row r="97" spans="1:7" x14ac:dyDescent="0.3">
      <c r="A97" s="14">
        <f t="shared" si="5"/>
        <v>40544</v>
      </c>
      <c r="B97" s="8">
        <v>631.73857142857139</v>
      </c>
      <c r="C97" s="10">
        <f t="shared" si="6"/>
        <v>615.06874857282094</v>
      </c>
      <c r="D97" s="10">
        <f t="shared" si="7"/>
        <v>83.005244791402987</v>
      </c>
      <c r="E97" s="10">
        <f t="shared" si="8"/>
        <v>16.669822855750454</v>
      </c>
      <c r="F97" s="10">
        <f t="shared" si="9"/>
        <v>0.20082854881812215</v>
      </c>
      <c r="G97" s="9"/>
    </row>
    <row r="98" spans="1:7" x14ac:dyDescent="0.3">
      <c r="A98" s="14">
        <f t="shared" si="5"/>
        <v>40544</v>
      </c>
      <c r="B98" s="8">
        <v>631.74571428571414</v>
      </c>
      <c r="C98" s="10">
        <f t="shared" si="6"/>
        <v>615.06874857282094</v>
      </c>
      <c r="D98" s="10">
        <f t="shared" si="7"/>
        <v>83.005244791402987</v>
      </c>
      <c r="E98" s="10">
        <f t="shared" si="8"/>
        <v>16.676965712893207</v>
      </c>
      <c r="F98" s="10">
        <f t="shared" si="9"/>
        <v>0.20091460190019791</v>
      </c>
      <c r="G98" s="9"/>
    </row>
    <row r="99" spans="1:7" x14ac:dyDescent="0.3">
      <c r="A99" s="14">
        <f t="shared" si="5"/>
        <v>40544</v>
      </c>
      <c r="B99" s="8">
        <v>631.80857142857155</v>
      </c>
      <c r="C99" s="10">
        <f t="shared" si="6"/>
        <v>615.06874857282094</v>
      </c>
      <c r="D99" s="10">
        <f t="shared" si="7"/>
        <v>83.005244791402987</v>
      </c>
      <c r="E99" s="10">
        <f t="shared" si="8"/>
        <v>16.739822855750617</v>
      </c>
      <c r="F99" s="10">
        <f t="shared" si="9"/>
        <v>0.20167186902247883</v>
      </c>
      <c r="G99" s="9"/>
    </row>
    <row r="100" spans="1:7" x14ac:dyDescent="0.3">
      <c r="A100" s="14">
        <f t="shared" si="5"/>
        <v>40544</v>
      </c>
      <c r="B100" s="8">
        <v>631.72428571428566</v>
      </c>
      <c r="C100" s="10">
        <f t="shared" si="6"/>
        <v>615.06874857282094</v>
      </c>
      <c r="D100" s="10">
        <f t="shared" si="7"/>
        <v>83.005244791402987</v>
      </c>
      <c r="E100" s="10">
        <f t="shared" si="8"/>
        <v>16.65553714146472</v>
      </c>
      <c r="F100" s="10">
        <f t="shared" si="9"/>
        <v>0.20065644265396787</v>
      </c>
      <c r="G100" s="9"/>
    </row>
    <row r="101" spans="1:7" x14ac:dyDescent="0.3">
      <c r="A101" s="14">
        <f t="shared" si="5"/>
        <v>40544</v>
      </c>
      <c r="B101" s="8">
        <v>631.78428571428572</v>
      </c>
      <c r="C101" s="10">
        <f t="shared" si="6"/>
        <v>615.06874857282094</v>
      </c>
      <c r="D101" s="10">
        <f t="shared" si="7"/>
        <v>83.005244791402987</v>
      </c>
      <c r="E101" s="10">
        <f t="shared" si="8"/>
        <v>16.715537141464779</v>
      </c>
      <c r="F101" s="10">
        <f t="shared" si="9"/>
        <v>0.2013792885434155</v>
      </c>
      <c r="G101" s="9"/>
    </row>
    <row r="102" spans="1:7" x14ac:dyDescent="0.3">
      <c r="A102" s="14">
        <f t="shared" si="5"/>
        <v>40544</v>
      </c>
      <c r="B102" s="8">
        <v>631.65428571428572</v>
      </c>
      <c r="C102" s="10">
        <f t="shared" si="6"/>
        <v>615.06874857282094</v>
      </c>
      <c r="D102" s="10">
        <f t="shared" si="7"/>
        <v>83.005244791402987</v>
      </c>
      <c r="E102" s="10">
        <f t="shared" si="8"/>
        <v>16.585537141464783</v>
      </c>
      <c r="F102" s="10">
        <f t="shared" si="9"/>
        <v>0.19981312244961391</v>
      </c>
      <c r="G102" s="9"/>
    </row>
    <row r="103" spans="1:7" x14ac:dyDescent="0.3">
      <c r="A103" s="14">
        <f t="shared" si="5"/>
        <v>40544</v>
      </c>
      <c r="B103" s="8">
        <v>614.22</v>
      </c>
      <c r="C103" s="10">
        <f t="shared" si="6"/>
        <v>615.06874857282094</v>
      </c>
      <c r="D103" s="10">
        <f t="shared" si="7"/>
        <v>83.005244791402987</v>
      </c>
      <c r="E103" s="10">
        <f t="shared" si="8"/>
        <v>-0.84874857282090943</v>
      </c>
      <c r="F103" s="10">
        <f t="shared" si="9"/>
        <v>-1.0225240283958732E-2</v>
      </c>
      <c r="G103" s="9"/>
    </row>
    <row r="104" spans="1:7" x14ac:dyDescent="0.3">
      <c r="A104" s="14">
        <f t="shared" si="5"/>
        <v>40544</v>
      </c>
      <c r="B104" s="8">
        <v>614.13833333333343</v>
      </c>
      <c r="C104" s="10">
        <f t="shared" si="6"/>
        <v>615.06874857282094</v>
      </c>
      <c r="D104" s="10">
        <f t="shared" si="7"/>
        <v>83.005244791402987</v>
      </c>
      <c r="E104" s="10">
        <f t="shared" si="8"/>
        <v>-0.93041523948750182</v>
      </c>
      <c r="F104" s="10">
        <f t="shared" si="9"/>
        <v>-1.1209113855705015E-2</v>
      </c>
      <c r="G104" s="9"/>
    </row>
    <row r="105" spans="1:7" x14ac:dyDescent="0.3">
      <c r="A105" s="14">
        <f t="shared" si="5"/>
        <v>40544</v>
      </c>
      <c r="B105" s="8">
        <v>631.45142857142855</v>
      </c>
      <c r="C105" s="10">
        <f t="shared" si="6"/>
        <v>615.06874857282094</v>
      </c>
      <c r="D105" s="10">
        <f t="shared" si="7"/>
        <v>83.005244791402987</v>
      </c>
      <c r="E105" s="10">
        <f t="shared" si="8"/>
        <v>16.382679998607614</v>
      </c>
      <c r="F105" s="10">
        <f t="shared" si="9"/>
        <v>0.19736921491862644</v>
      </c>
      <c r="G105" s="9"/>
    </row>
    <row r="106" spans="1:7" x14ac:dyDescent="0.3">
      <c r="A106" s="14">
        <f t="shared" si="5"/>
        <v>40544</v>
      </c>
      <c r="B106" s="8">
        <v>631.41285714285721</v>
      </c>
      <c r="C106" s="10">
        <f t="shared" si="6"/>
        <v>615.06874857282094</v>
      </c>
      <c r="D106" s="10">
        <f t="shared" si="7"/>
        <v>83.005244791402987</v>
      </c>
      <c r="E106" s="10">
        <f t="shared" si="8"/>
        <v>16.344108570036269</v>
      </c>
      <c r="F106" s="10">
        <f t="shared" si="9"/>
        <v>0.19690452827541158</v>
      </c>
      <c r="G106" s="9"/>
    </row>
    <row r="107" spans="1:7" x14ac:dyDescent="0.3">
      <c r="A107" s="14">
        <f t="shared" si="5"/>
        <v>40544</v>
      </c>
      <c r="B107" s="8">
        <v>631.39428571428573</v>
      </c>
      <c r="C107" s="10">
        <f t="shared" si="6"/>
        <v>615.06874857282094</v>
      </c>
      <c r="D107" s="10">
        <f t="shared" si="7"/>
        <v>83.005244791402987</v>
      </c>
      <c r="E107" s="10">
        <f t="shared" si="8"/>
        <v>16.325537141464793</v>
      </c>
      <c r="F107" s="10">
        <f t="shared" si="9"/>
        <v>0.19668079026201077</v>
      </c>
      <c r="G107" s="9"/>
    </row>
    <row r="108" spans="1:7" x14ac:dyDescent="0.3">
      <c r="A108" s="14">
        <f t="shared" si="5"/>
        <v>40544</v>
      </c>
      <c r="B108" s="8">
        <v>631.36714285714299</v>
      </c>
      <c r="C108" s="10">
        <f t="shared" si="6"/>
        <v>615.06874857282094</v>
      </c>
      <c r="D108" s="10">
        <f t="shared" si="7"/>
        <v>83.005244791402987</v>
      </c>
      <c r="E108" s="10">
        <f t="shared" si="8"/>
        <v>16.298394284322058</v>
      </c>
      <c r="F108" s="10">
        <f t="shared" si="9"/>
        <v>0.19635378855011959</v>
      </c>
      <c r="G108" s="9"/>
    </row>
    <row r="109" spans="1:7" x14ac:dyDescent="0.3">
      <c r="A109" s="14">
        <f t="shared" si="5"/>
        <v>40544</v>
      </c>
      <c r="B109" s="8">
        <v>631.36571428571438</v>
      </c>
      <c r="C109" s="10">
        <f t="shared" si="6"/>
        <v>615.06874857282094</v>
      </c>
      <c r="D109" s="10">
        <f t="shared" si="7"/>
        <v>83.005244791402987</v>
      </c>
      <c r="E109" s="10">
        <f t="shared" si="8"/>
        <v>16.296965712893439</v>
      </c>
      <c r="F109" s="10">
        <f t="shared" si="9"/>
        <v>0.19633657793370363</v>
      </c>
      <c r="G109" s="9"/>
    </row>
    <row r="110" spans="1:7" x14ac:dyDescent="0.3">
      <c r="A110" s="14">
        <f t="shared" si="5"/>
        <v>40544</v>
      </c>
      <c r="B110" s="8">
        <v>631.48571428571427</v>
      </c>
      <c r="C110" s="10">
        <f t="shared" si="6"/>
        <v>615.06874857282094</v>
      </c>
      <c r="D110" s="10">
        <f t="shared" si="7"/>
        <v>83.005244791402987</v>
      </c>
      <c r="E110" s="10">
        <f t="shared" si="8"/>
        <v>16.41696571289333</v>
      </c>
      <c r="F110" s="10">
        <f t="shared" si="9"/>
        <v>0.1977822697125961</v>
      </c>
      <c r="G110" s="9"/>
    </row>
    <row r="111" spans="1:7" x14ac:dyDescent="0.3">
      <c r="A111" s="14">
        <f t="shared" si="5"/>
        <v>40544</v>
      </c>
      <c r="B111" s="8">
        <v>631.56214285714293</v>
      </c>
      <c r="C111" s="10">
        <f t="shared" si="6"/>
        <v>615.06874857282094</v>
      </c>
      <c r="D111" s="10">
        <f t="shared" si="7"/>
        <v>83.005244791402987</v>
      </c>
      <c r="E111" s="10">
        <f t="shared" si="8"/>
        <v>16.493394284321994</v>
      </c>
      <c r="F111" s="10">
        <f t="shared" si="9"/>
        <v>0.19870303769082126</v>
      </c>
      <c r="G111" s="9"/>
    </row>
    <row r="112" spans="1:7" x14ac:dyDescent="0.3">
      <c r="A112" s="14">
        <f t="shared" si="5"/>
        <v>40544</v>
      </c>
      <c r="B112" s="8">
        <v>633.81000000000006</v>
      </c>
      <c r="C112" s="10">
        <f t="shared" si="6"/>
        <v>615.06874857282094</v>
      </c>
      <c r="D112" s="10">
        <f t="shared" si="7"/>
        <v>83.005244791402987</v>
      </c>
      <c r="E112" s="10">
        <f t="shared" si="8"/>
        <v>18.741251427179122</v>
      </c>
      <c r="F112" s="10">
        <f t="shared" si="9"/>
        <v>0.22578394262045703</v>
      </c>
      <c r="G112" s="9"/>
    </row>
    <row r="113" spans="1:7" x14ac:dyDescent="0.3">
      <c r="A113" s="14">
        <f t="shared" si="5"/>
        <v>40544</v>
      </c>
      <c r="B113" s="11">
        <v>0</v>
      </c>
      <c r="C113" s="12">
        <v>0</v>
      </c>
      <c r="D113" s="12">
        <v>0</v>
      </c>
      <c r="E113" s="12">
        <v>0</v>
      </c>
      <c r="F113" s="12">
        <v>0</v>
      </c>
      <c r="G113" s="9"/>
    </row>
    <row r="114" spans="1:7" x14ac:dyDescent="0.3">
      <c r="A114" s="14">
        <f t="shared" si="5"/>
        <v>40544</v>
      </c>
      <c r="B114" s="11">
        <v>0</v>
      </c>
      <c r="C114" s="12">
        <v>0</v>
      </c>
      <c r="D114" s="12">
        <v>0</v>
      </c>
      <c r="E114" s="12">
        <v>0</v>
      </c>
      <c r="F114" s="12">
        <v>0</v>
      </c>
      <c r="G114" s="9"/>
    </row>
    <row r="115" spans="1:7" x14ac:dyDescent="0.3">
      <c r="A115" s="14">
        <f t="shared" si="5"/>
        <v>40544</v>
      </c>
      <c r="B115" s="11">
        <v>0</v>
      </c>
      <c r="C115" s="12">
        <v>0</v>
      </c>
      <c r="D115" s="12">
        <v>0</v>
      </c>
      <c r="E115" s="12">
        <v>0</v>
      </c>
      <c r="F115" s="12">
        <v>0</v>
      </c>
      <c r="G115" s="9"/>
    </row>
    <row r="116" spans="1:7" x14ac:dyDescent="0.3">
      <c r="A116" s="14">
        <f t="shared" si="5"/>
        <v>40544</v>
      </c>
      <c r="B116" s="8">
        <v>599.29571428571421</v>
      </c>
      <c r="C116" s="10">
        <f t="shared" si="6"/>
        <v>615.06874857282094</v>
      </c>
      <c r="D116" s="10">
        <f t="shared" si="7"/>
        <v>83.005244791402987</v>
      </c>
      <c r="E116" s="10">
        <f t="shared" si="8"/>
        <v>-15.773034287106725</v>
      </c>
      <c r="F116" s="10">
        <f t="shared" si="9"/>
        <v>-0.19002454997567056</v>
      </c>
      <c r="G116" s="9"/>
    </row>
    <row r="117" spans="1:7" x14ac:dyDescent="0.3">
      <c r="A117" s="14">
        <f t="shared" si="5"/>
        <v>40544</v>
      </c>
      <c r="B117" s="8">
        <v>599.10857142857151</v>
      </c>
      <c r="C117" s="10">
        <f t="shared" si="6"/>
        <v>615.06874857282094</v>
      </c>
      <c r="D117" s="10">
        <f t="shared" si="7"/>
        <v>83.005244791402987</v>
      </c>
      <c r="E117" s="10">
        <f t="shared" si="8"/>
        <v>-15.960177144249428</v>
      </c>
      <c r="F117" s="10">
        <f t="shared" si="9"/>
        <v>-0.19227914072608643</v>
      </c>
      <c r="G117" s="9"/>
    </row>
    <row r="118" spans="1:7" x14ac:dyDescent="0.3">
      <c r="A118" s="14">
        <f t="shared" si="5"/>
        <v>40544</v>
      </c>
      <c r="B118" s="8">
        <v>624.18833333333339</v>
      </c>
      <c r="C118" s="10">
        <f t="shared" si="6"/>
        <v>615.06874857282094</v>
      </c>
      <c r="D118" s="10">
        <f t="shared" si="7"/>
        <v>83.005244791402987</v>
      </c>
      <c r="E118" s="10">
        <f t="shared" si="8"/>
        <v>9.1195847605124527</v>
      </c>
      <c r="F118" s="10">
        <f t="shared" si="9"/>
        <v>0.10986757262665149</v>
      </c>
      <c r="G118" s="9"/>
    </row>
    <row r="119" spans="1:7" x14ac:dyDescent="0.3">
      <c r="A119" s="14">
        <f t="shared" si="5"/>
        <v>40544</v>
      </c>
      <c r="B119" s="8">
        <v>624.23333333333335</v>
      </c>
      <c r="C119" s="10">
        <f t="shared" si="6"/>
        <v>615.06874857282094</v>
      </c>
      <c r="D119" s="10">
        <f t="shared" si="7"/>
        <v>83.005244791402987</v>
      </c>
      <c r="E119" s="10">
        <f t="shared" si="8"/>
        <v>9.1645847605124118</v>
      </c>
      <c r="F119" s="10">
        <f t="shared" si="9"/>
        <v>0.11040970704373618</v>
      </c>
      <c r="G119" s="9"/>
    </row>
    <row r="120" spans="1:7" x14ac:dyDescent="0.3">
      <c r="A120" s="14">
        <f t="shared" si="5"/>
        <v>40544</v>
      </c>
      <c r="B120" s="8">
        <v>624.57499999999993</v>
      </c>
      <c r="C120" s="10">
        <f t="shared" si="6"/>
        <v>615.06874857282094</v>
      </c>
      <c r="D120" s="10">
        <f t="shared" si="7"/>
        <v>83.005244791402987</v>
      </c>
      <c r="E120" s="10">
        <f t="shared" si="8"/>
        <v>9.5062514271789951</v>
      </c>
      <c r="F120" s="10">
        <f t="shared" si="9"/>
        <v>0.11452591280308562</v>
      </c>
      <c r="G120" s="9"/>
    </row>
    <row r="121" spans="1:7" x14ac:dyDescent="0.3">
      <c r="A121" s="14">
        <f t="shared" si="5"/>
        <v>40544</v>
      </c>
      <c r="B121" s="8">
        <v>599.13571428571424</v>
      </c>
      <c r="C121" s="10">
        <f t="shared" si="6"/>
        <v>615.06874857282094</v>
      </c>
      <c r="D121" s="10">
        <f t="shared" si="7"/>
        <v>83.005244791402987</v>
      </c>
      <c r="E121" s="10">
        <f t="shared" si="8"/>
        <v>-15.933034287106693</v>
      </c>
      <c r="F121" s="10">
        <f t="shared" si="9"/>
        <v>-0.19195213901419525</v>
      </c>
      <c r="G121" s="9"/>
    </row>
    <row r="122" spans="1:7" x14ac:dyDescent="0.3">
      <c r="A122" s="14">
        <f t="shared" si="5"/>
        <v>40544</v>
      </c>
      <c r="B122" s="8">
        <v>599.28</v>
      </c>
      <c r="C122" s="10">
        <f t="shared" si="6"/>
        <v>615.06874857282094</v>
      </c>
      <c r="D122" s="10">
        <f t="shared" si="7"/>
        <v>83.005244791402987</v>
      </c>
      <c r="E122" s="10">
        <f t="shared" si="8"/>
        <v>-15.788748572820964</v>
      </c>
      <c r="F122" s="10">
        <f t="shared" si="9"/>
        <v>-0.19021386675623941</v>
      </c>
      <c r="G122" s="9"/>
    </row>
    <row r="123" spans="1:7" x14ac:dyDescent="0.3">
      <c r="A123" s="14">
        <f t="shared" si="5"/>
        <v>40544</v>
      </c>
      <c r="B123" s="8">
        <v>599.5757142857143</v>
      </c>
      <c r="C123" s="10">
        <f t="shared" si="6"/>
        <v>615.06874857282094</v>
      </c>
      <c r="D123" s="10">
        <f t="shared" si="7"/>
        <v>83.005244791402987</v>
      </c>
      <c r="E123" s="10">
        <f t="shared" si="8"/>
        <v>-15.493034287106639</v>
      </c>
      <c r="F123" s="10">
        <f t="shared" si="9"/>
        <v>-0.18665126915825062</v>
      </c>
      <c r="G123" s="9"/>
    </row>
    <row r="124" spans="1:7" x14ac:dyDescent="0.3">
      <c r="A124" s="14">
        <f t="shared" si="5"/>
        <v>40544</v>
      </c>
      <c r="B124" s="8">
        <v>599.53857142857146</v>
      </c>
      <c r="C124" s="10">
        <f t="shared" si="6"/>
        <v>615.06874857282094</v>
      </c>
      <c r="D124" s="10">
        <f t="shared" si="7"/>
        <v>83.005244791402987</v>
      </c>
      <c r="E124" s="10">
        <f t="shared" si="8"/>
        <v>-15.530177144249478</v>
      </c>
      <c r="F124" s="10">
        <f t="shared" si="9"/>
        <v>-0.18709874518505087</v>
      </c>
      <c r="G124" s="9"/>
    </row>
    <row r="125" spans="1:7" x14ac:dyDescent="0.3">
      <c r="A125" s="14">
        <f t="shared" si="5"/>
        <v>40544</v>
      </c>
      <c r="B125" s="8">
        <v>599.46142857142854</v>
      </c>
      <c r="C125" s="10">
        <f t="shared" si="6"/>
        <v>615.06874857282094</v>
      </c>
      <c r="D125" s="10">
        <f t="shared" si="7"/>
        <v>83.005244791402987</v>
      </c>
      <c r="E125" s="10">
        <f t="shared" si="8"/>
        <v>-15.607320001392395</v>
      </c>
      <c r="F125" s="10">
        <f t="shared" si="9"/>
        <v>-0.18802811847148332</v>
      </c>
      <c r="G125" s="9"/>
    </row>
    <row r="126" spans="1:7" x14ac:dyDescent="0.3">
      <c r="A126" s="14">
        <f t="shared" si="5"/>
        <v>40544</v>
      </c>
      <c r="B126" s="8">
        <v>624.94125000000008</v>
      </c>
      <c r="C126" s="10">
        <f t="shared" si="6"/>
        <v>615.06874857282094</v>
      </c>
      <c r="D126" s="10">
        <f t="shared" si="7"/>
        <v>83.005244791402987</v>
      </c>
      <c r="E126" s="10">
        <f t="shared" si="8"/>
        <v>9.8725014271791451</v>
      </c>
      <c r="F126" s="10">
        <f t="shared" si="9"/>
        <v>0.11893828458658626</v>
      </c>
      <c r="G126" s="9"/>
    </row>
    <row r="127" spans="1:7" x14ac:dyDescent="0.3">
      <c r="A127" s="14">
        <f t="shared" si="5"/>
        <v>40544</v>
      </c>
      <c r="B127" s="8">
        <v>624.92250000000001</v>
      </c>
      <c r="C127" s="10">
        <f t="shared" si="6"/>
        <v>615.06874857282094</v>
      </c>
      <c r="D127" s="10">
        <f t="shared" si="7"/>
        <v>83.005244791402987</v>
      </c>
      <c r="E127" s="10">
        <f t="shared" si="8"/>
        <v>9.8537514271790769</v>
      </c>
      <c r="F127" s="10">
        <f t="shared" si="9"/>
        <v>0.11871239524613328</v>
      </c>
      <c r="G127" s="9"/>
    </row>
    <row r="128" spans="1:7" x14ac:dyDescent="0.3">
      <c r="A128" s="14">
        <f t="shared" si="5"/>
        <v>40544</v>
      </c>
      <c r="B128" s="8">
        <v>624.88625000000002</v>
      </c>
      <c r="C128" s="10">
        <f t="shared" si="6"/>
        <v>615.06874857282094</v>
      </c>
      <c r="D128" s="10">
        <f t="shared" si="7"/>
        <v>83.005244791402987</v>
      </c>
      <c r="E128" s="10">
        <f t="shared" si="8"/>
        <v>9.8175014271790815</v>
      </c>
      <c r="F128" s="10">
        <f t="shared" si="9"/>
        <v>0.11827567585459249</v>
      </c>
      <c r="G128" s="9"/>
    </row>
    <row r="129" spans="1:7" x14ac:dyDescent="0.3">
      <c r="A129" s="14">
        <f t="shared" si="5"/>
        <v>40544</v>
      </c>
      <c r="B129" s="8">
        <v>625</v>
      </c>
      <c r="C129" s="10">
        <f t="shared" si="6"/>
        <v>615.06874857282094</v>
      </c>
      <c r="D129" s="10">
        <f t="shared" si="7"/>
        <v>83.005244791402987</v>
      </c>
      <c r="E129" s="10">
        <f t="shared" si="8"/>
        <v>9.9312514271790633</v>
      </c>
      <c r="F129" s="10">
        <f t="shared" si="9"/>
        <v>0.1196460711866687</v>
      </c>
      <c r="G129" s="9"/>
    </row>
    <row r="130" spans="1:7" x14ac:dyDescent="0.3">
      <c r="A130" s="14">
        <f t="shared" si="5"/>
        <v>40544</v>
      </c>
      <c r="B130" s="8">
        <v>624.8805000000001</v>
      </c>
      <c r="C130" s="10">
        <f t="shared" si="6"/>
        <v>615.06874857282094</v>
      </c>
      <c r="D130" s="10">
        <f t="shared" si="7"/>
        <v>83.005244791402987</v>
      </c>
      <c r="E130" s="10">
        <f t="shared" si="8"/>
        <v>9.8117514271791606</v>
      </c>
      <c r="F130" s="10">
        <f t="shared" si="9"/>
        <v>0.11820640312352144</v>
      </c>
      <c r="G130" s="9"/>
    </row>
    <row r="131" spans="1:7" x14ac:dyDescent="0.3">
      <c r="A131" s="14">
        <f t="shared" ref="A131:A135" si="10">DATE(2011,1,1)</f>
        <v>40544</v>
      </c>
      <c r="B131" s="8">
        <v>624.29499999999996</v>
      </c>
      <c r="C131" s="10">
        <f t="shared" ref="C131:C172" si="11">AVERAGE($B$2:$B$172)</f>
        <v>615.06874857282094</v>
      </c>
      <c r="D131" s="10">
        <f t="shared" ref="D131:D172" si="12">_xlfn.STDEV.S($B$2:$B$172)</f>
        <v>83.005244791402987</v>
      </c>
      <c r="E131" s="10">
        <f t="shared" ref="E131:E163" si="13">B131-C131</f>
        <v>9.2262514271790224</v>
      </c>
      <c r="F131" s="10">
        <f t="shared" ref="F131:F142" si="14">E131/D131</f>
        <v>0.11115263198566705</v>
      </c>
      <c r="G131" s="9"/>
    </row>
    <row r="132" spans="1:7" x14ac:dyDescent="0.3">
      <c r="A132" s="14">
        <f t="shared" si="10"/>
        <v>40544</v>
      </c>
      <c r="B132" s="8">
        <v>624.25687499999992</v>
      </c>
      <c r="C132" s="10">
        <f t="shared" si="11"/>
        <v>615.06874857282094</v>
      </c>
      <c r="D132" s="10">
        <f t="shared" si="12"/>
        <v>83.005244791402987</v>
      </c>
      <c r="E132" s="10">
        <f t="shared" si="13"/>
        <v>9.188126427178986</v>
      </c>
      <c r="F132" s="10">
        <f t="shared" si="14"/>
        <v>0.11069332366008054</v>
      </c>
      <c r="G132" s="9"/>
    </row>
    <row r="133" spans="1:7" x14ac:dyDescent="0.3">
      <c r="A133" s="14">
        <f t="shared" si="10"/>
        <v>40544</v>
      </c>
      <c r="B133" s="8">
        <v>624.36374999999998</v>
      </c>
      <c r="C133" s="10">
        <f t="shared" si="11"/>
        <v>615.06874857282094</v>
      </c>
      <c r="D133" s="10">
        <f t="shared" si="12"/>
        <v>83.005244791402987</v>
      </c>
      <c r="E133" s="10">
        <f t="shared" si="13"/>
        <v>9.2950014271790451</v>
      </c>
      <c r="F133" s="10">
        <f t="shared" si="14"/>
        <v>0.11198089290065856</v>
      </c>
      <c r="G133" s="9"/>
    </row>
    <row r="134" spans="1:7" x14ac:dyDescent="0.3">
      <c r="A134" s="14">
        <f t="shared" si="10"/>
        <v>40544</v>
      </c>
      <c r="B134" s="8">
        <v>624.30624999999998</v>
      </c>
      <c r="C134" s="10">
        <f t="shared" si="11"/>
        <v>615.06874857282094</v>
      </c>
      <c r="D134" s="10">
        <f t="shared" si="12"/>
        <v>83.005244791402987</v>
      </c>
      <c r="E134" s="10">
        <f t="shared" si="13"/>
        <v>9.2375014271790405</v>
      </c>
      <c r="F134" s="10">
        <f t="shared" si="14"/>
        <v>0.11128816558993855</v>
      </c>
      <c r="G134" s="9"/>
    </row>
    <row r="135" spans="1:7" x14ac:dyDescent="0.3">
      <c r="A135" s="14">
        <f t="shared" si="10"/>
        <v>40544</v>
      </c>
      <c r="B135" s="8">
        <v>624.36374999999998</v>
      </c>
      <c r="C135" s="10">
        <f t="shared" si="11"/>
        <v>615.06874857282094</v>
      </c>
      <c r="D135" s="10">
        <f t="shared" si="12"/>
        <v>83.005244791402987</v>
      </c>
      <c r="E135" s="10">
        <f t="shared" si="13"/>
        <v>9.2950014271790451</v>
      </c>
      <c r="F135" s="10">
        <f t="shared" si="14"/>
        <v>0.11198089290065856</v>
      </c>
      <c r="G135" s="9"/>
    </row>
    <row r="136" spans="1:7" x14ac:dyDescent="0.3">
      <c r="A136" s="14">
        <f>DATE(2011,1,1)</f>
        <v>40544</v>
      </c>
      <c r="B136" s="8">
        <v>624.36124999999993</v>
      </c>
      <c r="C136" s="10">
        <f t="shared" si="11"/>
        <v>615.06874857282094</v>
      </c>
      <c r="D136" s="10">
        <f t="shared" si="12"/>
        <v>83.005244791402987</v>
      </c>
      <c r="E136" s="10">
        <f t="shared" si="13"/>
        <v>9.2925014271789905</v>
      </c>
      <c r="F136" s="10">
        <f t="shared" si="14"/>
        <v>0.11195077432193096</v>
      </c>
      <c r="G136" s="9"/>
    </row>
    <row r="137" spans="1:7" x14ac:dyDescent="0.3">
      <c r="A137" s="14">
        <f t="shared" ref="A137:A172" si="15">DATE(2011,1,1)</f>
        <v>40544</v>
      </c>
      <c r="B137" s="8">
        <v>624.29000000000008</v>
      </c>
      <c r="C137" s="10">
        <f t="shared" si="11"/>
        <v>615.06874857282094</v>
      </c>
      <c r="D137" s="10">
        <f t="shared" si="12"/>
        <v>83.005244791402987</v>
      </c>
      <c r="E137" s="10">
        <f t="shared" si="13"/>
        <v>9.2212514271791406</v>
      </c>
      <c r="F137" s="10">
        <f t="shared" si="14"/>
        <v>0.11109239482821456</v>
      </c>
      <c r="G137" s="9"/>
    </row>
    <row r="138" spans="1:7" x14ac:dyDescent="0.3">
      <c r="A138" s="14">
        <f t="shared" si="15"/>
        <v>40544</v>
      </c>
      <c r="B138" s="8">
        <v>624.3125</v>
      </c>
      <c r="C138" s="10">
        <f t="shared" si="11"/>
        <v>615.06874857282094</v>
      </c>
      <c r="D138" s="10">
        <f t="shared" si="12"/>
        <v>83.005244791402987</v>
      </c>
      <c r="E138" s="10">
        <f t="shared" si="13"/>
        <v>9.2437514271790633</v>
      </c>
      <c r="F138" s="10">
        <f t="shared" si="14"/>
        <v>0.11136346203675622</v>
      </c>
      <c r="G138" s="9"/>
    </row>
    <row r="139" spans="1:7" x14ac:dyDescent="0.3">
      <c r="A139" s="14">
        <f t="shared" si="15"/>
        <v>40544</v>
      </c>
      <c r="B139" s="8">
        <v>624.21187499999996</v>
      </c>
      <c r="C139" s="10">
        <f t="shared" si="11"/>
        <v>615.06874857282094</v>
      </c>
      <c r="D139" s="10">
        <f t="shared" si="12"/>
        <v>83.005244791402987</v>
      </c>
      <c r="E139" s="10">
        <f t="shared" si="13"/>
        <v>9.1431264271790269</v>
      </c>
      <c r="F139" s="10">
        <f t="shared" si="14"/>
        <v>0.11015118924299586</v>
      </c>
      <c r="G139" s="9"/>
    </row>
    <row r="140" spans="1:7" x14ac:dyDescent="0.3">
      <c r="A140" s="14">
        <f t="shared" si="15"/>
        <v>40544</v>
      </c>
      <c r="B140" s="8">
        <v>624.18125000000009</v>
      </c>
      <c r="C140" s="10">
        <f t="shared" si="11"/>
        <v>615.06874857282094</v>
      </c>
      <c r="D140" s="10">
        <f t="shared" si="12"/>
        <v>83.005244791402987</v>
      </c>
      <c r="E140" s="10">
        <f t="shared" si="13"/>
        <v>9.1125014271791542</v>
      </c>
      <c r="F140" s="10">
        <f t="shared" si="14"/>
        <v>0.1097822366535922</v>
      </c>
      <c r="G140" s="9"/>
    </row>
    <row r="141" spans="1:7" x14ac:dyDescent="0.3">
      <c r="A141" s="14">
        <f t="shared" si="15"/>
        <v>40544</v>
      </c>
      <c r="B141" s="8">
        <v>624.25250000000005</v>
      </c>
      <c r="C141" s="10">
        <f t="shared" si="11"/>
        <v>615.06874857282094</v>
      </c>
      <c r="D141" s="10">
        <f t="shared" si="12"/>
        <v>83.005244791402987</v>
      </c>
      <c r="E141" s="10">
        <f t="shared" si="13"/>
        <v>9.1837514271791179</v>
      </c>
      <c r="F141" s="10">
        <f t="shared" si="14"/>
        <v>0.11064061614730997</v>
      </c>
      <c r="G141" s="9"/>
    </row>
    <row r="142" spans="1:7" x14ac:dyDescent="0.3">
      <c r="A142" s="14">
        <f t="shared" si="15"/>
        <v>40544</v>
      </c>
      <c r="B142" s="8">
        <v>624.21874999999989</v>
      </c>
      <c r="C142" s="10">
        <f t="shared" si="11"/>
        <v>615.06874857282094</v>
      </c>
      <c r="D142" s="10">
        <f t="shared" si="12"/>
        <v>83.005244791402987</v>
      </c>
      <c r="E142" s="10">
        <f t="shared" si="13"/>
        <v>9.1500014271789496</v>
      </c>
      <c r="F142" s="10">
        <f t="shared" si="14"/>
        <v>0.11023401533449405</v>
      </c>
      <c r="G142" s="9"/>
    </row>
    <row r="143" spans="1:7" x14ac:dyDescent="0.3">
      <c r="A143" s="14">
        <f t="shared" si="15"/>
        <v>40544</v>
      </c>
      <c r="B143" s="8">
        <v>624.1825</v>
      </c>
      <c r="C143" s="10">
        <f t="shared" si="11"/>
        <v>615.06874857282094</v>
      </c>
      <c r="D143" s="10">
        <f t="shared" si="12"/>
        <v>83.005244791402987</v>
      </c>
      <c r="E143" s="10">
        <f t="shared" si="13"/>
        <v>9.1137514271790678</v>
      </c>
      <c r="F143" s="10">
        <f>E143/D143</f>
        <v>0.10979729594295463</v>
      </c>
      <c r="G143" s="9"/>
    </row>
    <row r="144" spans="1:7" x14ac:dyDescent="0.3">
      <c r="A144" s="14">
        <f t="shared" si="15"/>
        <v>40544</v>
      </c>
      <c r="B144" s="8">
        <v>624.18375000000003</v>
      </c>
      <c r="C144" s="10">
        <f t="shared" si="11"/>
        <v>615.06874857282094</v>
      </c>
      <c r="D144" s="10">
        <f t="shared" si="12"/>
        <v>83.005244791402987</v>
      </c>
      <c r="E144" s="10">
        <f t="shared" si="13"/>
        <v>9.1150014271790951</v>
      </c>
      <c r="F144" s="10">
        <f t="shared" ref="F144:F164" si="16">E144/D144</f>
        <v>0.10981235523231844</v>
      </c>
      <c r="G144" s="9"/>
    </row>
    <row r="145" spans="1:7" x14ac:dyDescent="0.3">
      <c r="A145" s="14">
        <f t="shared" si="15"/>
        <v>40544</v>
      </c>
      <c r="B145" s="8">
        <v>624.12875000000008</v>
      </c>
      <c r="C145" s="10">
        <f t="shared" si="11"/>
        <v>615.06874857282094</v>
      </c>
      <c r="D145" s="10">
        <f t="shared" si="12"/>
        <v>83.005244791402987</v>
      </c>
      <c r="E145" s="10">
        <f t="shared" si="13"/>
        <v>9.0600014271791451</v>
      </c>
      <c r="F145" s="10">
        <f t="shared" si="16"/>
        <v>0.10914974650032605</v>
      </c>
      <c r="G145" s="9"/>
    </row>
    <row r="146" spans="1:7" x14ac:dyDescent="0.3">
      <c r="A146" s="14">
        <f t="shared" si="15"/>
        <v>40544</v>
      </c>
      <c r="B146" s="8">
        <v>624.39374999999995</v>
      </c>
      <c r="C146" s="10">
        <f t="shared" si="11"/>
        <v>615.06874857282094</v>
      </c>
      <c r="D146" s="10">
        <f t="shared" si="12"/>
        <v>83.005244791402987</v>
      </c>
      <c r="E146" s="10">
        <f t="shared" si="13"/>
        <v>9.3250014271790178</v>
      </c>
      <c r="F146" s="10">
        <f t="shared" si="16"/>
        <v>0.11234231584538169</v>
      </c>
      <c r="G146" s="9"/>
    </row>
    <row r="147" spans="1:7" x14ac:dyDescent="0.3">
      <c r="A147" s="14">
        <f t="shared" si="15"/>
        <v>40544</v>
      </c>
      <c r="B147" s="8">
        <v>624.59625000000005</v>
      </c>
      <c r="C147" s="10">
        <f t="shared" si="11"/>
        <v>615.06874857282094</v>
      </c>
      <c r="D147" s="10">
        <f t="shared" si="12"/>
        <v>83.005244791402987</v>
      </c>
      <c r="E147" s="10">
        <f t="shared" si="13"/>
        <v>9.5275014271791179</v>
      </c>
      <c r="F147" s="10">
        <f t="shared" si="16"/>
        <v>0.11478192072226621</v>
      </c>
      <c r="G147" s="9"/>
    </row>
    <row r="148" spans="1:7" x14ac:dyDescent="0.3">
      <c r="A148" s="14">
        <f t="shared" si="15"/>
        <v>40544</v>
      </c>
      <c r="B148" s="8">
        <v>624.71500000000003</v>
      </c>
      <c r="C148" s="10">
        <f t="shared" si="11"/>
        <v>615.06874857282094</v>
      </c>
      <c r="D148" s="10">
        <f t="shared" si="12"/>
        <v>83.005244791402987</v>
      </c>
      <c r="E148" s="10">
        <f t="shared" si="13"/>
        <v>9.6462514271790951</v>
      </c>
      <c r="F148" s="10">
        <f t="shared" si="16"/>
        <v>0.11621255321179627</v>
      </c>
      <c r="G148" s="9"/>
    </row>
    <row r="149" spans="1:7" x14ac:dyDescent="0.3">
      <c r="A149" s="14">
        <f t="shared" si="15"/>
        <v>40544</v>
      </c>
      <c r="B149" s="8">
        <v>624.71</v>
      </c>
      <c r="C149" s="10">
        <f t="shared" si="11"/>
        <v>615.06874857282094</v>
      </c>
      <c r="D149" s="10">
        <f t="shared" si="12"/>
        <v>83.005244791402987</v>
      </c>
      <c r="E149" s="10">
        <f t="shared" si="13"/>
        <v>9.6412514271790997</v>
      </c>
      <c r="F149" s="10">
        <f t="shared" si="16"/>
        <v>0.11615231605434242</v>
      </c>
      <c r="G149" s="9"/>
    </row>
    <row r="150" spans="1:7" x14ac:dyDescent="0.3">
      <c r="A150" s="14">
        <f t="shared" si="15"/>
        <v>40544</v>
      </c>
      <c r="B150" s="8">
        <v>624.7075000000001</v>
      </c>
      <c r="C150" s="10">
        <f t="shared" si="11"/>
        <v>615.06874857282094</v>
      </c>
      <c r="D150" s="10">
        <f t="shared" si="12"/>
        <v>83.005244791402987</v>
      </c>
      <c r="E150" s="10">
        <f t="shared" si="13"/>
        <v>9.6387514271791588</v>
      </c>
      <c r="F150" s="10">
        <f t="shared" si="16"/>
        <v>0.11612219747561618</v>
      </c>
      <c r="G150" s="9"/>
    </row>
    <row r="151" spans="1:7" x14ac:dyDescent="0.3">
      <c r="A151" s="14">
        <f t="shared" si="15"/>
        <v>40544</v>
      </c>
      <c r="B151" s="8">
        <v>624.64</v>
      </c>
      <c r="C151" s="10">
        <f t="shared" si="11"/>
        <v>615.06874857282094</v>
      </c>
      <c r="D151" s="10">
        <f t="shared" si="12"/>
        <v>83.005244791402987</v>
      </c>
      <c r="E151" s="10">
        <f t="shared" si="13"/>
        <v>9.5712514271790496</v>
      </c>
      <c r="F151" s="10">
        <f t="shared" si="16"/>
        <v>0.11530899584998709</v>
      </c>
      <c r="G151" s="9"/>
    </row>
    <row r="152" spans="1:7" x14ac:dyDescent="0.3">
      <c r="A152" s="14">
        <f t="shared" si="15"/>
        <v>40544</v>
      </c>
      <c r="B152" s="8">
        <v>624.63</v>
      </c>
      <c r="C152" s="10">
        <f t="shared" si="11"/>
        <v>615.06874857282094</v>
      </c>
      <c r="D152" s="10">
        <f t="shared" si="12"/>
        <v>83.005244791402987</v>
      </c>
      <c r="E152" s="10">
        <f t="shared" si="13"/>
        <v>9.5612514271790587</v>
      </c>
      <c r="F152" s="10">
        <f t="shared" si="16"/>
        <v>0.11518852153507939</v>
      </c>
      <c r="G152" s="9"/>
    </row>
    <row r="153" spans="1:7" x14ac:dyDescent="0.3">
      <c r="A153" s="14">
        <f t="shared" si="15"/>
        <v>40544</v>
      </c>
      <c r="B153" s="8">
        <v>624.67999999999995</v>
      </c>
      <c r="C153" s="10">
        <f t="shared" si="11"/>
        <v>615.06874857282094</v>
      </c>
      <c r="D153" s="10">
        <f t="shared" si="12"/>
        <v>83.005244791402987</v>
      </c>
      <c r="E153" s="10">
        <f t="shared" si="13"/>
        <v>9.6112514271790133</v>
      </c>
      <c r="F153" s="10">
        <f t="shared" si="16"/>
        <v>0.11579089310961793</v>
      </c>
      <c r="G153" s="9"/>
    </row>
    <row r="154" spans="1:7" x14ac:dyDescent="0.3">
      <c r="A154" s="14">
        <f t="shared" si="15"/>
        <v>40544</v>
      </c>
      <c r="B154" s="8">
        <v>624.6</v>
      </c>
      <c r="C154" s="10">
        <f t="shared" si="11"/>
        <v>615.06874857282094</v>
      </c>
      <c r="D154" s="10">
        <f t="shared" si="12"/>
        <v>83.005244791402987</v>
      </c>
      <c r="E154" s="10">
        <f t="shared" si="13"/>
        <v>9.531251427179086</v>
      </c>
      <c r="F154" s="10">
        <f t="shared" si="16"/>
        <v>0.11482709859035625</v>
      </c>
      <c r="G154" s="9"/>
    </row>
    <row r="155" spans="1:7" x14ac:dyDescent="0.3">
      <c r="A155" s="14">
        <f t="shared" si="15"/>
        <v>40544</v>
      </c>
      <c r="B155" s="8">
        <v>624.63</v>
      </c>
      <c r="C155" s="10">
        <f t="shared" si="11"/>
        <v>615.06874857282094</v>
      </c>
      <c r="D155" s="10">
        <f t="shared" si="12"/>
        <v>83.005244791402987</v>
      </c>
      <c r="E155" s="10">
        <f t="shared" si="13"/>
        <v>9.5612514271790587</v>
      </c>
      <c r="F155" s="10">
        <f t="shared" si="16"/>
        <v>0.11518852153507939</v>
      </c>
      <c r="G155" s="9"/>
    </row>
    <row r="156" spans="1:7" x14ac:dyDescent="0.3">
      <c r="A156" s="14">
        <f t="shared" si="15"/>
        <v>40544</v>
      </c>
      <c r="B156" s="8">
        <v>624.66999999999996</v>
      </c>
      <c r="C156" s="10">
        <f t="shared" si="11"/>
        <v>615.06874857282094</v>
      </c>
      <c r="D156" s="10">
        <f t="shared" si="12"/>
        <v>83.005244791402987</v>
      </c>
      <c r="E156" s="10">
        <f t="shared" si="13"/>
        <v>9.6012514271790224</v>
      </c>
      <c r="F156" s="10">
        <f t="shared" si="16"/>
        <v>0.11567041879471021</v>
      </c>
      <c r="G156" s="9"/>
    </row>
    <row r="157" spans="1:7" x14ac:dyDescent="0.3">
      <c r="A157" s="14">
        <f t="shared" si="15"/>
        <v>40544</v>
      </c>
      <c r="B157" s="8">
        <v>624.66</v>
      </c>
      <c r="C157" s="10">
        <f t="shared" si="11"/>
        <v>615.06874857282094</v>
      </c>
      <c r="D157" s="10">
        <f t="shared" si="12"/>
        <v>83.005244791402987</v>
      </c>
      <c r="E157" s="10">
        <f t="shared" si="13"/>
        <v>9.5912514271790315</v>
      </c>
      <c r="F157" s="10">
        <f t="shared" si="16"/>
        <v>0.1155499444798025</v>
      </c>
      <c r="G157" s="9"/>
    </row>
    <row r="158" spans="1:7" x14ac:dyDescent="0.3">
      <c r="A158" s="14">
        <f t="shared" si="15"/>
        <v>40544</v>
      </c>
      <c r="B158" s="8">
        <v>624.92000000000007</v>
      </c>
      <c r="C158" s="10">
        <f t="shared" si="11"/>
        <v>615.06874857282094</v>
      </c>
      <c r="D158" s="10">
        <f t="shared" si="12"/>
        <v>83.005244791402987</v>
      </c>
      <c r="E158" s="10">
        <f t="shared" si="13"/>
        <v>9.851251427179136</v>
      </c>
      <c r="F158" s="10">
        <f t="shared" si="16"/>
        <v>0.11868227666740704</v>
      </c>
      <c r="G158" s="9"/>
    </row>
    <row r="159" spans="1:7" x14ac:dyDescent="0.3">
      <c r="A159" s="14">
        <f t="shared" si="15"/>
        <v>40544</v>
      </c>
      <c r="B159" s="8">
        <v>625.02</v>
      </c>
      <c r="C159" s="10">
        <f t="shared" si="11"/>
        <v>615.06874857282094</v>
      </c>
      <c r="D159" s="10">
        <f t="shared" si="12"/>
        <v>83.005244791402987</v>
      </c>
      <c r="E159" s="10">
        <f t="shared" si="13"/>
        <v>9.9512514271790451</v>
      </c>
      <c r="F159" s="10">
        <f t="shared" si="16"/>
        <v>0.11988701981648411</v>
      </c>
      <c r="G159" s="9"/>
    </row>
    <row r="160" spans="1:7" x14ac:dyDescent="0.3">
      <c r="A160" s="14">
        <f t="shared" si="15"/>
        <v>40544</v>
      </c>
      <c r="B160" s="8">
        <v>624.97</v>
      </c>
      <c r="C160" s="10">
        <f t="shared" si="11"/>
        <v>615.06874857282094</v>
      </c>
      <c r="D160" s="10">
        <f t="shared" si="12"/>
        <v>83.005244791402987</v>
      </c>
      <c r="E160" s="10">
        <f t="shared" si="13"/>
        <v>9.9012514271790906</v>
      </c>
      <c r="F160" s="10">
        <f t="shared" si="16"/>
        <v>0.11928464824194558</v>
      </c>
      <c r="G160" s="9"/>
    </row>
    <row r="161" spans="1:7" x14ac:dyDescent="0.3">
      <c r="A161" s="14">
        <f t="shared" si="15"/>
        <v>40544</v>
      </c>
      <c r="B161" s="8">
        <v>625</v>
      </c>
      <c r="C161" s="10">
        <f t="shared" si="11"/>
        <v>615.06874857282094</v>
      </c>
      <c r="D161" s="10">
        <f t="shared" si="12"/>
        <v>83.005244791402987</v>
      </c>
      <c r="E161" s="10">
        <f t="shared" si="13"/>
        <v>9.9312514271790633</v>
      </c>
      <c r="F161" s="10">
        <f t="shared" si="16"/>
        <v>0.1196460711866687</v>
      </c>
      <c r="G161" s="9"/>
    </row>
    <row r="162" spans="1:7" x14ac:dyDescent="0.3">
      <c r="A162" s="14">
        <f t="shared" si="15"/>
        <v>40544</v>
      </c>
      <c r="B162" s="8">
        <v>624.9</v>
      </c>
      <c r="C162" s="10">
        <f t="shared" si="11"/>
        <v>615.06874857282094</v>
      </c>
      <c r="D162" s="10">
        <f t="shared" si="12"/>
        <v>83.005244791402987</v>
      </c>
      <c r="E162" s="10">
        <f t="shared" si="13"/>
        <v>9.8312514271790405</v>
      </c>
      <c r="F162" s="10">
        <f t="shared" si="16"/>
        <v>0.11844132803759025</v>
      </c>
      <c r="G162" s="9"/>
    </row>
    <row r="163" spans="1:7" x14ac:dyDescent="0.3">
      <c r="A163" s="14">
        <f t="shared" si="15"/>
        <v>40544</v>
      </c>
      <c r="B163" s="8">
        <v>624.83000000000004</v>
      </c>
      <c r="C163" s="10">
        <f t="shared" si="11"/>
        <v>615.06874857282094</v>
      </c>
      <c r="D163" s="10">
        <f t="shared" si="12"/>
        <v>83.005244791402987</v>
      </c>
      <c r="E163" s="10">
        <f t="shared" si="13"/>
        <v>9.7612514271791042</v>
      </c>
      <c r="F163" s="10">
        <f t="shared" si="16"/>
        <v>0.11759800783323629</v>
      </c>
      <c r="G163" s="9"/>
    </row>
    <row r="164" spans="1:7" x14ac:dyDescent="0.3">
      <c r="A164" s="14">
        <f t="shared" si="15"/>
        <v>40544</v>
      </c>
      <c r="B164" s="8">
        <v>624.92541666666671</v>
      </c>
      <c r="C164" s="10">
        <f t="shared" si="11"/>
        <v>615.06874857282094</v>
      </c>
      <c r="D164" s="10">
        <f t="shared" si="12"/>
        <v>83.005244791402987</v>
      </c>
      <c r="E164" s="10">
        <f>B164-C164</f>
        <v>9.8566680938457694</v>
      </c>
      <c r="F164" s="10">
        <f t="shared" si="16"/>
        <v>0.11874753358798171</v>
      </c>
      <c r="G164" s="9"/>
    </row>
    <row r="165" spans="1:7" x14ac:dyDescent="0.3">
      <c r="A165" s="14">
        <f t="shared" si="15"/>
        <v>40544</v>
      </c>
      <c r="B165" s="8">
        <v>624.79</v>
      </c>
      <c r="C165" s="10">
        <f t="shared" si="11"/>
        <v>615.06874857282094</v>
      </c>
      <c r="D165" s="10">
        <f t="shared" si="12"/>
        <v>83.005244791402987</v>
      </c>
      <c r="E165" s="10">
        <f t="shared" ref="E165:E171" si="17">B165-C165</f>
        <v>9.7212514271790269</v>
      </c>
      <c r="F165" s="10">
        <f t="shared" ref="F165:F171" si="18">E165/D165</f>
        <v>0.11711611057360409</v>
      </c>
      <c r="G165" s="9"/>
    </row>
    <row r="166" spans="1:7" x14ac:dyDescent="0.3">
      <c r="A166" s="14">
        <f t="shared" si="15"/>
        <v>40544</v>
      </c>
      <c r="B166" s="8">
        <v>624.78</v>
      </c>
      <c r="C166" s="10">
        <f t="shared" si="11"/>
        <v>615.06874857282094</v>
      </c>
      <c r="D166" s="10">
        <f t="shared" si="12"/>
        <v>83.005244791402987</v>
      </c>
      <c r="E166" s="10">
        <f t="shared" si="17"/>
        <v>9.711251427179036</v>
      </c>
      <c r="F166" s="10">
        <f t="shared" si="18"/>
        <v>0.11699563625869638</v>
      </c>
      <c r="G166" s="9"/>
    </row>
    <row r="167" spans="1:7" x14ac:dyDescent="0.3">
      <c r="A167" s="14">
        <f t="shared" si="15"/>
        <v>40544</v>
      </c>
      <c r="B167" s="8">
        <v>624.76</v>
      </c>
      <c r="C167" s="10">
        <f t="shared" si="11"/>
        <v>615.06874857282094</v>
      </c>
      <c r="D167" s="10">
        <f t="shared" si="12"/>
        <v>83.005244791402987</v>
      </c>
      <c r="E167" s="10">
        <f t="shared" si="17"/>
        <v>9.6912514271790542</v>
      </c>
      <c r="F167" s="10">
        <f t="shared" si="18"/>
        <v>0.11675468762888096</v>
      </c>
      <c r="G167" s="9"/>
    </row>
    <row r="168" spans="1:7" x14ac:dyDescent="0.3">
      <c r="A168" s="14">
        <f t="shared" si="15"/>
        <v>40544</v>
      </c>
      <c r="B168" s="8">
        <v>624.79</v>
      </c>
      <c r="C168" s="10">
        <f t="shared" si="11"/>
        <v>615.06874857282094</v>
      </c>
      <c r="D168" s="10">
        <f t="shared" si="12"/>
        <v>83.005244791402987</v>
      </c>
      <c r="E168" s="10">
        <f t="shared" si="17"/>
        <v>9.7212514271790269</v>
      </c>
      <c r="F168" s="10">
        <f t="shared" si="18"/>
        <v>0.11711611057360409</v>
      </c>
      <c r="G168" s="9"/>
    </row>
    <row r="169" spans="1:7" x14ac:dyDescent="0.3">
      <c r="A169" s="14">
        <f t="shared" si="15"/>
        <v>40544</v>
      </c>
      <c r="B169" s="8">
        <v>624.67999999999995</v>
      </c>
      <c r="C169" s="10">
        <f t="shared" si="11"/>
        <v>615.06874857282094</v>
      </c>
      <c r="D169" s="10">
        <f t="shared" si="12"/>
        <v>83.005244791402987</v>
      </c>
      <c r="E169" s="10">
        <f t="shared" si="17"/>
        <v>9.6112514271790133</v>
      </c>
      <c r="F169" s="10">
        <f t="shared" si="18"/>
        <v>0.11579089310961793</v>
      </c>
      <c r="G169" s="9"/>
    </row>
    <row r="170" spans="1:7" x14ac:dyDescent="0.3">
      <c r="A170" s="14">
        <f t="shared" si="15"/>
        <v>40544</v>
      </c>
      <c r="B170" s="8">
        <v>624.80999999999995</v>
      </c>
      <c r="C170" s="10">
        <f t="shared" si="11"/>
        <v>615.06874857282094</v>
      </c>
      <c r="D170" s="10">
        <f t="shared" si="12"/>
        <v>83.005244791402987</v>
      </c>
      <c r="E170" s="10">
        <f t="shared" si="17"/>
        <v>9.7412514271790087</v>
      </c>
      <c r="F170" s="10">
        <f t="shared" si="18"/>
        <v>0.1173570592034195</v>
      </c>
      <c r="G170" s="9"/>
    </row>
    <row r="171" spans="1:7" x14ac:dyDescent="0.3">
      <c r="A171" s="14">
        <f t="shared" si="15"/>
        <v>40544</v>
      </c>
      <c r="B171" s="8">
        <v>624.97</v>
      </c>
      <c r="C171" s="10">
        <f t="shared" si="11"/>
        <v>615.06874857282094</v>
      </c>
      <c r="D171" s="10">
        <f t="shared" si="12"/>
        <v>83.005244791402987</v>
      </c>
      <c r="E171" s="10">
        <f t="shared" si="17"/>
        <v>9.9012514271790906</v>
      </c>
      <c r="F171" s="10">
        <f t="shared" si="18"/>
        <v>0.11928464824194558</v>
      </c>
      <c r="G171" s="9"/>
    </row>
    <row r="172" spans="1:7" x14ac:dyDescent="0.3">
      <c r="A172" s="14">
        <f t="shared" si="15"/>
        <v>40544</v>
      </c>
      <c r="B172" s="8">
        <v>624.89</v>
      </c>
      <c r="C172" s="10">
        <f t="shared" si="11"/>
        <v>615.06874857282094</v>
      </c>
      <c r="D172" s="10">
        <f t="shared" si="12"/>
        <v>83.005244791402987</v>
      </c>
      <c r="E172" s="10">
        <f t="shared" ref="E172" si="19">B172-C172</f>
        <v>9.8212514271790496</v>
      </c>
      <c r="F172" s="10">
        <f t="shared" ref="F172" si="20">E172/D172</f>
        <v>0.11832085372268254</v>
      </c>
      <c r="G172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Sabie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2025-09-08T00:05:20Z</dcterms:modified>
  <cp:category/>
  <cp:contentStatus/>
</cp:coreProperties>
</file>