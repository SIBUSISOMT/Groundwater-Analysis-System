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busi\Downloads\"/>
    </mc:Choice>
  </mc:AlternateContent>
  <xr:revisionPtr revIDLastSave="0" documentId="8_{F8D445FE-EEED-4B72-ACB3-09CBD6D17249}" xr6:coauthVersionLast="47" xr6:coauthVersionMax="47" xr10:uidLastSave="{00000000-0000-0000-0000-000000000000}"/>
  <bookViews>
    <workbookView xWindow="-108" yWindow="-108" windowWidth="23256" windowHeight="12456" tabRatio="820" xr2:uid="{90F097EB-96DA-4E0B-8542-98E5AF2D4EEF}"/>
  </bookViews>
  <sheets>
    <sheet name="Crocodile workbook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3" l="1"/>
  <c r="D113" i="3"/>
  <c r="D114" i="3"/>
  <c r="D115" i="3"/>
  <c r="C113" i="3"/>
  <c r="E113" i="3" s="1"/>
  <c r="C114" i="3"/>
  <c r="E114" i="3" s="1"/>
  <c r="C115" i="3"/>
  <c r="E115" i="3" s="1"/>
  <c r="F115" i="3" s="1"/>
  <c r="C2" i="3"/>
  <c r="F113" i="3" l="1"/>
  <c r="F114" i="3"/>
  <c r="C59" i="3" l="1"/>
  <c r="E59" i="3" s="1"/>
  <c r="C45" i="3"/>
  <c r="E45" i="3" s="1"/>
  <c r="C23" i="3"/>
  <c r="E23" i="3" s="1"/>
  <c r="C65" i="3"/>
  <c r="E65" i="3" s="1"/>
  <c r="C168" i="3"/>
  <c r="E168" i="3" s="1"/>
  <c r="C34" i="3"/>
  <c r="E34" i="3" s="1"/>
  <c r="D6" i="3"/>
  <c r="C44" i="3"/>
  <c r="E44" i="3" s="1"/>
  <c r="D37" i="3"/>
  <c r="D146" i="3"/>
  <c r="D68" i="3"/>
  <c r="C125" i="3"/>
  <c r="E125" i="3" s="1"/>
  <c r="C32" i="3"/>
  <c r="E32" i="3" s="1"/>
  <c r="C133" i="3"/>
  <c r="E133" i="3" s="1"/>
  <c r="C108" i="3"/>
  <c r="E108" i="3" s="1"/>
  <c r="C140" i="3"/>
  <c r="E140" i="3" s="1"/>
  <c r="C81" i="3"/>
  <c r="E81" i="3" s="1"/>
  <c r="D72" i="3"/>
  <c r="D156" i="3"/>
  <c r="D31" i="3"/>
  <c r="C119" i="3"/>
  <c r="E119" i="3" s="1"/>
  <c r="C33" i="3"/>
  <c r="E33" i="3" s="1"/>
  <c r="C6" i="3"/>
  <c r="E6" i="3" s="1"/>
  <c r="C121" i="3"/>
  <c r="E121" i="3" s="1"/>
  <c r="D43" i="3"/>
  <c r="C42" i="3"/>
  <c r="E42" i="3" s="1"/>
  <c r="C24" i="3"/>
  <c r="E24" i="3" s="1"/>
  <c r="C91" i="3"/>
  <c r="E91" i="3" s="1"/>
  <c r="D145" i="3"/>
  <c r="C71" i="3"/>
  <c r="E71" i="3" s="1"/>
  <c r="D159" i="3"/>
  <c r="C85" i="3"/>
  <c r="E85" i="3" s="1"/>
  <c r="D62" i="3"/>
  <c r="D167" i="3"/>
  <c r="C88" i="3"/>
  <c r="E88" i="3" s="1"/>
  <c r="D104" i="3"/>
  <c r="C64" i="3"/>
  <c r="E64" i="3" s="1"/>
  <c r="C38" i="3"/>
  <c r="E38" i="3" s="1"/>
  <c r="D126" i="3"/>
  <c r="C61" i="3"/>
  <c r="E61" i="3" s="1"/>
  <c r="D14" i="3"/>
  <c r="C11" i="3"/>
  <c r="E11" i="3" s="1"/>
  <c r="D64" i="3" l="1"/>
  <c r="F64" i="3" s="1"/>
  <c r="D23" i="3"/>
  <c r="F23" i="3" s="1"/>
  <c r="D138" i="3"/>
  <c r="D116" i="3"/>
  <c r="D163" i="3"/>
  <c r="D135" i="3"/>
  <c r="D153" i="3"/>
  <c r="C29" i="3"/>
  <c r="E29" i="3" s="1"/>
  <c r="D82" i="3"/>
  <c r="C162" i="3"/>
  <c r="E162" i="3" s="1"/>
  <c r="C134" i="3"/>
  <c r="E134" i="3" s="1"/>
  <c r="D57" i="3"/>
  <c r="D92" i="3"/>
  <c r="D112" i="3"/>
  <c r="D21" i="3"/>
  <c r="D46" i="3"/>
  <c r="D103" i="3"/>
  <c r="D35" i="3"/>
  <c r="D17" i="3"/>
  <c r="D96" i="3"/>
  <c r="C99" i="3"/>
  <c r="E99" i="3" s="1"/>
  <c r="C66" i="3"/>
  <c r="E66" i="3" s="1"/>
  <c r="C83" i="3"/>
  <c r="E83" i="3" s="1"/>
  <c r="D75" i="3"/>
  <c r="C69" i="3"/>
  <c r="E69" i="3" s="1"/>
  <c r="D170" i="3"/>
  <c r="C159" i="3"/>
  <c r="E159" i="3" s="1"/>
  <c r="F159" i="3" s="1"/>
  <c r="C109" i="3"/>
  <c r="E109" i="3" s="1"/>
  <c r="D42" i="3"/>
  <c r="F42" i="3" s="1"/>
  <c r="D134" i="3"/>
  <c r="C170" i="3"/>
  <c r="E170" i="3" s="1"/>
  <c r="C171" i="3"/>
  <c r="E171" i="3" s="1"/>
  <c r="C60" i="3"/>
  <c r="E60" i="3" s="1"/>
  <c r="C35" i="3"/>
  <c r="E35" i="3" s="1"/>
  <c r="C46" i="3"/>
  <c r="E46" i="3" s="1"/>
  <c r="D26" i="3"/>
  <c r="C39" i="3"/>
  <c r="E39" i="3" s="1"/>
  <c r="C48" i="3"/>
  <c r="E48" i="3" s="1"/>
  <c r="C21" i="3"/>
  <c r="E21" i="3" s="1"/>
  <c r="C77" i="3"/>
  <c r="E77" i="3" s="1"/>
  <c r="D67" i="3"/>
  <c r="C104" i="3"/>
  <c r="E104" i="3" s="1"/>
  <c r="F104" i="3" s="1"/>
  <c r="C101" i="3"/>
  <c r="E101" i="3" s="1"/>
  <c r="C148" i="3"/>
  <c r="E148" i="3" s="1"/>
  <c r="D36" i="3"/>
  <c r="D102" i="3"/>
  <c r="C82" i="3"/>
  <c r="E82" i="3" s="1"/>
  <c r="C63" i="3"/>
  <c r="E63" i="3" s="1"/>
  <c r="D166" i="3"/>
  <c r="D73" i="3"/>
  <c r="D117" i="3"/>
  <c r="D54" i="3"/>
  <c r="C129" i="3"/>
  <c r="E129" i="3" s="1"/>
  <c r="D101" i="3"/>
  <c r="C167" i="3"/>
  <c r="E167" i="3" s="1"/>
  <c r="F167" i="3" s="1"/>
  <c r="D106" i="3"/>
  <c r="D5" i="3"/>
  <c r="D95" i="3"/>
  <c r="C79" i="3"/>
  <c r="E79" i="3" s="1"/>
  <c r="C105" i="3"/>
  <c r="E105" i="3" s="1"/>
  <c r="D52" i="3"/>
  <c r="C70" i="3"/>
  <c r="E70" i="3" s="1"/>
  <c r="C22" i="3"/>
  <c r="E22" i="3" s="1"/>
  <c r="C111" i="3"/>
  <c r="E111" i="3" s="1"/>
  <c r="C153" i="3"/>
  <c r="E153" i="3" s="1"/>
  <c r="C144" i="3"/>
  <c r="E144" i="3" s="1"/>
  <c r="C25" i="3"/>
  <c r="E25" i="3" s="1"/>
  <c r="D172" i="3"/>
  <c r="D18" i="3"/>
  <c r="D41" i="3"/>
  <c r="C137" i="3"/>
  <c r="E137" i="3" s="1"/>
  <c r="D139" i="3"/>
  <c r="C4" i="3"/>
  <c r="E4" i="3" s="1"/>
  <c r="D119" i="3"/>
  <c r="F119" i="3" s="1"/>
  <c r="C87" i="3"/>
  <c r="E87" i="3" s="1"/>
  <c r="C154" i="3"/>
  <c r="E154" i="3" s="1"/>
  <c r="C18" i="3"/>
  <c r="E18" i="3" s="1"/>
  <c r="D48" i="3"/>
  <c r="F48" i="3" s="1"/>
  <c r="C94" i="3"/>
  <c r="E94" i="3" s="1"/>
  <c r="C16" i="3"/>
  <c r="E16" i="3" s="1"/>
  <c r="C75" i="3"/>
  <c r="E75" i="3" s="1"/>
  <c r="C102" i="3"/>
  <c r="E102" i="3" s="1"/>
  <c r="D89" i="3"/>
  <c r="C128" i="3"/>
  <c r="E128" i="3" s="1"/>
  <c r="D78" i="3"/>
  <c r="D144" i="3"/>
  <c r="C117" i="3"/>
  <c r="E117" i="3" s="1"/>
  <c r="D168" i="3"/>
  <c r="F168" i="3" s="1"/>
  <c r="C122" i="3"/>
  <c r="E122" i="3" s="1"/>
  <c r="D76" i="3"/>
  <c r="D124" i="3"/>
  <c r="D171" i="3"/>
  <c r="C14" i="3"/>
  <c r="E14" i="3" s="1"/>
  <c r="F14" i="3" s="1"/>
  <c r="C95" i="3"/>
  <c r="E95" i="3" s="1"/>
  <c r="C172" i="3"/>
  <c r="E172" i="3" s="1"/>
  <c r="C55" i="3"/>
  <c r="E55" i="3" s="1"/>
  <c r="C136" i="3"/>
  <c r="E136" i="3" s="1"/>
  <c r="D24" i="3"/>
  <c r="F24" i="3" s="1"/>
  <c r="C141" i="3"/>
  <c r="E141" i="3" s="1"/>
  <c r="D130" i="3"/>
  <c r="D84" i="3"/>
  <c r="D50" i="3"/>
  <c r="D70" i="3"/>
  <c r="D8" i="3"/>
  <c r="D55" i="3"/>
  <c r="C98" i="3"/>
  <c r="E98" i="3" s="1"/>
  <c r="C15" i="3"/>
  <c r="E15" i="3" s="1"/>
  <c r="C62" i="3"/>
  <c r="E62" i="3" s="1"/>
  <c r="F62" i="3" s="1"/>
  <c r="C67" i="3"/>
  <c r="E67" i="3" s="1"/>
  <c r="D98" i="3"/>
  <c r="C8" i="3"/>
  <c r="E8" i="3" s="1"/>
  <c r="D80" i="3"/>
  <c r="C13" i="3"/>
  <c r="E13" i="3" s="1"/>
  <c r="C123" i="3"/>
  <c r="E123" i="3" s="1"/>
  <c r="D11" i="3"/>
  <c r="F11" i="3" s="1"/>
  <c r="D47" i="3"/>
  <c r="C97" i="3"/>
  <c r="E97" i="3" s="1"/>
  <c r="D160" i="3"/>
  <c r="C26" i="3"/>
  <c r="E26" i="3" s="1"/>
  <c r="D9" i="3"/>
  <c r="C41" i="3"/>
  <c r="E41" i="3" s="1"/>
  <c r="D122" i="3"/>
  <c r="D120" i="3"/>
  <c r="D94" i="3"/>
  <c r="C47" i="3"/>
  <c r="E47" i="3" s="1"/>
  <c r="D137" i="3"/>
  <c r="D10" i="3"/>
  <c r="D150" i="3"/>
  <c r="D125" i="3"/>
  <c r="F125" i="3" s="1"/>
  <c r="D56" i="3"/>
  <c r="D3" i="3"/>
  <c r="C147" i="3"/>
  <c r="E147" i="3" s="1"/>
  <c r="D85" i="3"/>
  <c r="F85" i="3" s="1"/>
  <c r="D110" i="3"/>
  <c r="D27" i="3"/>
  <c r="D79" i="3"/>
  <c r="C17" i="3"/>
  <c r="E17" i="3" s="1"/>
  <c r="F17" i="3" s="1"/>
  <c r="D90" i="3"/>
  <c r="C152" i="3"/>
  <c r="E152" i="3" s="1"/>
  <c r="D143" i="3"/>
  <c r="C28" i="3"/>
  <c r="E28" i="3" s="1"/>
  <c r="C166" i="3"/>
  <c r="E166" i="3" s="1"/>
  <c r="C73" i="3"/>
  <c r="E73" i="3" s="1"/>
  <c r="C124" i="3"/>
  <c r="E124" i="3" s="1"/>
  <c r="C49" i="3"/>
  <c r="E49" i="3" s="1"/>
  <c r="D133" i="3"/>
  <c r="F133" i="3" s="1"/>
  <c r="C150" i="3"/>
  <c r="E150" i="3" s="1"/>
  <c r="C40" i="3"/>
  <c r="E40" i="3" s="1"/>
  <c r="D4" i="3"/>
  <c r="D93" i="3"/>
  <c r="C142" i="3"/>
  <c r="E142" i="3" s="1"/>
  <c r="C92" i="3"/>
  <c r="E92" i="3" s="1"/>
  <c r="D20" i="3"/>
  <c r="C151" i="3"/>
  <c r="E151" i="3" s="1"/>
  <c r="C5" i="3"/>
  <c r="E5" i="3" s="1"/>
  <c r="C58" i="3"/>
  <c r="E58" i="3" s="1"/>
  <c r="C76" i="3"/>
  <c r="E76" i="3" s="1"/>
  <c r="D29" i="3"/>
  <c r="D100" i="3"/>
  <c r="C138" i="3"/>
  <c r="E138" i="3" s="1"/>
  <c r="F138" i="3" s="1"/>
  <c r="D51" i="3"/>
  <c r="D25" i="3"/>
  <c r="C53" i="3"/>
  <c r="E53" i="3" s="1"/>
  <c r="C31" i="3"/>
  <c r="E31" i="3" s="1"/>
  <c r="F31" i="3" s="1"/>
  <c r="D109" i="3"/>
  <c r="C78" i="3"/>
  <c r="E78" i="3" s="1"/>
  <c r="D59" i="3"/>
  <c r="F59" i="3" s="1"/>
  <c r="C96" i="3"/>
  <c r="E96" i="3" s="1"/>
  <c r="C132" i="3"/>
  <c r="E132" i="3" s="1"/>
  <c r="D152" i="3"/>
  <c r="D28" i="3"/>
  <c r="C50" i="3"/>
  <c r="E50" i="3" s="1"/>
  <c r="D127" i="3"/>
  <c r="D105" i="3"/>
  <c r="D53" i="3"/>
  <c r="D121" i="3"/>
  <c r="F121" i="3" s="1"/>
  <c r="C157" i="3"/>
  <c r="E157" i="3" s="1"/>
  <c r="C43" i="3"/>
  <c r="E43" i="3" s="1"/>
  <c r="F43" i="3" s="1"/>
  <c r="D83" i="3"/>
  <c r="D86" i="3"/>
  <c r="D140" i="3"/>
  <c r="F140" i="3" s="1"/>
  <c r="C158" i="3"/>
  <c r="E158" i="3" s="1"/>
  <c r="C80" i="3"/>
  <c r="E80" i="3" s="1"/>
  <c r="C139" i="3"/>
  <c r="E139" i="3" s="1"/>
  <c r="C126" i="3"/>
  <c r="E126" i="3" s="1"/>
  <c r="F126" i="3" s="1"/>
  <c r="D161" i="3"/>
  <c r="E2" i="3"/>
  <c r="D40" i="3"/>
  <c r="D49" i="3"/>
  <c r="C146" i="3"/>
  <c r="E146" i="3" s="1"/>
  <c r="F146" i="3" s="1"/>
  <c r="D32" i="3"/>
  <c r="F32" i="3" s="1"/>
  <c r="C89" i="3"/>
  <c r="E89" i="3" s="1"/>
  <c r="D44" i="3"/>
  <c r="F44" i="3" s="1"/>
  <c r="D148" i="3"/>
  <c r="C127" i="3"/>
  <c r="E127" i="3" s="1"/>
  <c r="C19" i="3"/>
  <c r="E19" i="3" s="1"/>
  <c r="C116" i="3"/>
  <c r="E116" i="3" s="1"/>
  <c r="F6" i="3"/>
  <c r="C51" i="3"/>
  <c r="E51" i="3" s="1"/>
  <c r="D15" i="3"/>
  <c r="D99" i="3"/>
  <c r="C86" i="3"/>
  <c r="E86" i="3" s="1"/>
  <c r="C145" i="3"/>
  <c r="E145" i="3" s="1"/>
  <c r="F145" i="3" s="1"/>
  <c r="C10" i="3"/>
  <c r="E10" i="3" s="1"/>
  <c r="C84" i="3"/>
  <c r="E84" i="3" s="1"/>
  <c r="D7" i="3"/>
  <c r="C103" i="3"/>
  <c r="E103" i="3" s="1"/>
  <c r="F103" i="3" s="1"/>
  <c r="D155" i="3"/>
  <c r="C74" i="3"/>
  <c r="E74" i="3" s="1"/>
  <c r="C7" i="3"/>
  <c r="E7" i="3" s="1"/>
  <c r="C27" i="3"/>
  <c r="E27" i="3" s="1"/>
  <c r="D136" i="3"/>
  <c r="D88" i="3"/>
  <c r="F88" i="3" s="1"/>
  <c r="D149" i="3"/>
  <c r="C165" i="3"/>
  <c r="E165" i="3" s="1"/>
  <c r="D66" i="3"/>
  <c r="C161" i="3"/>
  <c r="E161" i="3" s="1"/>
  <c r="C130" i="3"/>
  <c r="E130" i="3" s="1"/>
  <c r="C100" i="3"/>
  <c r="E100" i="3" s="1"/>
  <c r="D147" i="3"/>
  <c r="D77" i="3"/>
  <c r="D19" i="3"/>
  <c r="D74" i="3"/>
  <c r="D87" i="3"/>
  <c r="D162" i="3"/>
  <c r="C72" i="3"/>
  <c r="E72" i="3" s="1"/>
  <c r="F72" i="3" s="1"/>
  <c r="D33" i="3"/>
  <c r="F33" i="3" s="1"/>
  <c r="C57" i="3"/>
  <c r="E57" i="3" s="1"/>
  <c r="C37" i="3"/>
  <c r="E37" i="3" s="1"/>
  <c r="F37" i="3" s="1"/>
  <c r="C54" i="3"/>
  <c r="E54" i="3" s="1"/>
  <c r="D169" i="3"/>
  <c r="D151" i="3"/>
  <c r="D22" i="3"/>
  <c r="C169" i="3"/>
  <c r="E169" i="3" s="1"/>
  <c r="C36" i="3"/>
  <c r="E36" i="3" s="1"/>
  <c r="C30" i="3"/>
  <c r="E30" i="3" s="1"/>
  <c r="D123" i="3"/>
  <c r="D61" i="3"/>
  <c r="F61" i="3" s="1"/>
  <c r="C120" i="3"/>
  <c r="E120" i="3" s="1"/>
  <c r="D58" i="3"/>
  <c r="C149" i="3"/>
  <c r="E149" i="3" s="1"/>
  <c r="C131" i="3"/>
  <c r="E131" i="3" s="1"/>
  <c r="D164" i="3"/>
  <c r="D107" i="3"/>
  <c r="C56" i="3"/>
  <c r="E56" i="3" s="1"/>
  <c r="D129" i="3"/>
  <c r="D16" i="3"/>
  <c r="C20" i="3"/>
  <c r="E20" i="3" s="1"/>
  <c r="D165" i="3"/>
  <c r="C118" i="3"/>
  <c r="E118" i="3" s="1"/>
  <c r="C163" i="3"/>
  <c r="E163" i="3" s="1"/>
  <c r="D38" i="3"/>
  <c r="F38" i="3" s="1"/>
  <c r="D118" i="3"/>
  <c r="D69" i="3"/>
  <c r="F69" i="3" s="1"/>
  <c r="C135" i="3"/>
  <c r="E135" i="3" s="1"/>
  <c r="C155" i="3"/>
  <c r="E155" i="3" s="1"/>
  <c r="C93" i="3"/>
  <c r="E93" i="3" s="1"/>
  <c r="D63" i="3"/>
  <c r="C106" i="3"/>
  <c r="E106" i="3" s="1"/>
  <c r="D71" i="3"/>
  <c r="F71" i="3" s="1"/>
  <c r="C160" i="3"/>
  <c r="E160" i="3" s="1"/>
  <c r="D132" i="3"/>
  <c r="C107" i="3"/>
  <c r="E107" i="3" s="1"/>
  <c r="D158" i="3"/>
  <c r="D30" i="3"/>
  <c r="D81" i="3"/>
  <c r="F81" i="3" s="1"/>
  <c r="D131" i="3"/>
  <c r="D39" i="3"/>
  <c r="D128" i="3"/>
  <c r="C12" i="3"/>
  <c r="E12" i="3" s="1"/>
  <c r="C68" i="3"/>
  <c r="E68" i="3" s="1"/>
  <c r="F68" i="3" s="1"/>
  <c r="C9" i="3"/>
  <c r="E9" i="3" s="1"/>
  <c r="F9" i="3" s="1"/>
  <c r="D91" i="3"/>
  <c r="F91" i="3" s="1"/>
  <c r="D157" i="3"/>
  <c r="C52" i="3"/>
  <c r="E52" i="3" s="1"/>
  <c r="D13" i="3"/>
  <c r="C3" i="3"/>
  <c r="E3" i="3" s="1"/>
  <c r="D12" i="3"/>
  <c r="C112" i="3"/>
  <c r="E112" i="3" s="1"/>
  <c r="C164" i="3"/>
  <c r="E164" i="3" s="1"/>
  <c r="D65" i="3"/>
  <c r="F65" i="3" s="1"/>
  <c r="D154" i="3"/>
  <c r="D60" i="3"/>
  <c r="D142" i="3"/>
  <c r="D111" i="3"/>
  <c r="D45" i="3"/>
  <c r="F45" i="3" s="1"/>
  <c r="D97" i="3"/>
  <c r="C90" i="3"/>
  <c r="E90" i="3" s="1"/>
  <c r="C156" i="3"/>
  <c r="E156" i="3" s="1"/>
  <c r="F156" i="3" s="1"/>
  <c r="C110" i="3"/>
  <c r="E110" i="3" s="1"/>
  <c r="C143" i="3"/>
  <c r="E143" i="3" s="1"/>
  <c r="D141" i="3"/>
  <c r="D108" i="3"/>
  <c r="F108" i="3" s="1"/>
  <c r="D34" i="3"/>
  <c r="F34" i="3" s="1"/>
  <c r="F77" i="3" l="1"/>
  <c r="F106" i="3"/>
  <c r="F29" i="3"/>
  <c r="F143" i="3"/>
  <c r="F161" i="3"/>
  <c r="F75" i="3"/>
  <c r="F110" i="3"/>
  <c r="F83" i="3"/>
  <c r="F46" i="3"/>
  <c r="F102" i="3"/>
  <c r="F21" i="3"/>
  <c r="F60" i="3"/>
  <c r="F52" i="3"/>
  <c r="F163" i="3"/>
  <c r="F116" i="3"/>
  <c r="F47" i="3"/>
  <c r="F120" i="3"/>
  <c r="F57" i="3"/>
  <c r="F10" i="3"/>
  <c r="F87" i="3"/>
  <c r="F56" i="3"/>
  <c r="F54" i="3"/>
  <c r="F51" i="3"/>
  <c r="F124" i="3"/>
  <c r="F107" i="3"/>
  <c r="F109" i="3"/>
  <c r="F117" i="3"/>
  <c r="F3" i="3"/>
  <c r="F76" i="3"/>
  <c r="F98" i="3"/>
  <c r="F90" i="3"/>
  <c r="F67" i="3"/>
  <c r="F89" i="3"/>
  <c r="F171" i="3"/>
  <c r="F5" i="3"/>
  <c r="F150" i="3"/>
  <c r="F93" i="3"/>
  <c r="F135" i="3"/>
  <c r="F97" i="3"/>
  <c r="F101" i="3"/>
  <c r="F39" i="3"/>
  <c r="F152" i="3"/>
  <c r="F139" i="3"/>
  <c r="F96" i="3"/>
  <c r="F92" i="3"/>
  <c r="F30" i="3"/>
  <c r="F80" i="3"/>
  <c r="F84" i="3"/>
  <c r="F36" i="3"/>
  <c r="F142" i="3"/>
  <c r="F25" i="3"/>
  <c r="F118" i="3"/>
  <c r="F78" i="3"/>
  <c r="F35" i="3"/>
  <c r="F134" i="3"/>
  <c r="F112" i="3"/>
  <c r="F20" i="3"/>
  <c r="F162" i="3"/>
  <c r="F58" i="3"/>
  <c r="F73" i="3"/>
  <c r="F18" i="3"/>
  <c r="F153" i="3"/>
  <c r="F66" i="3"/>
  <c r="F99" i="3"/>
  <c r="F2" i="3"/>
  <c r="F53" i="3"/>
  <c r="F26" i="3"/>
  <c r="F172" i="3"/>
  <c r="F170" i="3"/>
  <c r="F82" i="3"/>
  <c r="F148" i="3"/>
  <c r="F28" i="3"/>
  <c r="F95" i="3"/>
  <c r="F22" i="3"/>
  <c r="F164" i="3"/>
  <c r="F149" i="3"/>
  <c r="F169" i="3"/>
  <c r="F100" i="3"/>
  <c r="F27" i="3"/>
  <c r="F151" i="3"/>
  <c r="F15" i="3"/>
  <c r="F141" i="3"/>
  <c r="F70" i="3"/>
  <c r="F40" i="3"/>
  <c r="F131" i="3"/>
  <c r="F127" i="3"/>
  <c r="F147" i="3"/>
  <c r="F155" i="3"/>
  <c r="F130" i="3"/>
  <c r="F7" i="3"/>
  <c r="F86" i="3"/>
  <c r="F157" i="3"/>
  <c r="F132" i="3"/>
  <c r="F49" i="3"/>
  <c r="F123" i="3"/>
  <c r="F128" i="3"/>
  <c r="F154" i="3"/>
  <c r="F129" i="3"/>
  <c r="F19" i="3"/>
  <c r="F41" i="3"/>
  <c r="F13" i="3"/>
  <c r="F136" i="3"/>
  <c r="F105" i="3"/>
  <c r="F55" i="3"/>
  <c r="F144" i="3"/>
  <c r="F79" i="3"/>
  <c r="F12" i="3"/>
  <c r="F160" i="3"/>
  <c r="F74" i="3"/>
  <c r="F165" i="3"/>
  <c r="F158" i="3"/>
  <c r="F166" i="3"/>
  <c r="F8" i="3"/>
  <c r="F122" i="3"/>
  <c r="F4" i="3"/>
  <c r="F50" i="3"/>
  <c r="F16" i="3"/>
  <c r="F94" i="3"/>
  <c r="F137" i="3"/>
  <c r="F111" i="3"/>
  <c r="F63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8CBC4C1-35B9-412A-A5FF-EC1BEF88DDF3}" keepAlive="1" name="Query - Exeter - X3H008" description="Connection to the 'Exeter - X3H008' query in the workbook." type="5" refreshedVersion="0" background="1">
    <dbPr connection="Provider=Microsoft.Mashup.OleDb.1;Data Source=$Workbook$;Location=&quot;Exeter - X3H008&quot;;Extended Properties=&quot;&quot;" command="SELECT * FROM [Exeter - X3H008]"/>
  </connection>
</connections>
</file>

<file path=xl/sharedStrings.xml><?xml version="1.0" encoding="utf-8"?>
<sst xmlns="http://schemas.openxmlformats.org/spreadsheetml/2006/main" count="5" uniqueCount="5">
  <si>
    <t>Date (Months)</t>
  </si>
  <si>
    <t>STDEV</t>
  </si>
  <si>
    <t>Baseflow</t>
  </si>
  <si>
    <t>Average Baseflow</t>
  </si>
  <si>
    <t>Standardized Baseflow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</si>
</sst>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"/>
    <numFmt numFmtId="165" formatCode="0.000"/>
  </numFmts>
  <fonts count="6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sz val="10"/>
      <name val="Arial"/>
      <family val="2"/>
    </font>
    <font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rgb="FF000000"/>
      </patternFill>
    </fill>
    <fill>
      <patternFill patternType="solid">
        <fgColor theme="7" tint="0.79998168889431442"/>
        <bgColor rgb="FF000000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7">
    <xf numFmtId="0" fontId="0" fillId="0" borderId="0"/>
    <xf numFmtId="0" fontId="3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4" fillId="0" borderId="0"/>
  </cellStyleXfs>
  <cellXfs count="28">
    <xf numFmtId="0" fontId="0" fillId="0" borderId="0" xfId="0"/>
    <xf numFmtId="0" fontId="0" fillId="2" borderId="1" xfId="0" applyFill="1" applyBorder="1" applyAlignment="1">
      <alignment horizontal="center"/>
    </xf>
    <xf numFmtId="165" fontId="0" fillId="2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165" fontId="0" fillId="3" borderId="1" xfId="0" applyNumberForma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2" fontId="0" fillId="3" borderId="1" xfId="0" applyNumberFormat="1" applyFill="1" applyBorder="1" applyAlignment="1">
      <alignment horizontal="center"/>
    </xf>
    <xf numFmtId="0" fontId="0" fillId="5" borderId="5" xfId="0" applyFill="1" applyBorder="1"/>
    <xf numFmtId="2" fontId="0" fillId="2" borderId="1" xfId="0" applyNumberFormat="1" applyFill="1" applyBorder="1" applyAlignment="1">
      <alignment horizontal="center"/>
    </xf>
    <xf numFmtId="164" fontId="1" fillId="4" borderId="1" xfId="0" applyNumberFormat="1" applyFont="1" applyFill="1" applyBorder="1" applyAlignment="1">
      <alignment horizontal="center"/>
    </xf>
    <xf numFmtId="2" fontId="1" fillId="4" borderId="1" xfId="0" applyNumberFormat="1" applyFont="1" applyFill="1" applyBorder="1" applyAlignment="1">
      <alignment horizontal="center"/>
    </xf>
    <xf numFmtId="165" fontId="0" fillId="4" borderId="1" xfId="0" applyNumberFormat="1" applyFill="1" applyBorder="1" applyAlignment="1">
      <alignment horizontal="center"/>
    </xf>
    <xf numFmtId="165" fontId="0" fillId="4" borderId="3" xfId="0" applyNumberFormat="1" applyFill="1" applyBorder="1" applyAlignment="1">
      <alignment horizontal="center"/>
    </xf>
    <xf numFmtId="164" fontId="1" fillId="4" borderId="3" xfId="0" applyNumberFormat="1" applyFont="1" applyFill="1" applyBorder="1" applyAlignment="1">
      <alignment horizontal="center"/>
    </xf>
    <xf numFmtId="0" fontId="0" fillId="0" borderId="5" xfId="0" applyBorder="1"/>
    <xf numFmtId="0" fontId="0" fillId="2" borderId="6" xfId="0" applyFill="1" applyBorder="1" applyAlignment="1">
      <alignment horizontal="center"/>
    </xf>
    <xf numFmtId="165" fontId="0" fillId="2" borderId="6" xfId="0" applyNumberFormat="1" applyFill="1" applyBorder="1" applyAlignment="1">
      <alignment horizontal="center"/>
    </xf>
    <xf numFmtId="165" fontId="0" fillId="2" borderId="2" xfId="0" applyNumberFormat="1" applyFill="1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165" fontId="0" fillId="3" borderId="6" xfId="0" applyNumberFormat="1" applyFill="1" applyBorder="1" applyAlignment="1">
      <alignment horizontal="center"/>
    </xf>
    <xf numFmtId="165" fontId="1" fillId="6" borderId="6" xfId="0" applyNumberFormat="1" applyFont="1" applyFill="1" applyBorder="1" applyAlignment="1">
      <alignment horizontal="center"/>
    </xf>
    <xf numFmtId="165" fontId="5" fillId="6" borderId="6" xfId="0" applyNumberFormat="1" applyFont="1" applyFill="1" applyBorder="1" applyAlignment="1">
      <alignment horizontal="center"/>
    </xf>
    <xf numFmtId="165" fontId="5" fillId="7" borderId="6" xfId="0" applyNumberFormat="1" applyFont="1" applyFill="1" applyBorder="1" applyAlignment="1">
      <alignment horizontal="center"/>
    </xf>
    <xf numFmtId="2" fontId="1" fillId="5" borderId="1" xfId="0" applyNumberFormat="1" applyFont="1" applyFill="1" applyBorder="1" applyAlignment="1">
      <alignment horizontal="center"/>
    </xf>
    <xf numFmtId="2" fontId="1" fillId="5" borderId="3" xfId="0" applyNumberFormat="1" applyFont="1" applyFill="1" applyBorder="1" applyAlignment="1">
      <alignment horizontal="center"/>
    </xf>
  </cellXfs>
  <cellStyles count="7">
    <cellStyle name="Normal" xfId="0" builtinId="0"/>
    <cellStyle name="Normal 2" xfId="2" xr:uid="{4A908EDF-2280-42DB-A6F8-FC2638AFADED}"/>
    <cellStyle name="Normal 3" xfId="3" xr:uid="{064CC613-A5F6-4721-B6ED-C9D234239A91}"/>
    <cellStyle name="Normal 3 2" xfId="6" xr:uid="{2B8B9196-6322-4175-ABF3-6548B262CCF1}"/>
    <cellStyle name="Normal 4" xfId="4" xr:uid="{34B7DFA0-EE62-4A9A-BB67-A08D875217F3}"/>
    <cellStyle name="Normal 4 2" xfId="5" xr:uid="{C3301620-72E1-404F-BE89-1CE85E58283F}"/>
    <cellStyle name="Normal 5" xfId="1" xr:uid="{A616EB63-8766-4133-92BC-EE3CB24C3AC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'Crocodile workbook'!$B$1</c:f>
              <c:strCache>
                <c:ptCount val="1"/>
                <c:pt idx="0">
                  <c:v>Baseflow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'Crocodile workbook'!$A$2:$A$172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xVal>
          <c:yVal>
            <c:numRef>
              <c:f>'Crocodile workbook'!$B$2:$B$172</c:f>
              <c:numCache>
                <c:formatCode>0.00</c:formatCode>
                <c:ptCount val="171"/>
                <c:pt idx="0">
                  <c:v>0.24</c:v>
                </c:pt>
                <c:pt idx="1">
                  <c:v>14.58</c:v>
                </c:pt>
                <c:pt idx="2">
                  <c:v>13.88</c:v>
                </c:pt>
                <c:pt idx="3">
                  <c:v>11.18</c:v>
                </c:pt>
                <c:pt idx="4">
                  <c:v>10.72</c:v>
                </c:pt>
                <c:pt idx="5">
                  <c:v>8.6</c:v>
                </c:pt>
                <c:pt idx="6">
                  <c:v>6.33</c:v>
                </c:pt>
                <c:pt idx="7">
                  <c:v>4.66</c:v>
                </c:pt>
                <c:pt idx="8">
                  <c:v>3.54</c:v>
                </c:pt>
                <c:pt idx="9">
                  <c:v>2.48</c:v>
                </c:pt>
                <c:pt idx="10">
                  <c:v>2.46</c:v>
                </c:pt>
                <c:pt idx="11">
                  <c:v>2.2599999999999998</c:v>
                </c:pt>
                <c:pt idx="12">
                  <c:v>3.14</c:v>
                </c:pt>
                <c:pt idx="13">
                  <c:v>18.760000000000002</c:v>
                </c:pt>
                <c:pt idx="14">
                  <c:v>15.32</c:v>
                </c:pt>
                <c:pt idx="15">
                  <c:v>10.1</c:v>
                </c:pt>
                <c:pt idx="16">
                  <c:v>6.83</c:v>
                </c:pt>
                <c:pt idx="17">
                  <c:v>2.181</c:v>
                </c:pt>
                <c:pt idx="18">
                  <c:v>2.85</c:v>
                </c:pt>
                <c:pt idx="19">
                  <c:v>1.82</c:v>
                </c:pt>
                <c:pt idx="20">
                  <c:v>0.878</c:v>
                </c:pt>
                <c:pt idx="21">
                  <c:v>2.5</c:v>
                </c:pt>
                <c:pt idx="22">
                  <c:v>4.13</c:v>
                </c:pt>
                <c:pt idx="23">
                  <c:v>4.71</c:v>
                </c:pt>
                <c:pt idx="24">
                  <c:v>6.72</c:v>
                </c:pt>
                <c:pt idx="25">
                  <c:v>19.690000000000001</c:v>
                </c:pt>
                <c:pt idx="26">
                  <c:v>22.98</c:v>
                </c:pt>
                <c:pt idx="28">
                  <c:v>18.559999999999999</c:v>
                </c:pt>
                <c:pt idx="29">
                  <c:v>13.08</c:v>
                </c:pt>
                <c:pt idx="30">
                  <c:v>8.92</c:v>
                </c:pt>
                <c:pt idx="31">
                  <c:v>6.2</c:v>
                </c:pt>
                <c:pt idx="32">
                  <c:v>3.2290000000000001</c:v>
                </c:pt>
                <c:pt idx="33">
                  <c:v>2.65</c:v>
                </c:pt>
                <c:pt idx="34">
                  <c:v>2.44</c:v>
                </c:pt>
                <c:pt idx="35">
                  <c:v>2.63</c:v>
                </c:pt>
                <c:pt idx="36">
                  <c:v>8.33</c:v>
                </c:pt>
                <c:pt idx="37">
                  <c:v>8.85</c:v>
                </c:pt>
                <c:pt idx="38">
                  <c:v>10.7</c:v>
                </c:pt>
                <c:pt idx="39">
                  <c:v>33.26</c:v>
                </c:pt>
                <c:pt idx="40">
                  <c:v>25.04</c:v>
                </c:pt>
                <c:pt idx="41">
                  <c:v>17.21</c:v>
                </c:pt>
                <c:pt idx="42">
                  <c:v>12.44</c:v>
                </c:pt>
                <c:pt idx="43">
                  <c:v>8.49</c:v>
                </c:pt>
                <c:pt idx="44">
                  <c:v>5.01</c:v>
                </c:pt>
                <c:pt idx="45">
                  <c:v>3.65</c:v>
                </c:pt>
                <c:pt idx="46">
                  <c:v>2.84</c:v>
                </c:pt>
                <c:pt idx="47">
                  <c:v>2.84</c:v>
                </c:pt>
                <c:pt idx="48">
                  <c:v>4.99</c:v>
                </c:pt>
                <c:pt idx="49">
                  <c:v>5.09</c:v>
                </c:pt>
                <c:pt idx="50">
                  <c:v>5.61</c:v>
                </c:pt>
                <c:pt idx="51">
                  <c:v>4.43</c:v>
                </c:pt>
                <c:pt idx="52">
                  <c:v>3.64</c:v>
                </c:pt>
                <c:pt idx="53">
                  <c:v>2.57</c:v>
                </c:pt>
                <c:pt idx="54">
                  <c:v>1.8</c:v>
                </c:pt>
                <c:pt idx="55">
                  <c:v>1.27</c:v>
                </c:pt>
                <c:pt idx="56">
                  <c:v>0.94</c:v>
                </c:pt>
                <c:pt idx="57">
                  <c:v>0.81</c:v>
                </c:pt>
                <c:pt idx="58">
                  <c:v>0.59</c:v>
                </c:pt>
                <c:pt idx="59">
                  <c:v>0.49</c:v>
                </c:pt>
                <c:pt idx="60">
                  <c:v>0.39300000000000002</c:v>
                </c:pt>
                <c:pt idx="61">
                  <c:v>0.42</c:v>
                </c:pt>
                <c:pt idx="62">
                  <c:v>0.33</c:v>
                </c:pt>
                <c:pt idx="63">
                  <c:v>0.92</c:v>
                </c:pt>
                <c:pt idx="64">
                  <c:v>0.65</c:v>
                </c:pt>
                <c:pt idx="65">
                  <c:v>0.45</c:v>
                </c:pt>
                <c:pt idx="66">
                  <c:v>0.25900000000000001</c:v>
                </c:pt>
                <c:pt idx="67">
                  <c:v>0.24</c:v>
                </c:pt>
                <c:pt idx="68">
                  <c:v>0.19</c:v>
                </c:pt>
                <c:pt idx="69">
                  <c:v>0.17</c:v>
                </c:pt>
                <c:pt idx="70">
                  <c:v>0.16</c:v>
                </c:pt>
                <c:pt idx="71">
                  <c:v>0.73</c:v>
                </c:pt>
                <c:pt idx="72">
                  <c:v>1.7</c:v>
                </c:pt>
                <c:pt idx="73">
                  <c:v>4.83</c:v>
                </c:pt>
                <c:pt idx="74">
                  <c:v>8.2200000000000006</c:v>
                </c:pt>
                <c:pt idx="75">
                  <c:v>8.44</c:v>
                </c:pt>
                <c:pt idx="76">
                  <c:v>5.92</c:v>
                </c:pt>
                <c:pt idx="77">
                  <c:v>4.5</c:v>
                </c:pt>
                <c:pt idx="78">
                  <c:v>3.0720000000000001</c:v>
                </c:pt>
                <c:pt idx="79">
                  <c:v>2.04</c:v>
                </c:pt>
                <c:pt idx="80">
                  <c:v>1.38</c:v>
                </c:pt>
                <c:pt idx="81">
                  <c:v>0.94</c:v>
                </c:pt>
                <c:pt idx="82">
                  <c:v>0.98</c:v>
                </c:pt>
                <c:pt idx="83">
                  <c:v>1.43</c:v>
                </c:pt>
                <c:pt idx="84">
                  <c:v>3.52</c:v>
                </c:pt>
                <c:pt idx="85">
                  <c:v>2.95</c:v>
                </c:pt>
                <c:pt idx="86">
                  <c:v>3.13</c:v>
                </c:pt>
                <c:pt idx="87">
                  <c:v>3.2</c:v>
                </c:pt>
                <c:pt idx="88">
                  <c:v>3.87</c:v>
                </c:pt>
                <c:pt idx="89">
                  <c:v>3.03</c:v>
                </c:pt>
                <c:pt idx="90">
                  <c:v>2.19</c:v>
                </c:pt>
                <c:pt idx="91">
                  <c:v>1.5</c:v>
                </c:pt>
                <c:pt idx="92">
                  <c:v>1.08</c:v>
                </c:pt>
                <c:pt idx="93">
                  <c:v>0.79</c:v>
                </c:pt>
                <c:pt idx="94">
                  <c:v>0.64</c:v>
                </c:pt>
                <c:pt idx="95">
                  <c:v>0.57999999999999996</c:v>
                </c:pt>
                <c:pt idx="96">
                  <c:v>0.82</c:v>
                </c:pt>
                <c:pt idx="97">
                  <c:v>1.71</c:v>
                </c:pt>
                <c:pt idx="98">
                  <c:v>3.14</c:v>
                </c:pt>
                <c:pt idx="99">
                  <c:v>2.69</c:v>
                </c:pt>
                <c:pt idx="100">
                  <c:v>2.78</c:v>
                </c:pt>
                <c:pt idx="101">
                  <c:v>1.78</c:v>
                </c:pt>
                <c:pt idx="102">
                  <c:v>1.19</c:v>
                </c:pt>
                <c:pt idx="103">
                  <c:v>0.76300000000000001</c:v>
                </c:pt>
                <c:pt idx="104">
                  <c:v>0.53</c:v>
                </c:pt>
                <c:pt idx="105">
                  <c:v>0.41</c:v>
                </c:pt>
                <c:pt idx="106">
                  <c:v>0.26700000000000002</c:v>
                </c:pt>
                <c:pt idx="107">
                  <c:v>0.46</c:v>
                </c:pt>
                <c:pt idx="108">
                  <c:v>0.255</c:v>
                </c:pt>
                <c:pt idx="109">
                  <c:v>1.38</c:v>
                </c:pt>
                <c:pt idx="110">
                  <c:v>2.16</c:v>
                </c:pt>
                <c:pt idx="111">
                  <c:v>1.98</c:v>
                </c:pt>
                <c:pt idx="112">
                  <c:v>2.13</c:v>
                </c:pt>
                <c:pt idx="113">
                  <c:v>1.57</c:v>
                </c:pt>
                <c:pt idx="114">
                  <c:v>1.19</c:v>
                </c:pt>
                <c:pt idx="115">
                  <c:v>0.83</c:v>
                </c:pt>
                <c:pt idx="116">
                  <c:v>0.59</c:v>
                </c:pt>
                <c:pt idx="117">
                  <c:v>0.46</c:v>
                </c:pt>
                <c:pt idx="118">
                  <c:v>0.60599999999999998</c:v>
                </c:pt>
                <c:pt idx="119">
                  <c:v>0.56000000000000005</c:v>
                </c:pt>
                <c:pt idx="120">
                  <c:v>0.76</c:v>
                </c:pt>
                <c:pt idx="123">
                  <c:v>6.02</c:v>
                </c:pt>
                <c:pt idx="124">
                  <c:v>5.24</c:v>
                </c:pt>
                <c:pt idx="125">
                  <c:v>4.01</c:v>
                </c:pt>
                <c:pt idx="126">
                  <c:v>3.11</c:v>
                </c:pt>
                <c:pt idx="127">
                  <c:v>1.377</c:v>
                </c:pt>
                <c:pt idx="128">
                  <c:v>1.0169999999999999</c:v>
                </c:pt>
                <c:pt idx="129" formatCode="General">
                  <c:v>0.84</c:v>
                </c:pt>
                <c:pt idx="130" formatCode="General">
                  <c:v>0.88</c:v>
                </c:pt>
                <c:pt idx="131" formatCode="General">
                  <c:v>1.48</c:v>
                </c:pt>
                <c:pt idx="132" formatCode="General">
                  <c:v>4.46</c:v>
                </c:pt>
                <c:pt idx="133" formatCode="General">
                  <c:v>9.59</c:v>
                </c:pt>
                <c:pt idx="134" formatCode="General">
                  <c:v>10.42</c:v>
                </c:pt>
                <c:pt idx="135" formatCode="General">
                  <c:v>8.2100000000000009</c:v>
                </c:pt>
                <c:pt idx="136" formatCode="General">
                  <c:v>7.89</c:v>
                </c:pt>
                <c:pt idx="137" formatCode="General">
                  <c:v>8.31</c:v>
                </c:pt>
                <c:pt idx="138" formatCode="General">
                  <c:v>7.18</c:v>
                </c:pt>
                <c:pt idx="139" formatCode="General">
                  <c:v>5.39</c:v>
                </c:pt>
                <c:pt idx="140" formatCode="General">
                  <c:v>3.2730000000000001</c:v>
                </c:pt>
                <c:pt idx="141" formatCode="0.000">
                  <c:v>1.866346774193548</c:v>
                </c:pt>
                <c:pt idx="142" formatCode="0.000">
                  <c:v>2.5736666666666665</c:v>
                </c:pt>
                <c:pt idx="143" formatCode="0.000">
                  <c:v>4.2254838709677411</c:v>
                </c:pt>
                <c:pt idx="144" formatCode="0.000">
                  <c:v>9.7606451612903218</c:v>
                </c:pt>
                <c:pt idx="145" formatCode="0.000">
                  <c:v>10.080833333333333</c:v>
                </c:pt>
                <c:pt idx="146" formatCode="0.000">
                  <c:v>36.547256202863643</c:v>
                </c:pt>
                <c:pt idx="147" formatCode="0.000">
                  <c:v>32.240046804571428</c:v>
                </c:pt>
                <c:pt idx="148" formatCode="0.000">
                  <c:v>27.110274192903226</c:v>
                </c:pt>
                <c:pt idx="149" formatCode="0.000">
                  <c:v>14.956819390645162</c:v>
                </c:pt>
                <c:pt idx="150" formatCode="0.000">
                  <c:v>13.539577956677418</c:v>
                </c:pt>
                <c:pt idx="151" formatCode="0.000">
                  <c:v>7.7173709677096793</c:v>
                </c:pt>
                <c:pt idx="152" formatCode="0.000">
                  <c:v>0.92</c:v>
                </c:pt>
                <c:pt idx="153" formatCode="0.000">
                  <c:v>1.23</c:v>
                </c:pt>
                <c:pt idx="154" formatCode="0.000">
                  <c:v>1.32</c:v>
                </c:pt>
                <c:pt idx="155" formatCode="0.000">
                  <c:v>3.8780407852687659</c:v>
                </c:pt>
                <c:pt idx="156" formatCode="0.000">
                  <c:v>19.278204529800266</c:v>
                </c:pt>
                <c:pt idx="157" formatCode="0.000">
                  <c:v>13.630342203299291</c:v>
                </c:pt>
                <c:pt idx="158" formatCode="0.000">
                  <c:v>9.4355191514021168</c:v>
                </c:pt>
                <c:pt idx="159" formatCode="0.000">
                  <c:v>5.68</c:v>
                </c:pt>
                <c:pt idx="160" formatCode="0.000">
                  <c:v>4.67</c:v>
                </c:pt>
                <c:pt idx="161" formatCode="0.000">
                  <c:v>3.05</c:v>
                </c:pt>
                <c:pt idx="162" formatCode="0.000">
                  <c:v>2.09</c:v>
                </c:pt>
                <c:pt idx="163" formatCode="0.000">
                  <c:v>1.73</c:v>
                </c:pt>
                <c:pt idx="164" formatCode="0.000">
                  <c:v>1.4159999999999999</c:v>
                </c:pt>
                <c:pt idx="165" formatCode="0.000">
                  <c:v>1.165516</c:v>
                </c:pt>
                <c:pt idx="166" formatCode="0.000">
                  <c:v>1.05</c:v>
                </c:pt>
                <c:pt idx="167" formatCode="0.000">
                  <c:v>1.2566999999999999</c:v>
                </c:pt>
                <c:pt idx="168" formatCode="0.000">
                  <c:v>4.899</c:v>
                </c:pt>
                <c:pt idx="169" formatCode="0.000">
                  <c:v>5.13</c:v>
                </c:pt>
                <c:pt idx="170" formatCode="0.000">
                  <c:v>0.59887000000000001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8593-4BEB-924F-7B4F8DB1DA21}"/>
            </c:ext>
          </c:extLst>
        </c:ser>
        <c:ser>
          <c:idx val="1"/>
          <c:order val="1"/>
          <c:tx>
            <c:strRef>
              <c:f>'Crocodile workbook'!$C$1</c:f>
              <c:strCache>
                <c:ptCount val="1"/>
                <c:pt idx="0">
                  <c:v>Average Baseflow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'Crocodile workbook'!$A$2:$A$172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xVal>
          <c:yVal>
            <c:numRef>
              <c:f>'Crocodile workbook'!$C$2:$C$172</c:f>
              <c:numCache>
                <c:formatCode>0.000</c:formatCode>
                <c:ptCount val="171"/>
                <c:pt idx="0">
                  <c:v>5.1770030594737664</c:v>
                </c:pt>
                <c:pt idx="1">
                  <c:v>5.1770030594737664</c:v>
                </c:pt>
                <c:pt idx="2">
                  <c:v>5.1770030594737664</c:v>
                </c:pt>
                <c:pt idx="3">
                  <c:v>5.1770030594737664</c:v>
                </c:pt>
                <c:pt idx="4">
                  <c:v>5.1770030594737664</c:v>
                </c:pt>
                <c:pt idx="5">
                  <c:v>5.1770030594737664</c:v>
                </c:pt>
                <c:pt idx="6">
                  <c:v>5.1770030594737664</c:v>
                </c:pt>
                <c:pt idx="7">
                  <c:v>5.1770030594737664</c:v>
                </c:pt>
                <c:pt idx="8">
                  <c:v>5.1770030594737664</c:v>
                </c:pt>
                <c:pt idx="9">
                  <c:v>5.1770030594737664</c:v>
                </c:pt>
                <c:pt idx="10">
                  <c:v>5.1770030594737664</c:v>
                </c:pt>
                <c:pt idx="11">
                  <c:v>5.1770030594737664</c:v>
                </c:pt>
                <c:pt idx="12">
                  <c:v>5.1770030594737664</c:v>
                </c:pt>
                <c:pt idx="13">
                  <c:v>5.1770030594737664</c:v>
                </c:pt>
                <c:pt idx="14">
                  <c:v>5.1770030594737664</c:v>
                </c:pt>
                <c:pt idx="15">
                  <c:v>5.1770030594737664</c:v>
                </c:pt>
                <c:pt idx="16">
                  <c:v>5.1770030594737664</c:v>
                </c:pt>
                <c:pt idx="17">
                  <c:v>5.1770030594737664</c:v>
                </c:pt>
                <c:pt idx="18">
                  <c:v>5.1770030594737664</c:v>
                </c:pt>
                <c:pt idx="19">
                  <c:v>5.1770030594737664</c:v>
                </c:pt>
                <c:pt idx="20">
                  <c:v>5.1770030594737664</c:v>
                </c:pt>
                <c:pt idx="21">
                  <c:v>5.1770030594737664</c:v>
                </c:pt>
                <c:pt idx="22">
                  <c:v>5.1770030594737664</c:v>
                </c:pt>
                <c:pt idx="23">
                  <c:v>5.1770030594737664</c:v>
                </c:pt>
                <c:pt idx="24">
                  <c:v>5.1770030594737664</c:v>
                </c:pt>
                <c:pt idx="25">
                  <c:v>5.1770030594737664</c:v>
                </c:pt>
                <c:pt idx="26">
                  <c:v>5.1770030594737664</c:v>
                </c:pt>
                <c:pt idx="27">
                  <c:v>5.1770030594737664</c:v>
                </c:pt>
                <c:pt idx="28">
                  <c:v>5.1770030594737664</c:v>
                </c:pt>
                <c:pt idx="29">
                  <c:v>5.1770030594737664</c:v>
                </c:pt>
                <c:pt idx="30">
                  <c:v>5.1770030594737664</c:v>
                </c:pt>
                <c:pt idx="31">
                  <c:v>5.1770030594737664</c:v>
                </c:pt>
                <c:pt idx="32">
                  <c:v>5.1770030594737664</c:v>
                </c:pt>
                <c:pt idx="33">
                  <c:v>5.1770030594737664</c:v>
                </c:pt>
                <c:pt idx="34">
                  <c:v>5.1770030594737664</c:v>
                </c:pt>
                <c:pt idx="35">
                  <c:v>5.1770030594737664</c:v>
                </c:pt>
                <c:pt idx="36">
                  <c:v>5.1770030594737664</c:v>
                </c:pt>
                <c:pt idx="37">
                  <c:v>5.1770030594737664</c:v>
                </c:pt>
                <c:pt idx="38">
                  <c:v>5.1770030594737664</c:v>
                </c:pt>
                <c:pt idx="39">
                  <c:v>5.1770030594737664</c:v>
                </c:pt>
                <c:pt idx="40">
                  <c:v>5.1770030594737664</c:v>
                </c:pt>
                <c:pt idx="41">
                  <c:v>5.1770030594737664</c:v>
                </c:pt>
                <c:pt idx="42">
                  <c:v>5.1770030594737664</c:v>
                </c:pt>
                <c:pt idx="43">
                  <c:v>5.1770030594737664</c:v>
                </c:pt>
                <c:pt idx="44">
                  <c:v>5.1770030594737664</c:v>
                </c:pt>
                <c:pt idx="45">
                  <c:v>5.1770030594737664</c:v>
                </c:pt>
                <c:pt idx="46">
                  <c:v>5.1770030594737664</c:v>
                </c:pt>
                <c:pt idx="47">
                  <c:v>5.1770030594737664</c:v>
                </c:pt>
                <c:pt idx="48">
                  <c:v>5.1770030594737664</c:v>
                </c:pt>
                <c:pt idx="49">
                  <c:v>5.1770030594737664</c:v>
                </c:pt>
                <c:pt idx="50">
                  <c:v>5.1770030594737664</c:v>
                </c:pt>
                <c:pt idx="51">
                  <c:v>5.1770030594737664</c:v>
                </c:pt>
                <c:pt idx="52">
                  <c:v>5.1770030594737664</c:v>
                </c:pt>
                <c:pt idx="53">
                  <c:v>5.1770030594737664</c:v>
                </c:pt>
                <c:pt idx="54">
                  <c:v>5.1770030594737664</c:v>
                </c:pt>
                <c:pt idx="55">
                  <c:v>5.1770030594737664</c:v>
                </c:pt>
                <c:pt idx="56">
                  <c:v>5.1770030594737664</c:v>
                </c:pt>
                <c:pt idx="57">
                  <c:v>5.1770030594737664</c:v>
                </c:pt>
                <c:pt idx="58">
                  <c:v>5.1770030594737664</c:v>
                </c:pt>
                <c:pt idx="59">
                  <c:v>5.1770030594737664</c:v>
                </c:pt>
                <c:pt idx="60">
                  <c:v>5.1770030594737664</c:v>
                </c:pt>
                <c:pt idx="61">
                  <c:v>5.1770030594737664</c:v>
                </c:pt>
                <c:pt idx="62">
                  <c:v>5.1770030594737664</c:v>
                </c:pt>
                <c:pt idx="63">
                  <c:v>5.1770030594737664</c:v>
                </c:pt>
                <c:pt idx="64">
                  <c:v>5.1770030594737664</c:v>
                </c:pt>
                <c:pt idx="65">
                  <c:v>5.1770030594737664</c:v>
                </c:pt>
                <c:pt idx="66">
                  <c:v>5.1770030594737664</c:v>
                </c:pt>
                <c:pt idx="67">
                  <c:v>5.1770030594737664</c:v>
                </c:pt>
                <c:pt idx="68">
                  <c:v>5.1770030594737664</c:v>
                </c:pt>
                <c:pt idx="69">
                  <c:v>5.1770030594737664</c:v>
                </c:pt>
                <c:pt idx="70">
                  <c:v>5.1770030594737664</c:v>
                </c:pt>
                <c:pt idx="71">
                  <c:v>5.1770030594737664</c:v>
                </c:pt>
                <c:pt idx="72">
                  <c:v>5.1770030594737664</c:v>
                </c:pt>
                <c:pt idx="73">
                  <c:v>5.1770030594737664</c:v>
                </c:pt>
                <c:pt idx="74">
                  <c:v>5.1770030594737664</c:v>
                </c:pt>
                <c:pt idx="75">
                  <c:v>5.1770030594737664</c:v>
                </c:pt>
                <c:pt idx="76">
                  <c:v>5.1770030594737664</c:v>
                </c:pt>
                <c:pt idx="77">
                  <c:v>5.1770030594737664</c:v>
                </c:pt>
                <c:pt idx="78">
                  <c:v>5.1770030594737664</c:v>
                </c:pt>
                <c:pt idx="79">
                  <c:v>5.1770030594737664</c:v>
                </c:pt>
                <c:pt idx="80">
                  <c:v>5.1770030594737664</c:v>
                </c:pt>
                <c:pt idx="81">
                  <c:v>5.1770030594737664</c:v>
                </c:pt>
                <c:pt idx="82">
                  <c:v>5.1770030594737664</c:v>
                </c:pt>
                <c:pt idx="83">
                  <c:v>5.1770030594737664</c:v>
                </c:pt>
                <c:pt idx="84">
                  <c:v>5.1770030594737664</c:v>
                </c:pt>
                <c:pt idx="85">
                  <c:v>5.1770030594737664</c:v>
                </c:pt>
                <c:pt idx="86">
                  <c:v>5.1770030594737664</c:v>
                </c:pt>
                <c:pt idx="87">
                  <c:v>5.1770030594737664</c:v>
                </c:pt>
                <c:pt idx="88">
                  <c:v>5.1770030594737664</c:v>
                </c:pt>
                <c:pt idx="89">
                  <c:v>5.1770030594737664</c:v>
                </c:pt>
                <c:pt idx="90">
                  <c:v>5.1770030594737664</c:v>
                </c:pt>
                <c:pt idx="91">
                  <c:v>5.1770030594737664</c:v>
                </c:pt>
                <c:pt idx="92">
                  <c:v>5.1770030594737664</c:v>
                </c:pt>
                <c:pt idx="93">
                  <c:v>5.1770030594737664</c:v>
                </c:pt>
                <c:pt idx="94">
                  <c:v>5.1770030594737664</c:v>
                </c:pt>
                <c:pt idx="95">
                  <c:v>5.1770030594737664</c:v>
                </c:pt>
                <c:pt idx="96">
                  <c:v>5.1770030594737664</c:v>
                </c:pt>
                <c:pt idx="97">
                  <c:v>5.1770030594737664</c:v>
                </c:pt>
                <c:pt idx="98">
                  <c:v>5.1770030594737664</c:v>
                </c:pt>
                <c:pt idx="99">
                  <c:v>5.1770030594737664</c:v>
                </c:pt>
                <c:pt idx="100">
                  <c:v>5.1770030594737664</c:v>
                </c:pt>
                <c:pt idx="101">
                  <c:v>5.1770030594737664</c:v>
                </c:pt>
                <c:pt idx="102">
                  <c:v>5.1770030594737664</c:v>
                </c:pt>
                <c:pt idx="103">
                  <c:v>5.1770030594737664</c:v>
                </c:pt>
                <c:pt idx="104">
                  <c:v>5.1770030594737664</c:v>
                </c:pt>
                <c:pt idx="105">
                  <c:v>5.1770030594737664</c:v>
                </c:pt>
                <c:pt idx="106">
                  <c:v>5.1770030594737664</c:v>
                </c:pt>
                <c:pt idx="107">
                  <c:v>5.1770030594737664</c:v>
                </c:pt>
                <c:pt idx="108">
                  <c:v>5.1770030594737664</c:v>
                </c:pt>
                <c:pt idx="109">
                  <c:v>5.1770030594737664</c:v>
                </c:pt>
                <c:pt idx="110">
                  <c:v>5.1770030594737664</c:v>
                </c:pt>
                <c:pt idx="111">
                  <c:v>5.1770030594737664</c:v>
                </c:pt>
                <c:pt idx="112">
                  <c:v>5.1770030594737664</c:v>
                </c:pt>
                <c:pt idx="113">
                  <c:v>5.1770030594737664</c:v>
                </c:pt>
                <c:pt idx="114">
                  <c:v>5.1770030594737664</c:v>
                </c:pt>
                <c:pt idx="115">
                  <c:v>5.1770030594737664</c:v>
                </c:pt>
                <c:pt idx="116">
                  <c:v>5.1770030594737664</c:v>
                </c:pt>
                <c:pt idx="117">
                  <c:v>5.1770030594737664</c:v>
                </c:pt>
                <c:pt idx="118">
                  <c:v>5.1770030594737664</c:v>
                </c:pt>
                <c:pt idx="119">
                  <c:v>5.1770030594737664</c:v>
                </c:pt>
                <c:pt idx="120">
                  <c:v>5.1770030594737664</c:v>
                </c:pt>
                <c:pt idx="121">
                  <c:v>5.1770030594737664</c:v>
                </c:pt>
                <c:pt idx="122">
                  <c:v>5.1770030594737664</c:v>
                </c:pt>
                <c:pt idx="123">
                  <c:v>5.1770030594737664</c:v>
                </c:pt>
                <c:pt idx="124">
                  <c:v>5.1770030594737664</c:v>
                </c:pt>
                <c:pt idx="125">
                  <c:v>5.1770030594737664</c:v>
                </c:pt>
                <c:pt idx="126">
                  <c:v>5.1770030594737664</c:v>
                </c:pt>
                <c:pt idx="127">
                  <c:v>5.1770030594737664</c:v>
                </c:pt>
                <c:pt idx="128">
                  <c:v>5.1770030594737664</c:v>
                </c:pt>
                <c:pt idx="129">
                  <c:v>5.1770030594737664</c:v>
                </c:pt>
                <c:pt idx="130">
                  <c:v>5.1770030594737664</c:v>
                </c:pt>
                <c:pt idx="131">
                  <c:v>5.1770030594737664</c:v>
                </c:pt>
                <c:pt idx="132">
                  <c:v>5.1770030594737664</c:v>
                </c:pt>
                <c:pt idx="133">
                  <c:v>5.1770030594737664</c:v>
                </c:pt>
                <c:pt idx="134">
                  <c:v>5.1770030594737664</c:v>
                </c:pt>
                <c:pt idx="135">
                  <c:v>5.1770030594737664</c:v>
                </c:pt>
                <c:pt idx="136">
                  <c:v>5.1770030594737664</c:v>
                </c:pt>
                <c:pt idx="137">
                  <c:v>5.1770030594737664</c:v>
                </c:pt>
                <c:pt idx="138">
                  <c:v>5.1770030594737664</c:v>
                </c:pt>
                <c:pt idx="139">
                  <c:v>5.1770030594737664</c:v>
                </c:pt>
                <c:pt idx="140">
                  <c:v>5.1770030594737664</c:v>
                </c:pt>
                <c:pt idx="141">
                  <c:v>5.1770030594737664</c:v>
                </c:pt>
                <c:pt idx="142">
                  <c:v>5.1770030594737664</c:v>
                </c:pt>
                <c:pt idx="143">
                  <c:v>5.1770030594737664</c:v>
                </c:pt>
                <c:pt idx="144">
                  <c:v>5.1770030594737664</c:v>
                </c:pt>
                <c:pt idx="145">
                  <c:v>5.1770030594737664</c:v>
                </c:pt>
                <c:pt idx="146">
                  <c:v>5.1770030594737664</c:v>
                </c:pt>
                <c:pt idx="147">
                  <c:v>5.1770030594737664</c:v>
                </c:pt>
                <c:pt idx="148">
                  <c:v>5.1770030594737664</c:v>
                </c:pt>
                <c:pt idx="149">
                  <c:v>5.1770030594737664</c:v>
                </c:pt>
                <c:pt idx="150">
                  <c:v>5.1770030594737664</c:v>
                </c:pt>
                <c:pt idx="151">
                  <c:v>5.1770030594737664</c:v>
                </c:pt>
                <c:pt idx="152">
                  <c:v>5.1770030594737664</c:v>
                </c:pt>
                <c:pt idx="153">
                  <c:v>5.1770030594737664</c:v>
                </c:pt>
                <c:pt idx="154">
                  <c:v>5.1770030594737664</c:v>
                </c:pt>
                <c:pt idx="155">
                  <c:v>5.1770030594737664</c:v>
                </c:pt>
                <c:pt idx="156">
                  <c:v>5.1770030594737664</c:v>
                </c:pt>
                <c:pt idx="157">
                  <c:v>5.1770030594737664</c:v>
                </c:pt>
                <c:pt idx="158">
                  <c:v>5.1770030594737664</c:v>
                </c:pt>
                <c:pt idx="159">
                  <c:v>5.1770030594737664</c:v>
                </c:pt>
                <c:pt idx="160">
                  <c:v>5.1770030594737664</c:v>
                </c:pt>
                <c:pt idx="161">
                  <c:v>5.1770030594737664</c:v>
                </c:pt>
                <c:pt idx="162">
                  <c:v>5.1770030594737664</c:v>
                </c:pt>
                <c:pt idx="163">
                  <c:v>5.1770030594737664</c:v>
                </c:pt>
                <c:pt idx="164">
                  <c:v>5.1770030594737664</c:v>
                </c:pt>
                <c:pt idx="165">
                  <c:v>5.1770030594737664</c:v>
                </c:pt>
                <c:pt idx="166">
                  <c:v>5.1770030594737664</c:v>
                </c:pt>
                <c:pt idx="167">
                  <c:v>5.1770030594737664</c:v>
                </c:pt>
                <c:pt idx="168">
                  <c:v>5.1770030594737664</c:v>
                </c:pt>
                <c:pt idx="169">
                  <c:v>5.1770030594737664</c:v>
                </c:pt>
                <c:pt idx="170">
                  <c:v>5.1770030594737664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8593-4BEB-924F-7B4F8DB1DA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50932208"/>
        <c:axId val="1550931248"/>
        <c:extLst>
          <c:ext xmlns:c15="http://schemas.microsoft.com/office/drawing/2012/chart" uri="{02D57815-91ED-43cb-92C2-25804820EDAC}">
            <c15:filteredScatterSeries>
              <c15:ser>
                <c:idx val="4"/>
                <c:order val="2"/>
                <c:tx>
                  <c:strRef>
                    <c:extLst>
                      <c:ext uri="{02D57815-91ED-43cb-92C2-25804820EDAC}">
                        <c15:formulaRef>
                          <c15:sqref>'Crocodile workbook'!$F$1</c15:sqref>
                        </c15:formulaRef>
                      </c:ext>
                    </c:extLst>
                    <c:strCache>
                      <c:ptCount val="1"/>
                      <c:pt idx="0">
                        <c:v>Standardized Baseflow</c:v>
                      </c:pt>
                    </c:strCache>
                  </c:strRef>
                </c:tx>
                <c:spPr>
                  <a:ln w="1905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xVal>
                  <c:numRef>
                    <c:extLst>
                      <c:ext uri="{02D57815-91ED-43cb-92C2-25804820EDAC}">
                        <c15:formulaRef>
                          <c15:sqref>'Crocodile workbook'!$A$2:$A$172</c15:sqref>
                        </c15:formulaRef>
                      </c:ext>
                    </c:extLst>
                    <c:numCache>
                      <c:formatCode>yyyy/mm</c:formatCode>
                      <c:ptCount val="171"/>
                      <c:pt idx="0">
                        <c:v>40553</c:v>
                      </c:pt>
                      <c:pt idx="1">
                        <c:v>40584</c:v>
                      </c:pt>
                      <c:pt idx="2">
                        <c:v>40612</c:v>
                      </c:pt>
                      <c:pt idx="3">
                        <c:v>40643</c:v>
                      </c:pt>
                      <c:pt idx="4">
                        <c:v>40673</c:v>
                      </c:pt>
                      <c:pt idx="5">
                        <c:v>40704</c:v>
                      </c:pt>
                      <c:pt idx="6">
                        <c:v>40734</c:v>
                      </c:pt>
                      <c:pt idx="7">
                        <c:v>40765</c:v>
                      </c:pt>
                      <c:pt idx="8">
                        <c:v>40796</c:v>
                      </c:pt>
                      <c:pt idx="9">
                        <c:v>40826</c:v>
                      </c:pt>
                      <c:pt idx="10">
                        <c:v>40857</c:v>
                      </c:pt>
                      <c:pt idx="11">
                        <c:v>40887</c:v>
                      </c:pt>
                      <c:pt idx="12">
                        <c:v>40918</c:v>
                      </c:pt>
                      <c:pt idx="13">
                        <c:v>40949</c:v>
                      </c:pt>
                      <c:pt idx="14">
                        <c:v>40978</c:v>
                      </c:pt>
                      <c:pt idx="15">
                        <c:v>41009</c:v>
                      </c:pt>
                      <c:pt idx="16">
                        <c:v>41039</c:v>
                      </c:pt>
                      <c:pt idx="17">
                        <c:v>41070</c:v>
                      </c:pt>
                      <c:pt idx="18">
                        <c:v>41100</c:v>
                      </c:pt>
                      <c:pt idx="19">
                        <c:v>41131</c:v>
                      </c:pt>
                      <c:pt idx="20">
                        <c:v>41162</c:v>
                      </c:pt>
                      <c:pt idx="21">
                        <c:v>41192</c:v>
                      </c:pt>
                      <c:pt idx="22">
                        <c:v>41223</c:v>
                      </c:pt>
                      <c:pt idx="23">
                        <c:v>41253</c:v>
                      </c:pt>
                      <c:pt idx="24">
                        <c:v>41284</c:v>
                      </c:pt>
                      <c:pt idx="25">
                        <c:v>41315</c:v>
                      </c:pt>
                      <c:pt idx="26">
                        <c:v>41343</c:v>
                      </c:pt>
                      <c:pt idx="27">
                        <c:v>41374</c:v>
                      </c:pt>
                      <c:pt idx="28">
                        <c:v>41404</c:v>
                      </c:pt>
                      <c:pt idx="29">
                        <c:v>41435</c:v>
                      </c:pt>
                      <c:pt idx="30">
                        <c:v>41465</c:v>
                      </c:pt>
                      <c:pt idx="31">
                        <c:v>41496</c:v>
                      </c:pt>
                      <c:pt idx="32">
                        <c:v>41527</c:v>
                      </c:pt>
                      <c:pt idx="33">
                        <c:v>41557</c:v>
                      </c:pt>
                      <c:pt idx="34">
                        <c:v>41588</c:v>
                      </c:pt>
                      <c:pt idx="35">
                        <c:v>41618</c:v>
                      </c:pt>
                      <c:pt idx="36">
                        <c:v>41649</c:v>
                      </c:pt>
                      <c:pt idx="37">
                        <c:v>41680</c:v>
                      </c:pt>
                      <c:pt idx="38">
                        <c:v>41708</c:v>
                      </c:pt>
                      <c:pt idx="39">
                        <c:v>41739</c:v>
                      </c:pt>
                      <c:pt idx="40">
                        <c:v>41769</c:v>
                      </c:pt>
                      <c:pt idx="41">
                        <c:v>41800</c:v>
                      </c:pt>
                      <c:pt idx="42">
                        <c:v>41830</c:v>
                      </c:pt>
                      <c:pt idx="43">
                        <c:v>41861</c:v>
                      </c:pt>
                      <c:pt idx="44">
                        <c:v>41892</c:v>
                      </c:pt>
                      <c:pt idx="45">
                        <c:v>41922</c:v>
                      </c:pt>
                      <c:pt idx="46">
                        <c:v>41953</c:v>
                      </c:pt>
                      <c:pt idx="47">
                        <c:v>41983</c:v>
                      </c:pt>
                      <c:pt idx="48">
                        <c:v>42014</c:v>
                      </c:pt>
                      <c:pt idx="49">
                        <c:v>42045</c:v>
                      </c:pt>
                      <c:pt idx="50">
                        <c:v>42073</c:v>
                      </c:pt>
                      <c:pt idx="51">
                        <c:v>42104</c:v>
                      </c:pt>
                      <c:pt idx="52">
                        <c:v>42134</c:v>
                      </c:pt>
                      <c:pt idx="53">
                        <c:v>42165</c:v>
                      </c:pt>
                      <c:pt idx="54">
                        <c:v>42195</c:v>
                      </c:pt>
                      <c:pt idx="55">
                        <c:v>42226</c:v>
                      </c:pt>
                      <c:pt idx="56">
                        <c:v>42257</c:v>
                      </c:pt>
                      <c:pt idx="57">
                        <c:v>42287</c:v>
                      </c:pt>
                      <c:pt idx="58">
                        <c:v>42318</c:v>
                      </c:pt>
                      <c:pt idx="59">
                        <c:v>42348</c:v>
                      </c:pt>
                      <c:pt idx="60">
                        <c:v>42379</c:v>
                      </c:pt>
                      <c:pt idx="61">
                        <c:v>42410</c:v>
                      </c:pt>
                      <c:pt idx="62">
                        <c:v>42439</c:v>
                      </c:pt>
                      <c:pt idx="63">
                        <c:v>42470</c:v>
                      </c:pt>
                      <c:pt idx="64">
                        <c:v>42500</c:v>
                      </c:pt>
                      <c:pt idx="65">
                        <c:v>42531</c:v>
                      </c:pt>
                      <c:pt idx="66">
                        <c:v>42561</c:v>
                      </c:pt>
                      <c:pt idx="67">
                        <c:v>42592</c:v>
                      </c:pt>
                      <c:pt idx="68">
                        <c:v>42623</c:v>
                      </c:pt>
                      <c:pt idx="69">
                        <c:v>42653</c:v>
                      </c:pt>
                      <c:pt idx="70">
                        <c:v>42684</c:v>
                      </c:pt>
                      <c:pt idx="71">
                        <c:v>42714</c:v>
                      </c:pt>
                      <c:pt idx="72">
                        <c:v>42745</c:v>
                      </c:pt>
                      <c:pt idx="73">
                        <c:v>42776</c:v>
                      </c:pt>
                      <c:pt idx="74">
                        <c:v>42804</c:v>
                      </c:pt>
                      <c:pt idx="75">
                        <c:v>42835</c:v>
                      </c:pt>
                      <c:pt idx="76">
                        <c:v>42865</c:v>
                      </c:pt>
                      <c:pt idx="77">
                        <c:v>42896</c:v>
                      </c:pt>
                      <c:pt idx="78">
                        <c:v>42926</c:v>
                      </c:pt>
                      <c:pt idx="79">
                        <c:v>42957</c:v>
                      </c:pt>
                      <c:pt idx="80">
                        <c:v>42988</c:v>
                      </c:pt>
                      <c:pt idx="81">
                        <c:v>43018</c:v>
                      </c:pt>
                      <c:pt idx="82">
                        <c:v>43049</c:v>
                      </c:pt>
                      <c:pt idx="83">
                        <c:v>43079</c:v>
                      </c:pt>
                      <c:pt idx="84">
                        <c:v>43110</c:v>
                      </c:pt>
                      <c:pt idx="85">
                        <c:v>43141</c:v>
                      </c:pt>
                      <c:pt idx="86">
                        <c:v>43169</c:v>
                      </c:pt>
                      <c:pt idx="87">
                        <c:v>43200</c:v>
                      </c:pt>
                      <c:pt idx="88">
                        <c:v>43230</c:v>
                      </c:pt>
                      <c:pt idx="89">
                        <c:v>43261</c:v>
                      </c:pt>
                      <c:pt idx="90">
                        <c:v>43291</c:v>
                      </c:pt>
                      <c:pt idx="91">
                        <c:v>43322</c:v>
                      </c:pt>
                      <c:pt idx="92">
                        <c:v>43353</c:v>
                      </c:pt>
                      <c:pt idx="93">
                        <c:v>43383</c:v>
                      </c:pt>
                      <c:pt idx="94">
                        <c:v>43414</c:v>
                      </c:pt>
                      <c:pt idx="95">
                        <c:v>43444</c:v>
                      </c:pt>
                      <c:pt idx="96">
                        <c:v>43475</c:v>
                      </c:pt>
                      <c:pt idx="97">
                        <c:v>43506</c:v>
                      </c:pt>
                      <c:pt idx="98">
                        <c:v>43534</c:v>
                      </c:pt>
                      <c:pt idx="99">
                        <c:v>43565</c:v>
                      </c:pt>
                      <c:pt idx="100">
                        <c:v>43595</c:v>
                      </c:pt>
                      <c:pt idx="101">
                        <c:v>43626</c:v>
                      </c:pt>
                      <c:pt idx="102">
                        <c:v>43656</c:v>
                      </c:pt>
                      <c:pt idx="103">
                        <c:v>43687</c:v>
                      </c:pt>
                      <c:pt idx="104">
                        <c:v>43718</c:v>
                      </c:pt>
                      <c:pt idx="105">
                        <c:v>43748</c:v>
                      </c:pt>
                      <c:pt idx="106">
                        <c:v>43779</c:v>
                      </c:pt>
                      <c:pt idx="107">
                        <c:v>43809</c:v>
                      </c:pt>
                      <c:pt idx="108">
                        <c:v>43840</c:v>
                      </c:pt>
                      <c:pt idx="109">
                        <c:v>43871</c:v>
                      </c:pt>
                      <c:pt idx="110">
                        <c:v>43900</c:v>
                      </c:pt>
                      <c:pt idx="111">
                        <c:v>43931</c:v>
                      </c:pt>
                      <c:pt idx="112">
                        <c:v>43961</c:v>
                      </c:pt>
                      <c:pt idx="113">
                        <c:v>43992</c:v>
                      </c:pt>
                      <c:pt idx="114">
                        <c:v>44022</c:v>
                      </c:pt>
                      <c:pt idx="115">
                        <c:v>44053</c:v>
                      </c:pt>
                      <c:pt idx="116">
                        <c:v>44084</c:v>
                      </c:pt>
                      <c:pt idx="117">
                        <c:v>44114</c:v>
                      </c:pt>
                      <c:pt idx="118">
                        <c:v>44145</c:v>
                      </c:pt>
                      <c:pt idx="119">
                        <c:v>44175</c:v>
                      </c:pt>
                      <c:pt idx="120">
                        <c:v>44206</c:v>
                      </c:pt>
                      <c:pt idx="121">
                        <c:v>44237</c:v>
                      </c:pt>
                      <c:pt idx="122">
                        <c:v>44265</c:v>
                      </c:pt>
                      <c:pt idx="123">
                        <c:v>44296</c:v>
                      </c:pt>
                      <c:pt idx="124">
                        <c:v>44326</c:v>
                      </c:pt>
                      <c:pt idx="125">
                        <c:v>44357</c:v>
                      </c:pt>
                      <c:pt idx="126">
                        <c:v>44387</c:v>
                      </c:pt>
                      <c:pt idx="127">
                        <c:v>44418</c:v>
                      </c:pt>
                      <c:pt idx="128">
                        <c:v>44449</c:v>
                      </c:pt>
                      <c:pt idx="129">
                        <c:v>44479</c:v>
                      </c:pt>
                      <c:pt idx="130">
                        <c:v>44510</c:v>
                      </c:pt>
                      <c:pt idx="131">
                        <c:v>44540</c:v>
                      </c:pt>
                      <c:pt idx="132">
                        <c:v>44571</c:v>
                      </c:pt>
                      <c:pt idx="133">
                        <c:v>44602</c:v>
                      </c:pt>
                      <c:pt idx="134">
                        <c:v>44630</c:v>
                      </c:pt>
                      <c:pt idx="135">
                        <c:v>44661</c:v>
                      </c:pt>
                      <c:pt idx="136">
                        <c:v>44691</c:v>
                      </c:pt>
                      <c:pt idx="137">
                        <c:v>44722</c:v>
                      </c:pt>
                      <c:pt idx="138">
                        <c:v>44752</c:v>
                      </c:pt>
                      <c:pt idx="139">
                        <c:v>44783</c:v>
                      </c:pt>
                      <c:pt idx="140">
                        <c:v>44814</c:v>
                      </c:pt>
                      <c:pt idx="141">
                        <c:v>44844</c:v>
                      </c:pt>
                      <c:pt idx="142">
                        <c:v>44875</c:v>
                      </c:pt>
                      <c:pt idx="143">
                        <c:v>44905</c:v>
                      </c:pt>
                      <c:pt idx="144">
                        <c:v>44936</c:v>
                      </c:pt>
                      <c:pt idx="145">
                        <c:v>44967</c:v>
                      </c:pt>
                      <c:pt idx="146">
                        <c:v>44995</c:v>
                      </c:pt>
                      <c:pt idx="147">
                        <c:v>45026</c:v>
                      </c:pt>
                      <c:pt idx="148">
                        <c:v>45056</c:v>
                      </c:pt>
                      <c:pt idx="149">
                        <c:v>45087</c:v>
                      </c:pt>
                      <c:pt idx="150">
                        <c:v>45117</c:v>
                      </c:pt>
                      <c:pt idx="151">
                        <c:v>45148</c:v>
                      </c:pt>
                      <c:pt idx="152">
                        <c:v>45179</c:v>
                      </c:pt>
                      <c:pt idx="153">
                        <c:v>45209</c:v>
                      </c:pt>
                      <c:pt idx="154">
                        <c:v>45240</c:v>
                      </c:pt>
                      <c:pt idx="155">
                        <c:v>45270</c:v>
                      </c:pt>
                      <c:pt idx="156">
                        <c:v>45301</c:v>
                      </c:pt>
                      <c:pt idx="157">
                        <c:v>45332</c:v>
                      </c:pt>
                      <c:pt idx="158">
                        <c:v>45361</c:v>
                      </c:pt>
                      <c:pt idx="159">
                        <c:v>45392</c:v>
                      </c:pt>
                      <c:pt idx="160">
                        <c:v>45422</c:v>
                      </c:pt>
                      <c:pt idx="161">
                        <c:v>45453</c:v>
                      </c:pt>
                      <c:pt idx="162">
                        <c:v>45483</c:v>
                      </c:pt>
                      <c:pt idx="163">
                        <c:v>45514</c:v>
                      </c:pt>
                      <c:pt idx="164">
                        <c:v>45545</c:v>
                      </c:pt>
                      <c:pt idx="165">
                        <c:v>45575</c:v>
                      </c:pt>
                      <c:pt idx="166">
                        <c:v>45606</c:v>
                      </c:pt>
                      <c:pt idx="167">
                        <c:v>45636</c:v>
                      </c:pt>
                      <c:pt idx="168">
                        <c:v>45667</c:v>
                      </c:pt>
                      <c:pt idx="169">
                        <c:v>45698</c:v>
                      </c:pt>
                      <c:pt idx="170">
                        <c:v>45735</c:v>
                      </c:pt>
                    </c:numCache>
                  </c:numRef>
                </c:xVal>
                <c:yVal>
                  <c:numRef>
                    <c:extLst>
                      <c:ext uri="{02D57815-91ED-43cb-92C2-25804820EDAC}">
                        <c15:formulaRef>
                          <c15:sqref>'Crocodile workbook'!$F$2:$F$172</c15:sqref>
                        </c15:formulaRef>
                      </c:ext>
                    </c:extLst>
                    <c:numCache>
                      <c:formatCode>0.000</c:formatCode>
                      <c:ptCount val="171"/>
                      <c:pt idx="0">
                        <c:v>-0.76166163801173725</c:v>
                      </c:pt>
                      <c:pt idx="1">
                        <c:v>1.4506578111588104</c:v>
                      </c:pt>
                      <c:pt idx="2">
                        <c:v>1.3426645326079469</c:v>
                      </c:pt>
                      <c:pt idx="3">
                        <c:v>0.92611902962604464</c:v>
                      </c:pt>
                      <c:pt idx="4">
                        <c:v>0.85515201800690588</c:v>
                      </c:pt>
                      <c:pt idx="5">
                        <c:v>0.52808666011000471</c:v>
                      </c:pt>
                      <c:pt idx="6">
                        <c:v>0.17787988538077576</c:v>
                      </c:pt>
                      <c:pt idx="7">
                        <c:v>-7.9761222019141598E-2</c:v>
                      </c:pt>
                      <c:pt idx="8">
                        <c:v>-0.25255046770052331</c:v>
                      </c:pt>
                      <c:pt idx="9">
                        <c:v>-0.41608314664897383</c:v>
                      </c:pt>
                      <c:pt idx="10">
                        <c:v>-0.41916866889328425</c:v>
                      </c:pt>
                      <c:pt idx="11">
                        <c:v>-0.45002389133638815</c:v>
                      </c:pt>
                      <c:pt idx="12">
                        <c:v>-0.31426091258673106</c:v>
                      </c:pt>
                      <c:pt idx="13">
                        <c:v>2.0955319602196818</c:v>
                      </c:pt>
                      <c:pt idx="14">
                        <c:v>1.5648221341982951</c:v>
                      </c:pt>
                      <c:pt idx="15">
                        <c:v>0.7595008284332837</c:v>
                      </c:pt>
                      <c:pt idx="16">
                        <c:v>0.25501794148853546</c:v>
                      </c:pt>
                      <c:pt idx="17">
                        <c:v>-0.46221170420141416</c:v>
                      </c:pt>
                      <c:pt idx="18">
                        <c:v>-0.35900098512923168</c:v>
                      </c:pt>
                      <c:pt idx="19">
                        <c:v>-0.51790538071121661</c:v>
                      </c:pt>
                      <c:pt idx="20">
                        <c:v>-0.66323347841823588</c:v>
                      </c:pt>
                      <c:pt idx="21">
                        <c:v>-0.41299762440466348</c:v>
                      </c:pt>
                      <c:pt idx="22">
                        <c:v>-0.16152756149336692</c:v>
                      </c:pt>
                      <c:pt idx="23">
                        <c:v>-7.204741640836565E-2</c:v>
                      </c:pt>
                      <c:pt idx="24">
                        <c:v>0.23804756914482825</c:v>
                      </c:pt>
                      <c:pt idx="25">
                        <c:v>2.239008744580115</c:v>
                      </c:pt>
                      <c:pt idx="26">
                        <c:v>2.7465771537691737</c:v>
                      </c:pt>
                      <c:pt idx="27">
                        <c:v>-0.79868790494346187</c:v>
                      </c:pt>
                      <c:pt idx="28">
                        <c:v>2.0646767377765776</c:v>
                      </c:pt>
                      <c:pt idx="29">
                        <c:v>1.2192436428355315</c:v>
                      </c:pt>
                      <c:pt idx="30">
                        <c:v>0.57745501601897087</c:v>
                      </c:pt>
                      <c:pt idx="31">
                        <c:v>0.15782399079275825</c:v>
                      </c:pt>
                      <c:pt idx="32">
                        <c:v>-0.30053033859954981</c:v>
                      </c:pt>
                      <c:pt idx="33">
                        <c:v>-0.38985620757233558</c:v>
                      </c:pt>
                      <c:pt idx="34">
                        <c:v>-0.42225419113759466</c:v>
                      </c:pt>
                      <c:pt idx="35">
                        <c:v>-0.39294172981664599</c:v>
                      </c:pt>
                      <c:pt idx="36">
                        <c:v>0.48643210981181451</c:v>
                      </c:pt>
                      <c:pt idx="37">
                        <c:v>0.56665568816388456</c:v>
                      </c:pt>
                      <c:pt idx="38">
                        <c:v>0.8520664957625953</c:v>
                      </c:pt>
                      <c:pt idx="39">
                        <c:v>4.3325355873447124</c:v>
                      </c:pt>
                      <c:pt idx="40">
                        <c:v>3.0643859449331434</c:v>
                      </c:pt>
                      <c:pt idx="41">
                        <c:v>1.8564039862856268</c:v>
                      </c:pt>
                      <c:pt idx="42">
                        <c:v>1.120506931017599</c:v>
                      </c:pt>
                      <c:pt idx="43">
                        <c:v>0.51111628776629758</c:v>
                      </c:pt>
                      <c:pt idx="44">
                        <c:v>-2.5764582743709869E-2</c:v>
                      </c:pt>
                      <c:pt idx="45">
                        <c:v>-0.2355800953568162</c:v>
                      </c:pt>
                      <c:pt idx="46">
                        <c:v>-0.36054374625138691</c:v>
                      </c:pt>
                      <c:pt idx="47">
                        <c:v>-0.36054374625138691</c:v>
                      </c:pt>
                      <c:pt idx="48">
                        <c:v>-2.8850104988020191E-2</c:v>
                      </c:pt>
                      <c:pt idx="49">
                        <c:v>-1.342249376646831E-2</c:v>
                      </c:pt>
                      <c:pt idx="50">
                        <c:v>6.6801084585601841E-2</c:v>
                      </c:pt>
                      <c:pt idx="51">
                        <c:v>-0.11524472782871112</c:v>
                      </c:pt>
                      <c:pt idx="52">
                        <c:v>-0.23712285647897136</c:v>
                      </c:pt>
                      <c:pt idx="53">
                        <c:v>-0.40219829654957712</c:v>
                      </c:pt>
                      <c:pt idx="54">
                        <c:v>-0.52099090295552708</c:v>
                      </c:pt>
                      <c:pt idx="55">
                        <c:v>-0.60275724242975226</c:v>
                      </c:pt>
                      <c:pt idx="56">
                        <c:v>-0.65366835946087365</c:v>
                      </c:pt>
                      <c:pt idx="57">
                        <c:v>-0.67372425404889125</c:v>
                      </c:pt>
                      <c:pt idx="58">
                        <c:v>-0.70766499873630551</c:v>
                      </c:pt>
                      <c:pt idx="59">
                        <c:v>-0.7230926099578574</c:v>
                      </c:pt>
                      <c:pt idx="60">
                        <c:v>-0.73805739284276284</c:v>
                      </c:pt>
                      <c:pt idx="61">
                        <c:v>-0.73389193781294382</c:v>
                      </c:pt>
                      <c:pt idx="62">
                        <c:v>-0.74777678791234048</c:v>
                      </c:pt>
                      <c:pt idx="63">
                        <c:v>-0.65675388170518412</c:v>
                      </c:pt>
                      <c:pt idx="64">
                        <c:v>-0.69840843200337421</c:v>
                      </c:pt>
                      <c:pt idx="65">
                        <c:v>-0.72926365444647812</c:v>
                      </c:pt>
                      <c:pt idx="66">
                        <c:v>-0.75873039187964231</c:v>
                      </c:pt>
                      <c:pt idx="67">
                        <c:v>-0.76166163801173725</c:v>
                      </c:pt>
                      <c:pt idx="68">
                        <c:v>-0.7693754436225132</c:v>
                      </c:pt>
                      <c:pt idx="69">
                        <c:v>-0.77246096586682367</c:v>
                      </c:pt>
                      <c:pt idx="70">
                        <c:v>-0.77400372698897879</c:v>
                      </c:pt>
                      <c:pt idx="71">
                        <c:v>-0.68606634302613279</c:v>
                      </c:pt>
                      <c:pt idx="72">
                        <c:v>-0.53641851417707898</c:v>
                      </c:pt>
                      <c:pt idx="73">
                        <c:v>-5.3534282942503314E-2</c:v>
                      </c:pt>
                      <c:pt idx="74">
                        <c:v>0.46946173746810743</c:v>
                      </c:pt>
                      <c:pt idx="75">
                        <c:v>0.50340248215552152</c:v>
                      </c:pt>
                      <c:pt idx="76">
                        <c:v>0.11462667937241278</c:v>
                      </c:pt>
                      <c:pt idx="77">
                        <c:v>-0.10444539997362472</c:v>
                      </c:pt>
                      <c:pt idx="78">
                        <c:v>-0.32475168821738637</c:v>
                      </c:pt>
                      <c:pt idx="79">
                        <c:v>-0.48396463602380235</c:v>
                      </c:pt>
                      <c:pt idx="80">
                        <c:v>-0.58578687008604524</c:v>
                      </c:pt>
                      <c:pt idx="81">
                        <c:v>-0.65366835946087365</c:v>
                      </c:pt>
                      <c:pt idx="82">
                        <c:v>-0.64749731497225305</c:v>
                      </c:pt>
                      <c:pt idx="83">
                        <c:v>-0.57807306447526929</c:v>
                      </c:pt>
                      <c:pt idx="84">
                        <c:v>-0.25563598994483372</c:v>
                      </c:pt>
                      <c:pt idx="85">
                        <c:v>-0.34357337390767972</c:v>
                      </c:pt>
                      <c:pt idx="86">
                        <c:v>-0.31580367370888629</c:v>
                      </c:pt>
                      <c:pt idx="87">
                        <c:v>-0.30500434585379987</c:v>
                      </c:pt>
                      <c:pt idx="88">
                        <c:v>-0.20163935066940192</c:v>
                      </c:pt>
                      <c:pt idx="89">
                        <c:v>-0.33123128493043824</c:v>
                      </c:pt>
                      <c:pt idx="90">
                        <c:v>-0.46082321919147451</c:v>
                      </c:pt>
                      <c:pt idx="91">
                        <c:v>-0.56727373662018288</c:v>
                      </c:pt>
                      <c:pt idx="92">
                        <c:v>-0.63206970375070093</c:v>
                      </c:pt>
                      <c:pt idx="93">
                        <c:v>-0.6768097762932016</c:v>
                      </c:pt>
                      <c:pt idx="94">
                        <c:v>-0.69995119312552956</c:v>
                      </c:pt>
                      <c:pt idx="95">
                        <c:v>-0.70920775985846063</c:v>
                      </c:pt>
                      <c:pt idx="96">
                        <c:v>-0.67218149292673601</c:v>
                      </c:pt>
                      <c:pt idx="97">
                        <c:v>-0.53487575305492374</c:v>
                      </c:pt>
                      <c:pt idx="98">
                        <c:v>-0.31426091258673106</c:v>
                      </c:pt>
                      <c:pt idx="99">
                        <c:v>-0.38368516308371481</c:v>
                      </c:pt>
                      <c:pt idx="100">
                        <c:v>-0.36980031298431809</c:v>
                      </c:pt>
                      <c:pt idx="101">
                        <c:v>-0.52407642519983744</c:v>
                      </c:pt>
                      <c:pt idx="102">
                        <c:v>-0.61509933140699391</c:v>
                      </c:pt>
                      <c:pt idx="103">
                        <c:v>-0.68097523132302062</c:v>
                      </c:pt>
                      <c:pt idx="104">
                        <c:v>-0.71692156546923658</c:v>
                      </c:pt>
                      <c:pt idx="105">
                        <c:v>-0.73543469893509894</c:v>
                      </c:pt>
                      <c:pt idx="106">
                        <c:v>-0.75749618298191823</c:v>
                      </c:pt>
                      <c:pt idx="107">
                        <c:v>-0.72772089332432299</c:v>
                      </c:pt>
                      <c:pt idx="108">
                        <c:v>-0.75934749632850451</c:v>
                      </c:pt>
                      <c:pt idx="109">
                        <c:v>-0.58578687008604524</c:v>
                      </c:pt>
                      <c:pt idx="110">
                        <c:v>-0.46545150255794004</c:v>
                      </c:pt>
                      <c:pt idx="111">
                        <c:v>-0.49322120275673353</c:v>
                      </c:pt>
                      <c:pt idx="112">
                        <c:v>-0.47007978592440564</c:v>
                      </c:pt>
                      <c:pt idx="113">
                        <c:v>-0.55647440876509646</c:v>
                      </c:pt>
                      <c:pt idx="114">
                        <c:v>-0.61509933140699391</c:v>
                      </c:pt>
                      <c:pt idx="115">
                        <c:v>-0.67063873180458078</c:v>
                      </c:pt>
                      <c:pt idx="116">
                        <c:v>-0.70766499873630551</c:v>
                      </c:pt>
                      <c:pt idx="117">
                        <c:v>-0.72772089332432299</c:v>
                      </c:pt>
                      <c:pt idx="118">
                        <c:v>-0.70519658094085713</c:v>
                      </c:pt>
                      <c:pt idx="119">
                        <c:v>-0.7122932821027711</c:v>
                      </c:pt>
                      <c:pt idx="120">
                        <c:v>-0.68143805965966719</c:v>
                      </c:pt>
                      <c:pt idx="121">
                        <c:v>-0.79868790494346187</c:v>
                      </c:pt>
                      <c:pt idx="122">
                        <c:v>-0.79868790494346187</c:v>
                      </c:pt>
                      <c:pt idx="123">
                        <c:v>0.13005429059396467</c:v>
                      </c:pt>
                      <c:pt idx="124">
                        <c:v>9.7189230658596519E-3</c:v>
                      </c:pt>
                      <c:pt idx="125">
                        <c:v>-0.18004069495922925</c:v>
                      </c:pt>
                      <c:pt idx="126">
                        <c:v>-0.31888919595319665</c:v>
                      </c:pt>
                      <c:pt idx="127">
                        <c:v>-0.58624969842269181</c:v>
                      </c:pt>
                      <c:pt idx="128">
                        <c:v>-0.64178909882027868</c:v>
                      </c:pt>
                      <c:pt idx="129">
                        <c:v>-0.66909597068242566</c:v>
                      </c:pt>
                      <c:pt idx="130">
                        <c:v>-0.66292492619380483</c:v>
                      </c:pt>
                      <c:pt idx="131">
                        <c:v>-0.57035925886449323</c:v>
                      </c:pt>
                      <c:pt idx="132">
                        <c:v>-0.1106164444622455</c:v>
                      </c:pt>
                      <c:pt idx="133">
                        <c:v>0.68082001120336888</c:v>
                      </c:pt>
                      <c:pt idx="134">
                        <c:v>0.80886918434224997</c:v>
                      </c:pt>
                      <c:pt idx="135">
                        <c:v>0.46791897634595231</c:v>
                      </c:pt>
                      <c:pt idx="136">
                        <c:v>0.41855062043698593</c:v>
                      </c:pt>
                      <c:pt idx="137">
                        <c:v>0.4833465875675042</c:v>
                      </c:pt>
                      <c:pt idx="138">
                        <c:v>0.30901458076396715</c:v>
                      </c:pt>
                      <c:pt idx="139">
                        <c:v>3.2860339898187478E-2</c:v>
                      </c:pt>
                      <c:pt idx="140">
                        <c:v>-0.293742189662067</c:v>
                      </c:pt>
                      <c:pt idx="141">
                        <c:v>-0.51075518057490554</c:v>
                      </c:pt>
                      <c:pt idx="142">
                        <c:v>-0.40163261747145357</c:v>
                      </c:pt>
                      <c:pt idx="143">
                        <c:v>-0.1467966811011755</c:v>
                      </c:pt>
                      <c:pt idx="144">
                        <c:v>0.70714648325563001</c:v>
                      </c:pt>
                      <c:pt idx="145">
                        <c:v>0.75654386961581954</c:v>
                      </c:pt>
                      <c:pt idx="146">
                        <c:v>4.8396806941788659</c:v>
                      </c:pt>
                      <c:pt idx="147">
                        <c:v>4.1751811737121969</c:v>
                      </c:pt>
                      <c:pt idx="148">
                        <c:v>3.3837797986343752</c:v>
                      </c:pt>
                      <c:pt idx="149">
                        <c:v>1.5087920417549674</c:v>
                      </c:pt>
                      <c:pt idx="150">
                        <c:v>1.2901455432516757</c:v>
                      </c:pt>
                      <c:pt idx="151">
                        <c:v>0.39191808447970794</c:v>
                      </c:pt>
                      <c:pt idx="152">
                        <c:v>-0.65675388170518412</c:v>
                      </c:pt>
                      <c:pt idx="153">
                        <c:v>-0.60892828691837309</c:v>
                      </c:pt>
                      <c:pt idx="154">
                        <c:v>-0.59504343681897631</c:v>
                      </c:pt>
                      <c:pt idx="155">
                        <c:v>-0.20039884957897688</c:v>
                      </c:pt>
                      <c:pt idx="156">
                        <c:v>2.1754785404097379</c:v>
                      </c:pt>
                      <c:pt idx="157">
                        <c:v>1.304148298348669</c:v>
                      </c:pt>
                      <c:pt idx="158">
                        <c:v>0.6569873064699332</c:v>
                      </c:pt>
                      <c:pt idx="159">
                        <c:v>7.7600412440688105E-2</c:v>
                      </c:pt>
                      <c:pt idx="160">
                        <c:v>-7.8218460896986433E-2</c:v>
                      </c:pt>
                      <c:pt idx="161">
                        <c:v>-0.32814576268612783</c:v>
                      </c:pt>
                      <c:pt idx="162">
                        <c:v>-0.47625083041302646</c:v>
                      </c:pt>
                      <c:pt idx="163">
                        <c:v>-0.53179023081061338</c:v>
                      </c:pt>
                      <c:pt idx="164">
                        <c:v>-0.58023293004628651</c:v>
                      </c:pt>
                      <c:pt idx="165">
                        <c:v>-0.61887662773847862</c:v>
                      </c:pt>
                      <c:pt idx="166">
                        <c:v>-0.63669798711716663</c:v>
                      </c:pt>
                      <c:pt idx="167">
                        <c:v>-0.60480911472221877</c:v>
                      </c:pt>
                      <c:pt idx="168">
                        <c:v>-4.2889231199632484E-2</c:v>
                      </c:pt>
                      <c:pt idx="169">
                        <c:v>-7.2514492778475289E-3</c:v>
                      </c:pt>
                      <c:pt idx="170">
                        <c:v>-0.70629656962095388</c:v>
                      </c:pt>
                    </c:numCache>
                  </c:numRef>
                </c:yVal>
                <c:smooth val="1"/>
                <c:extLst>
                  <c:ext xmlns:c16="http://schemas.microsoft.com/office/drawing/2014/chart" uri="{C3380CC4-5D6E-409C-BE32-E72D297353CC}">
                    <c16:uniqueId val="{00000004-8593-4BEB-924F-7B4F8DB1DA21}"/>
                  </c:ext>
                </c:extLst>
              </c15:ser>
            </c15:filteredScatterSeries>
          </c:ext>
        </c:extLst>
      </c:scatterChart>
      <c:valAx>
        <c:axId val="1550932208"/>
        <c:scaling>
          <c:orientation val="minMax"/>
        </c:scaling>
        <c:delete val="0"/>
        <c:axPos val="b"/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1248"/>
        <c:crosses val="autoZero"/>
        <c:crossBetween val="midCat"/>
      </c:valAx>
      <c:valAx>
        <c:axId val="1550931248"/>
        <c:scaling>
          <c:orientation val="minMax"/>
        </c:scaling>
        <c:delete val="0"/>
        <c:axPos val="l"/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509322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'Crocodile workbook'!$B$1</c:f>
              <c:strCache>
                <c:ptCount val="1"/>
                <c:pt idx="0">
                  <c:v>Baseflow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'Crocodile workbook'!$A$2:$A$172</c:f>
              <c:numCache>
                <c:formatCode>yyyy/mm</c:formatCode>
                <c:ptCount val="171"/>
                <c:pt idx="0">
                  <c:v>40553</c:v>
                </c:pt>
                <c:pt idx="1">
                  <c:v>40584</c:v>
                </c:pt>
                <c:pt idx="2">
                  <c:v>40612</c:v>
                </c:pt>
                <c:pt idx="3">
                  <c:v>40643</c:v>
                </c:pt>
                <c:pt idx="4">
                  <c:v>40673</c:v>
                </c:pt>
                <c:pt idx="5">
                  <c:v>40704</c:v>
                </c:pt>
                <c:pt idx="6">
                  <c:v>40734</c:v>
                </c:pt>
                <c:pt idx="7">
                  <c:v>40765</c:v>
                </c:pt>
                <c:pt idx="8">
                  <c:v>40796</c:v>
                </c:pt>
                <c:pt idx="9">
                  <c:v>40826</c:v>
                </c:pt>
                <c:pt idx="10">
                  <c:v>40857</c:v>
                </c:pt>
                <c:pt idx="11">
                  <c:v>40887</c:v>
                </c:pt>
                <c:pt idx="12">
                  <c:v>40918</c:v>
                </c:pt>
                <c:pt idx="13">
                  <c:v>40949</c:v>
                </c:pt>
                <c:pt idx="14">
                  <c:v>40978</c:v>
                </c:pt>
                <c:pt idx="15">
                  <c:v>41009</c:v>
                </c:pt>
                <c:pt idx="16">
                  <c:v>41039</c:v>
                </c:pt>
                <c:pt idx="17">
                  <c:v>41070</c:v>
                </c:pt>
                <c:pt idx="18">
                  <c:v>41100</c:v>
                </c:pt>
                <c:pt idx="19">
                  <c:v>41131</c:v>
                </c:pt>
                <c:pt idx="20">
                  <c:v>41162</c:v>
                </c:pt>
                <c:pt idx="21">
                  <c:v>41192</c:v>
                </c:pt>
                <c:pt idx="22">
                  <c:v>41223</c:v>
                </c:pt>
                <c:pt idx="23">
                  <c:v>41253</c:v>
                </c:pt>
                <c:pt idx="24">
                  <c:v>41284</c:v>
                </c:pt>
                <c:pt idx="25">
                  <c:v>41315</c:v>
                </c:pt>
                <c:pt idx="26">
                  <c:v>41343</c:v>
                </c:pt>
                <c:pt idx="27">
                  <c:v>41374</c:v>
                </c:pt>
                <c:pt idx="28">
                  <c:v>41404</c:v>
                </c:pt>
                <c:pt idx="29">
                  <c:v>41435</c:v>
                </c:pt>
                <c:pt idx="30">
                  <c:v>41465</c:v>
                </c:pt>
                <c:pt idx="31">
                  <c:v>41496</c:v>
                </c:pt>
                <c:pt idx="32">
                  <c:v>41527</c:v>
                </c:pt>
                <c:pt idx="33">
                  <c:v>41557</c:v>
                </c:pt>
                <c:pt idx="34">
                  <c:v>41588</c:v>
                </c:pt>
                <c:pt idx="35">
                  <c:v>41618</c:v>
                </c:pt>
                <c:pt idx="36">
                  <c:v>41649</c:v>
                </c:pt>
                <c:pt idx="37">
                  <c:v>41680</c:v>
                </c:pt>
                <c:pt idx="38">
                  <c:v>41708</c:v>
                </c:pt>
                <c:pt idx="39">
                  <c:v>41739</c:v>
                </c:pt>
                <c:pt idx="40">
                  <c:v>41769</c:v>
                </c:pt>
                <c:pt idx="41">
                  <c:v>41800</c:v>
                </c:pt>
                <c:pt idx="42">
                  <c:v>41830</c:v>
                </c:pt>
                <c:pt idx="43">
                  <c:v>41861</c:v>
                </c:pt>
                <c:pt idx="44">
                  <c:v>41892</c:v>
                </c:pt>
                <c:pt idx="45">
                  <c:v>41922</c:v>
                </c:pt>
                <c:pt idx="46">
                  <c:v>41953</c:v>
                </c:pt>
                <c:pt idx="47">
                  <c:v>41983</c:v>
                </c:pt>
                <c:pt idx="48">
                  <c:v>42014</c:v>
                </c:pt>
                <c:pt idx="49">
                  <c:v>42045</c:v>
                </c:pt>
                <c:pt idx="50">
                  <c:v>42073</c:v>
                </c:pt>
                <c:pt idx="51">
                  <c:v>42104</c:v>
                </c:pt>
                <c:pt idx="52">
                  <c:v>42134</c:v>
                </c:pt>
                <c:pt idx="53">
                  <c:v>42165</c:v>
                </c:pt>
                <c:pt idx="54">
                  <c:v>42195</c:v>
                </c:pt>
                <c:pt idx="55">
                  <c:v>42226</c:v>
                </c:pt>
                <c:pt idx="56">
                  <c:v>42257</c:v>
                </c:pt>
                <c:pt idx="57">
                  <c:v>42287</c:v>
                </c:pt>
                <c:pt idx="58">
                  <c:v>42318</c:v>
                </c:pt>
                <c:pt idx="59">
                  <c:v>42348</c:v>
                </c:pt>
                <c:pt idx="60">
                  <c:v>42379</c:v>
                </c:pt>
                <c:pt idx="61">
                  <c:v>42410</c:v>
                </c:pt>
                <c:pt idx="62">
                  <c:v>42439</c:v>
                </c:pt>
                <c:pt idx="63">
                  <c:v>42470</c:v>
                </c:pt>
                <c:pt idx="64">
                  <c:v>42500</c:v>
                </c:pt>
                <c:pt idx="65">
                  <c:v>42531</c:v>
                </c:pt>
                <c:pt idx="66">
                  <c:v>42561</c:v>
                </c:pt>
                <c:pt idx="67">
                  <c:v>42592</c:v>
                </c:pt>
                <c:pt idx="68">
                  <c:v>42623</c:v>
                </c:pt>
                <c:pt idx="69">
                  <c:v>42653</c:v>
                </c:pt>
                <c:pt idx="70">
                  <c:v>42684</c:v>
                </c:pt>
                <c:pt idx="71">
                  <c:v>42714</c:v>
                </c:pt>
                <c:pt idx="72">
                  <c:v>42745</c:v>
                </c:pt>
                <c:pt idx="73">
                  <c:v>42776</c:v>
                </c:pt>
                <c:pt idx="74">
                  <c:v>42804</c:v>
                </c:pt>
                <c:pt idx="75">
                  <c:v>42835</c:v>
                </c:pt>
                <c:pt idx="76">
                  <c:v>42865</c:v>
                </c:pt>
                <c:pt idx="77">
                  <c:v>42896</c:v>
                </c:pt>
                <c:pt idx="78">
                  <c:v>42926</c:v>
                </c:pt>
                <c:pt idx="79">
                  <c:v>42957</c:v>
                </c:pt>
                <c:pt idx="80">
                  <c:v>42988</c:v>
                </c:pt>
                <c:pt idx="81">
                  <c:v>43018</c:v>
                </c:pt>
                <c:pt idx="82">
                  <c:v>43049</c:v>
                </c:pt>
                <c:pt idx="83">
                  <c:v>43079</c:v>
                </c:pt>
                <c:pt idx="84">
                  <c:v>43110</c:v>
                </c:pt>
                <c:pt idx="85">
                  <c:v>43141</c:v>
                </c:pt>
                <c:pt idx="86">
                  <c:v>43169</c:v>
                </c:pt>
                <c:pt idx="87">
                  <c:v>43200</c:v>
                </c:pt>
                <c:pt idx="88">
                  <c:v>43230</c:v>
                </c:pt>
                <c:pt idx="89">
                  <c:v>43261</c:v>
                </c:pt>
                <c:pt idx="90">
                  <c:v>43291</c:v>
                </c:pt>
                <c:pt idx="91">
                  <c:v>43322</c:v>
                </c:pt>
                <c:pt idx="92">
                  <c:v>43353</c:v>
                </c:pt>
                <c:pt idx="93">
                  <c:v>43383</c:v>
                </c:pt>
                <c:pt idx="94">
                  <c:v>43414</c:v>
                </c:pt>
                <c:pt idx="95">
                  <c:v>43444</c:v>
                </c:pt>
                <c:pt idx="96">
                  <c:v>43475</c:v>
                </c:pt>
                <c:pt idx="97">
                  <c:v>43506</c:v>
                </c:pt>
                <c:pt idx="98">
                  <c:v>43534</c:v>
                </c:pt>
                <c:pt idx="99">
                  <c:v>43565</c:v>
                </c:pt>
                <c:pt idx="100">
                  <c:v>43595</c:v>
                </c:pt>
                <c:pt idx="101">
                  <c:v>43626</c:v>
                </c:pt>
                <c:pt idx="102">
                  <c:v>43656</c:v>
                </c:pt>
                <c:pt idx="103">
                  <c:v>43687</c:v>
                </c:pt>
                <c:pt idx="104">
                  <c:v>43718</c:v>
                </c:pt>
                <c:pt idx="105">
                  <c:v>43748</c:v>
                </c:pt>
                <c:pt idx="106">
                  <c:v>43779</c:v>
                </c:pt>
                <c:pt idx="107">
                  <c:v>43809</c:v>
                </c:pt>
                <c:pt idx="108">
                  <c:v>43840</c:v>
                </c:pt>
                <c:pt idx="109">
                  <c:v>43871</c:v>
                </c:pt>
                <c:pt idx="110">
                  <c:v>43900</c:v>
                </c:pt>
                <c:pt idx="111">
                  <c:v>43931</c:v>
                </c:pt>
                <c:pt idx="112">
                  <c:v>43961</c:v>
                </c:pt>
                <c:pt idx="113">
                  <c:v>43992</c:v>
                </c:pt>
                <c:pt idx="114">
                  <c:v>44022</c:v>
                </c:pt>
                <c:pt idx="115">
                  <c:v>44053</c:v>
                </c:pt>
                <c:pt idx="116">
                  <c:v>44084</c:v>
                </c:pt>
                <c:pt idx="117">
                  <c:v>44114</c:v>
                </c:pt>
                <c:pt idx="118">
                  <c:v>44145</c:v>
                </c:pt>
                <c:pt idx="119">
                  <c:v>44175</c:v>
                </c:pt>
                <c:pt idx="120">
                  <c:v>44206</c:v>
                </c:pt>
                <c:pt idx="121">
                  <c:v>44237</c:v>
                </c:pt>
                <c:pt idx="122">
                  <c:v>44265</c:v>
                </c:pt>
                <c:pt idx="123">
                  <c:v>44296</c:v>
                </c:pt>
                <c:pt idx="124">
                  <c:v>44326</c:v>
                </c:pt>
                <c:pt idx="125">
                  <c:v>44357</c:v>
                </c:pt>
                <c:pt idx="126">
                  <c:v>44387</c:v>
                </c:pt>
                <c:pt idx="127">
                  <c:v>44418</c:v>
                </c:pt>
                <c:pt idx="128">
                  <c:v>44449</c:v>
                </c:pt>
                <c:pt idx="129">
                  <c:v>44479</c:v>
                </c:pt>
                <c:pt idx="130">
                  <c:v>44510</c:v>
                </c:pt>
                <c:pt idx="131">
                  <c:v>44540</c:v>
                </c:pt>
                <c:pt idx="132">
                  <c:v>44571</c:v>
                </c:pt>
                <c:pt idx="133">
                  <c:v>44602</c:v>
                </c:pt>
                <c:pt idx="134">
                  <c:v>44630</c:v>
                </c:pt>
                <c:pt idx="135">
                  <c:v>44661</c:v>
                </c:pt>
                <c:pt idx="136">
                  <c:v>44691</c:v>
                </c:pt>
                <c:pt idx="137">
                  <c:v>44722</c:v>
                </c:pt>
                <c:pt idx="138">
                  <c:v>44752</c:v>
                </c:pt>
                <c:pt idx="139">
                  <c:v>44783</c:v>
                </c:pt>
                <c:pt idx="140">
                  <c:v>44814</c:v>
                </c:pt>
                <c:pt idx="141">
                  <c:v>44844</c:v>
                </c:pt>
                <c:pt idx="142">
                  <c:v>44875</c:v>
                </c:pt>
                <c:pt idx="143">
                  <c:v>44905</c:v>
                </c:pt>
                <c:pt idx="144">
                  <c:v>44936</c:v>
                </c:pt>
                <c:pt idx="145">
                  <c:v>44967</c:v>
                </c:pt>
                <c:pt idx="146">
                  <c:v>44995</c:v>
                </c:pt>
                <c:pt idx="147">
                  <c:v>45026</c:v>
                </c:pt>
                <c:pt idx="148">
                  <c:v>45056</c:v>
                </c:pt>
                <c:pt idx="149">
                  <c:v>45087</c:v>
                </c:pt>
                <c:pt idx="150">
                  <c:v>45117</c:v>
                </c:pt>
                <c:pt idx="151">
                  <c:v>45148</c:v>
                </c:pt>
                <c:pt idx="152">
                  <c:v>45179</c:v>
                </c:pt>
                <c:pt idx="153">
                  <c:v>45209</c:v>
                </c:pt>
                <c:pt idx="154">
                  <c:v>45240</c:v>
                </c:pt>
                <c:pt idx="155">
                  <c:v>45270</c:v>
                </c:pt>
                <c:pt idx="156">
                  <c:v>45301</c:v>
                </c:pt>
                <c:pt idx="157">
                  <c:v>45332</c:v>
                </c:pt>
                <c:pt idx="158">
                  <c:v>45361</c:v>
                </c:pt>
                <c:pt idx="159">
                  <c:v>45392</c:v>
                </c:pt>
                <c:pt idx="160">
                  <c:v>45422</c:v>
                </c:pt>
                <c:pt idx="161">
                  <c:v>45453</c:v>
                </c:pt>
                <c:pt idx="162">
                  <c:v>45483</c:v>
                </c:pt>
                <c:pt idx="163">
                  <c:v>45514</c:v>
                </c:pt>
                <c:pt idx="164">
                  <c:v>45545</c:v>
                </c:pt>
                <c:pt idx="165">
                  <c:v>45575</c:v>
                </c:pt>
                <c:pt idx="166">
                  <c:v>45606</c:v>
                </c:pt>
                <c:pt idx="167">
                  <c:v>45636</c:v>
                </c:pt>
                <c:pt idx="168">
                  <c:v>45667</c:v>
                </c:pt>
                <c:pt idx="169">
                  <c:v>45698</c:v>
                </c:pt>
                <c:pt idx="170">
                  <c:v>45735</c:v>
                </c:pt>
              </c:numCache>
            </c:numRef>
          </c:xVal>
          <c:yVal>
            <c:numRef>
              <c:f>'Crocodile workbook'!$B$2:$B$172</c:f>
              <c:numCache>
                <c:formatCode>0.00</c:formatCode>
                <c:ptCount val="171"/>
                <c:pt idx="0">
                  <c:v>0.24</c:v>
                </c:pt>
                <c:pt idx="1">
                  <c:v>14.58</c:v>
                </c:pt>
                <c:pt idx="2">
                  <c:v>13.88</c:v>
                </c:pt>
                <c:pt idx="3">
                  <c:v>11.18</c:v>
                </c:pt>
                <c:pt idx="4">
                  <c:v>10.72</c:v>
                </c:pt>
                <c:pt idx="5">
                  <c:v>8.6</c:v>
                </c:pt>
                <c:pt idx="6">
                  <c:v>6.33</c:v>
                </c:pt>
                <c:pt idx="7">
                  <c:v>4.66</c:v>
                </c:pt>
                <c:pt idx="8">
                  <c:v>3.54</c:v>
                </c:pt>
                <c:pt idx="9">
                  <c:v>2.48</c:v>
                </c:pt>
                <c:pt idx="10">
                  <c:v>2.46</c:v>
                </c:pt>
                <c:pt idx="11">
                  <c:v>2.2599999999999998</c:v>
                </c:pt>
                <c:pt idx="12">
                  <c:v>3.14</c:v>
                </c:pt>
                <c:pt idx="13">
                  <c:v>18.760000000000002</c:v>
                </c:pt>
                <c:pt idx="14">
                  <c:v>15.32</c:v>
                </c:pt>
                <c:pt idx="15">
                  <c:v>10.1</c:v>
                </c:pt>
                <c:pt idx="16">
                  <c:v>6.83</c:v>
                </c:pt>
                <c:pt idx="17">
                  <c:v>2.181</c:v>
                </c:pt>
                <c:pt idx="18">
                  <c:v>2.85</c:v>
                </c:pt>
                <c:pt idx="19">
                  <c:v>1.82</c:v>
                </c:pt>
                <c:pt idx="20">
                  <c:v>0.878</c:v>
                </c:pt>
                <c:pt idx="21">
                  <c:v>2.5</c:v>
                </c:pt>
                <c:pt idx="22">
                  <c:v>4.13</c:v>
                </c:pt>
                <c:pt idx="23">
                  <c:v>4.71</c:v>
                </c:pt>
                <c:pt idx="24">
                  <c:v>6.72</c:v>
                </c:pt>
                <c:pt idx="25">
                  <c:v>19.690000000000001</c:v>
                </c:pt>
                <c:pt idx="26">
                  <c:v>22.98</c:v>
                </c:pt>
                <c:pt idx="28">
                  <c:v>18.559999999999999</c:v>
                </c:pt>
                <c:pt idx="29">
                  <c:v>13.08</c:v>
                </c:pt>
                <c:pt idx="30">
                  <c:v>8.92</c:v>
                </c:pt>
                <c:pt idx="31">
                  <c:v>6.2</c:v>
                </c:pt>
                <c:pt idx="32">
                  <c:v>3.2290000000000001</c:v>
                </c:pt>
                <c:pt idx="33">
                  <c:v>2.65</c:v>
                </c:pt>
                <c:pt idx="34">
                  <c:v>2.44</c:v>
                </c:pt>
                <c:pt idx="35">
                  <c:v>2.63</c:v>
                </c:pt>
                <c:pt idx="36">
                  <c:v>8.33</c:v>
                </c:pt>
                <c:pt idx="37">
                  <c:v>8.85</c:v>
                </c:pt>
                <c:pt idx="38">
                  <c:v>10.7</c:v>
                </c:pt>
                <c:pt idx="39">
                  <c:v>33.26</c:v>
                </c:pt>
                <c:pt idx="40">
                  <c:v>25.04</c:v>
                </c:pt>
                <c:pt idx="41">
                  <c:v>17.21</c:v>
                </c:pt>
                <c:pt idx="42">
                  <c:v>12.44</c:v>
                </c:pt>
                <c:pt idx="43">
                  <c:v>8.49</c:v>
                </c:pt>
                <c:pt idx="44">
                  <c:v>5.01</c:v>
                </c:pt>
                <c:pt idx="45">
                  <c:v>3.65</c:v>
                </c:pt>
                <c:pt idx="46">
                  <c:v>2.84</c:v>
                </c:pt>
                <c:pt idx="47">
                  <c:v>2.84</c:v>
                </c:pt>
                <c:pt idx="48">
                  <c:v>4.99</c:v>
                </c:pt>
                <c:pt idx="49">
                  <c:v>5.09</c:v>
                </c:pt>
                <c:pt idx="50">
                  <c:v>5.61</c:v>
                </c:pt>
                <c:pt idx="51">
                  <c:v>4.43</c:v>
                </c:pt>
                <c:pt idx="52">
                  <c:v>3.64</c:v>
                </c:pt>
                <c:pt idx="53">
                  <c:v>2.57</c:v>
                </c:pt>
                <c:pt idx="54">
                  <c:v>1.8</c:v>
                </c:pt>
                <c:pt idx="55">
                  <c:v>1.27</c:v>
                </c:pt>
                <c:pt idx="56">
                  <c:v>0.94</c:v>
                </c:pt>
                <c:pt idx="57">
                  <c:v>0.81</c:v>
                </c:pt>
                <c:pt idx="58">
                  <c:v>0.59</c:v>
                </c:pt>
                <c:pt idx="59">
                  <c:v>0.49</c:v>
                </c:pt>
                <c:pt idx="60">
                  <c:v>0.39300000000000002</c:v>
                </c:pt>
                <c:pt idx="61">
                  <c:v>0.42</c:v>
                </c:pt>
                <c:pt idx="62">
                  <c:v>0.33</c:v>
                </c:pt>
                <c:pt idx="63">
                  <c:v>0.92</c:v>
                </c:pt>
                <c:pt idx="64">
                  <c:v>0.65</c:v>
                </c:pt>
                <c:pt idx="65">
                  <c:v>0.45</c:v>
                </c:pt>
                <c:pt idx="66">
                  <c:v>0.25900000000000001</c:v>
                </c:pt>
                <c:pt idx="67">
                  <c:v>0.24</c:v>
                </c:pt>
                <c:pt idx="68">
                  <c:v>0.19</c:v>
                </c:pt>
                <c:pt idx="69">
                  <c:v>0.17</c:v>
                </c:pt>
                <c:pt idx="70">
                  <c:v>0.16</c:v>
                </c:pt>
                <c:pt idx="71">
                  <c:v>0.73</c:v>
                </c:pt>
                <c:pt idx="72">
                  <c:v>1.7</c:v>
                </c:pt>
                <c:pt idx="73">
                  <c:v>4.83</c:v>
                </c:pt>
                <c:pt idx="74">
                  <c:v>8.2200000000000006</c:v>
                </c:pt>
                <c:pt idx="75">
                  <c:v>8.44</c:v>
                </c:pt>
                <c:pt idx="76">
                  <c:v>5.92</c:v>
                </c:pt>
                <c:pt idx="77">
                  <c:v>4.5</c:v>
                </c:pt>
                <c:pt idx="78">
                  <c:v>3.0720000000000001</c:v>
                </c:pt>
                <c:pt idx="79">
                  <c:v>2.04</c:v>
                </c:pt>
                <c:pt idx="80">
                  <c:v>1.38</c:v>
                </c:pt>
                <c:pt idx="81">
                  <c:v>0.94</c:v>
                </c:pt>
                <c:pt idx="82">
                  <c:v>0.98</c:v>
                </c:pt>
                <c:pt idx="83">
                  <c:v>1.43</c:v>
                </c:pt>
                <c:pt idx="84">
                  <c:v>3.52</c:v>
                </c:pt>
                <c:pt idx="85">
                  <c:v>2.95</c:v>
                </c:pt>
                <c:pt idx="86">
                  <c:v>3.13</c:v>
                </c:pt>
                <c:pt idx="87">
                  <c:v>3.2</c:v>
                </c:pt>
                <c:pt idx="88">
                  <c:v>3.87</c:v>
                </c:pt>
                <c:pt idx="89">
                  <c:v>3.03</c:v>
                </c:pt>
                <c:pt idx="90">
                  <c:v>2.19</c:v>
                </c:pt>
                <c:pt idx="91">
                  <c:v>1.5</c:v>
                </c:pt>
                <c:pt idx="92">
                  <c:v>1.08</c:v>
                </c:pt>
                <c:pt idx="93">
                  <c:v>0.79</c:v>
                </c:pt>
                <c:pt idx="94">
                  <c:v>0.64</c:v>
                </c:pt>
                <c:pt idx="95">
                  <c:v>0.57999999999999996</c:v>
                </c:pt>
                <c:pt idx="96">
                  <c:v>0.82</c:v>
                </c:pt>
                <c:pt idx="97">
                  <c:v>1.71</c:v>
                </c:pt>
                <c:pt idx="98">
                  <c:v>3.14</c:v>
                </c:pt>
                <c:pt idx="99">
                  <c:v>2.69</c:v>
                </c:pt>
                <c:pt idx="100">
                  <c:v>2.78</c:v>
                </c:pt>
                <c:pt idx="101">
                  <c:v>1.78</c:v>
                </c:pt>
                <c:pt idx="102">
                  <c:v>1.19</c:v>
                </c:pt>
                <c:pt idx="103">
                  <c:v>0.76300000000000001</c:v>
                </c:pt>
                <c:pt idx="104">
                  <c:v>0.53</c:v>
                </c:pt>
                <c:pt idx="105">
                  <c:v>0.41</c:v>
                </c:pt>
                <c:pt idx="106">
                  <c:v>0.26700000000000002</c:v>
                </c:pt>
                <c:pt idx="107">
                  <c:v>0.46</c:v>
                </c:pt>
                <c:pt idx="108">
                  <c:v>0.255</c:v>
                </c:pt>
                <c:pt idx="109">
                  <c:v>1.38</c:v>
                </c:pt>
                <c:pt idx="110">
                  <c:v>2.16</c:v>
                </c:pt>
                <c:pt idx="111">
                  <c:v>1.98</c:v>
                </c:pt>
                <c:pt idx="112">
                  <c:v>2.13</c:v>
                </c:pt>
                <c:pt idx="113">
                  <c:v>1.57</c:v>
                </c:pt>
                <c:pt idx="114">
                  <c:v>1.19</c:v>
                </c:pt>
                <c:pt idx="115">
                  <c:v>0.83</c:v>
                </c:pt>
                <c:pt idx="116">
                  <c:v>0.59</c:v>
                </c:pt>
                <c:pt idx="117">
                  <c:v>0.46</c:v>
                </c:pt>
                <c:pt idx="118">
                  <c:v>0.60599999999999998</c:v>
                </c:pt>
                <c:pt idx="119">
                  <c:v>0.56000000000000005</c:v>
                </c:pt>
                <c:pt idx="120">
                  <c:v>0.76</c:v>
                </c:pt>
                <c:pt idx="123">
                  <c:v>6.02</c:v>
                </c:pt>
                <c:pt idx="124">
                  <c:v>5.24</c:v>
                </c:pt>
                <c:pt idx="125">
                  <c:v>4.01</c:v>
                </c:pt>
                <c:pt idx="126">
                  <c:v>3.11</c:v>
                </c:pt>
                <c:pt idx="127">
                  <c:v>1.377</c:v>
                </c:pt>
                <c:pt idx="128">
                  <c:v>1.0169999999999999</c:v>
                </c:pt>
                <c:pt idx="129" formatCode="General">
                  <c:v>0.84</c:v>
                </c:pt>
                <c:pt idx="130" formatCode="General">
                  <c:v>0.88</c:v>
                </c:pt>
                <c:pt idx="131" formatCode="General">
                  <c:v>1.48</c:v>
                </c:pt>
                <c:pt idx="132" formatCode="General">
                  <c:v>4.46</c:v>
                </c:pt>
                <c:pt idx="133" formatCode="General">
                  <c:v>9.59</c:v>
                </c:pt>
                <c:pt idx="134" formatCode="General">
                  <c:v>10.42</c:v>
                </c:pt>
                <c:pt idx="135" formatCode="General">
                  <c:v>8.2100000000000009</c:v>
                </c:pt>
                <c:pt idx="136" formatCode="General">
                  <c:v>7.89</c:v>
                </c:pt>
                <c:pt idx="137" formatCode="General">
                  <c:v>8.31</c:v>
                </c:pt>
                <c:pt idx="138" formatCode="General">
                  <c:v>7.18</c:v>
                </c:pt>
                <c:pt idx="139" formatCode="General">
                  <c:v>5.39</c:v>
                </c:pt>
                <c:pt idx="140" formatCode="General">
                  <c:v>3.2730000000000001</c:v>
                </c:pt>
                <c:pt idx="141" formatCode="0.000">
                  <c:v>1.866346774193548</c:v>
                </c:pt>
                <c:pt idx="142" formatCode="0.000">
                  <c:v>2.5736666666666665</c:v>
                </c:pt>
                <c:pt idx="143" formatCode="0.000">
                  <c:v>4.2254838709677411</c:v>
                </c:pt>
                <c:pt idx="144" formatCode="0.000">
                  <c:v>9.7606451612903218</c:v>
                </c:pt>
                <c:pt idx="145" formatCode="0.000">
                  <c:v>10.080833333333333</c:v>
                </c:pt>
                <c:pt idx="146" formatCode="0.000">
                  <c:v>36.547256202863643</c:v>
                </c:pt>
                <c:pt idx="147" formatCode="0.000">
                  <c:v>32.240046804571428</c:v>
                </c:pt>
                <c:pt idx="148" formatCode="0.000">
                  <c:v>27.110274192903226</c:v>
                </c:pt>
                <c:pt idx="149" formatCode="0.000">
                  <c:v>14.956819390645162</c:v>
                </c:pt>
                <c:pt idx="150" formatCode="0.000">
                  <c:v>13.539577956677418</c:v>
                </c:pt>
                <c:pt idx="151" formatCode="0.000">
                  <c:v>7.7173709677096793</c:v>
                </c:pt>
                <c:pt idx="152" formatCode="0.000">
                  <c:v>0.92</c:v>
                </c:pt>
                <c:pt idx="153" formatCode="0.000">
                  <c:v>1.23</c:v>
                </c:pt>
                <c:pt idx="154" formatCode="0.000">
                  <c:v>1.32</c:v>
                </c:pt>
                <c:pt idx="155" formatCode="0.000">
                  <c:v>3.8780407852687659</c:v>
                </c:pt>
                <c:pt idx="156" formatCode="0.000">
                  <c:v>19.278204529800266</c:v>
                </c:pt>
                <c:pt idx="157" formatCode="0.000">
                  <c:v>13.630342203299291</c:v>
                </c:pt>
                <c:pt idx="158" formatCode="0.000">
                  <c:v>9.4355191514021168</c:v>
                </c:pt>
                <c:pt idx="159" formatCode="0.000">
                  <c:v>5.68</c:v>
                </c:pt>
                <c:pt idx="160" formatCode="0.000">
                  <c:v>4.67</c:v>
                </c:pt>
                <c:pt idx="161" formatCode="0.000">
                  <c:v>3.05</c:v>
                </c:pt>
                <c:pt idx="162" formatCode="0.000">
                  <c:v>2.09</c:v>
                </c:pt>
                <c:pt idx="163" formatCode="0.000">
                  <c:v>1.73</c:v>
                </c:pt>
                <c:pt idx="164" formatCode="0.000">
                  <c:v>1.4159999999999999</c:v>
                </c:pt>
                <c:pt idx="165" formatCode="0.000">
                  <c:v>1.165516</c:v>
                </c:pt>
                <c:pt idx="166" formatCode="0.000">
                  <c:v>1.05</c:v>
                </c:pt>
                <c:pt idx="167" formatCode="0.000">
                  <c:v>1.2566999999999999</c:v>
                </c:pt>
                <c:pt idx="168" formatCode="0.000">
                  <c:v>4.899</c:v>
                </c:pt>
                <c:pt idx="169" formatCode="0.000">
                  <c:v>5.13</c:v>
                </c:pt>
                <c:pt idx="170" formatCode="0.000">
                  <c:v>0.59887000000000001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8E-4F04-A366-323DF9FC63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28589759"/>
        <c:axId val="828591679"/>
      </c:scatterChart>
      <c:valAx>
        <c:axId val="82858975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/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91679"/>
        <c:crosses val="autoZero"/>
        <c:crossBetween val="midCat"/>
      </c:valAx>
      <c:valAx>
        <c:axId val="8285916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8589759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118</xdr:row>
      <xdr:rowOff>147637</xdr:rowOff>
    </xdr:from>
    <xdr:to>
      <xdr:col>5</xdr:col>
      <xdr:colOff>1285875</xdr:colOff>
      <xdr:row>133</xdr:row>
      <xdr:rowOff>33337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FECEA0-38D7-1F8E-451A-11B7EAFA56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123824</xdr:colOff>
      <xdr:row>150</xdr:row>
      <xdr:rowOff>123825</xdr:rowOff>
    </xdr:from>
    <xdr:to>
      <xdr:col>14</xdr:col>
      <xdr:colOff>190499</xdr:colOff>
      <xdr:row>169</xdr:row>
      <xdr:rowOff>61912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D758F9-3FE9-4B60-557B-45BEE386B28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76C6A0-A833-435F-BFE2-79D6BA14B959}">
  <dimension ref="A1:GB172"/>
  <sheetViews>
    <sheetView tabSelected="1" zoomScale="85" workbookViewId="0">
      <selection activeCell="K10" sqref="K10"/>
    </sheetView>
  </sheetViews>
  <sheetFormatPr defaultRowHeight="14.4" x14ac:dyDescent="0.3"/>
  <cols>
    <col min="1" max="1" width="13.5546875" style="3" bestFit="1" customWidth="1"/>
    <col min="2" max="2" width="17.33203125" style="6" customWidth="1"/>
    <col min="3" max="3" width="17.109375" style="4" customWidth="1"/>
    <col min="4" max="4" width="10" style="4" customWidth="1"/>
    <col min="5" max="5" width="11.33203125" style="5" customWidth="1"/>
    <col min="6" max="6" width="21.5546875" style="4" bestFit="1" customWidth="1"/>
  </cols>
  <sheetData>
    <row r="1" spans="1:6" x14ac:dyDescent="0.3">
      <c r="A1" s="1" t="s">
        <v>0</v>
      </c>
      <c r="B1" s="8" t="s">
        <v>2</v>
      </c>
      <c r="C1" s="2" t="s">
        <v>3</v>
      </c>
      <c r="D1" s="17" t="s">
        <v>1</v>
      </c>
      <c r="E1" s="15"/>
      <c r="F1" s="16" t="s">
        <v>4</v>
      </c>
    </row>
    <row r="2" spans="1:6" x14ac:dyDescent="0.3">
      <c r="A2" s="9">
        <v>40553</v>
      </c>
      <c r="B2" s="10">
        <v>0.24</v>
      </c>
      <c r="C2" s="11">
        <f>AVERAGE(B2:B172)</f>
        <v>5.1770030594737664</v>
      </c>
      <c r="D2" s="11">
        <f>_xlfn.STDEV.S($B$2:$B$172)</f>
        <v>6.4818848857367382</v>
      </c>
      <c r="E2" s="12">
        <f t="shared" ref="E2" si="0">B2-C2</f>
        <v>-4.9370030594737662</v>
      </c>
      <c r="F2" s="12">
        <f t="shared" ref="F2" si="1">E2/D2</f>
        <v>-0.76166163801173725</v>
      </c>
    </row>
    <row r="3" spans="1:6" x14ac:dyDescent="0.3">
      <c r="A3" s="13">
        <v>40584</v>
      </c>
      <c r="B3" s="10">
        <v>14.58</v>
      </c>
      <c r="C3" s="11">
        <f t="shared" ref="C3:C66" si="2">AVERAGE($B$2:$B$172)</f>
        <v>5.1770030594737664</v>
      </c>
      <c r="D3" s="11">
        <f t="shared" ref="D3:D66" si="3">_xlfn.STDEV.S($B$2:$B$172)</f>
        <v>6.4818848857367382</v>
      </c>
      <c r="E3" s="12">
        <f t="shared" ref="E3:E66" si="4">B3-C3</f>
        <v>9.4029969405262328</v>
      </c>
      <c r="F3" s="12">
        <f t="shared" ref="F3:F66" si="5">E3/D3</f>
        <v>1.4506578111588104</v>
      </c>
    </row>
    <row r="4" spans="1:6" x14ac:dyDescent="0.3">
      <c r="A4" s="9">
        <v>40612</v>
      </c>
      <c r="B4" s="10">
        <v>13.88</v>
      </c>
      <c r="C4" s="11">
        <f t="shared" si="2"/>
        <v>5.1770030594737664</v>
      </c>
      <c r="D4" s="11">
        <f t="shared" si="3"/>
        <v>6.4818848857367382</v>
      </c>
      <c r="E4" s="12">
        <f t="shared" si="4"/>
        <v>8.7029969405262335</v>
      </c>
      <c r="F4" s="12">
        <f t="shared" si="5"/>
        <v>1.3426645326079469</v>
      </c>
    </row>
    <row r="5" spans="1:6" x14ac:dyDescent="0.3">
      <c r="A5" s="9">
        <v>40643</v>
      </c>
      <c r="B5" s="10">
        <v>11.18</v>
      </c>
      <c r="C5" s="11">
        <f t="shared" si="2"/>
        <v>5.1770030594737664</v>
      </c>
      <c r="D5" s="11">
        <f t="shared" si="3"/>
        <v>6.4818848857367382</v>
      </c>
      <c r="E5" s="12">
        <f t="shared" si="4"/>
        <v>6.0029969405262333</v>
      </c>
      <c r="F5" s="12">
        <f t="shared" si="5"/>
        <v>0.92611902962604464</v>
      </c>
    </row>
    <row r="6" spans="1:6" x14ac:dyDescent="0.3">
      <c r="A6" s="9">
        <v>40673</v>
      </c>
      <c r="B6" s="10">
        <v>10.72</v>
      </c>
      <c r="C6" s="11">
        <f t="shared" si="2"/>
        <v>5.1770030594737664</v>
      </c>
      <c r="D6" s="11">
        <f t="shared" si="3"/>
        <v>6.4818848857367382</v>
      </c>
      <c r="E6" s="12">
        <f t="shared" si="4"/>
        <v>5.5429969405262343</v>
      </c>
      <c r="F6" s="12">
        <f t="shared" si="5"/>
        <v>0.85515201800690588</v>
      </c>
    </row>
    <row r="7" spans="1:6" x14ac:dyDescent="0.3">
      <c r="A7" s="9">
        <v>40704</v>
      </c>
      <c r="B7" s="10">
        <v>8.6</v>
      </c>
      <c r="C7" s="11">
        <f t="shared" si="2"/>
        <v>5.1770030594737664</v>
      </c>
      <c r="D7" s="11">
        <f t="shared" si="3"/>
        <v>6.4818848857367382</v>
      </c>
      <c r="E7" s="12">
        <f t="shared" si="4"/>
        <v>3.4229969405262333</v>
      </c>
      <c r="F7" s="12">
        <f t="shared" si="5"/>
        <v>0.52808666011000471</v>
      </c>
    </row>
    <row r="8" spans="1:6" x14ac:dyDescent="0.3">
      <c r="A8" s="9">
        <v>40734</v>
      </c>
      <c r="B8" s="10">
        <v>6.33</v>
      </c>
      <c r="C8" s="11">
        <f t="shared" si="2"/>
        <v>5.1770030594737664</v>
      </c>
      <c r="D8" s="11">
        <f t="shared" si="3"/>
        <v>6.4818848857367382</v>
      </c>
      <c r="E8" s="12">
        <f t="shared" si="4"/>
        <v>1.1529969405262337</v>
      </c>
      <c r="F8" s="12">
        <f t="shared" si="5"/>
        <v>0.17787988538077576</v>
      </c>
    </row>
    <row r="9" spans="1:6" x14ac:dyDescent="0.3">
      <c r="A9" s="9">
        <v>40765</v>
      </c>
      <c r="B9" s="10">
        <v>4.66</v>
      </c>
      <c r="C9" s="11">
        <f t="shared" si="2"/>
        <v>5.1770030594737664</v>
      </c>
      <c r="D9" s="11">
        <f t="shared" si="3"/>
        <v>6.4818848857367382</v>
      </c>
      <c r="E9" s="12">
        <f t="shared" si="4"/>
        <v>-0.51700305947376624</v>
      </c>
      <c r="F9" s="12">
        <f t="shared" si="5"/>
        <v>-7.9761222019141598E-2</v>
      </c>
    </row>
    <row r="10" spans="1:6" x14ac:dyDescent="0.3">
      <c r="A10" s="9">
        <v>40796</v>
      </c>
      <c r="B10" s="10">
        <v>3.54</v>
      </c>
      <c r="C10" s="11">
        <f t="shared" si="2"/>
        <v>5.1770030594737664</v>
      </c>
      <c r="D10" s="11">
        <f t="shared" si="3"/>
        <v>6.4818848857367382</v>
      </c>
      <c r="E10" s="12">
        <f t="shared" si="4"/>
        <v>-1.6370030594737663</v>
      </c>
      <c r="F10" s="12">
        <f t="shared" si="5"/>
        <v>-0.25255046770052331</v>
      </c>
    </row>
    <row r="11" spans="1:6" x14ac:dyDescent="0.3">
      <c r="A11" s="13">
        <v>40826</v>
      </c>
      <c r="B11" s="10">
        <v>2.48</v>
      </c>
      <c r="C11" s="11">
        <f t="shared" si="2"/>
        <v>5.1770030594737664</v>
      </c>
      <c r="D11" s="11">
        <f t="shared" si="3"/>
        <v>6.4818848857367382</v>
      </c>
      <c r="E11" s="12">
        <f t="shared" si="4"/>
        <v>-2.6970030594737664</v>
      </c>
      <c r="F11" s="12">
        <f t="shared" si="5"/>
        <v>-0.41608314664897383</v>
      </c>
    </row>
    <row r="12" spans="1:6" x14ac:dyDescent="0.3">
      <c r="A12" s="9">
        <v>40857</v>
      </c>
      <c r="B12" s="10">
        <v>2.46</v>
      </c>
      <c r="C12" s="11">
        <f t="shared" si="2"/>
        <v>5.1770030594737664</v>
      </c>
      <c r="D12" s="11">
        <f t="shared" si="3"/>
        <v>6.4818848857367382</v>
      </c>
      <c r="E12" s="12">
        <f t="shared" si="4"/>
        <v>-2.7170030594737664</v>
      </c>
      <c r="F12" s="12">
        <f t="shared" si="5"/>
        <v>-0.41916866889328425</v>
      </c>
    </row>
    <row r="13" spans="1:6" x14ac:dyDescent="0.3">
      <c r="A13" s="9">
        <v>40887</v>
      </c>
      <c r="B13" s="10">
        <v>2.2599999999999998</v>
      </c>
      <c r="C13" s="11">
        <f t="shared" si="2"/>
        <v>5.1770030594737664</v>
      </c>
      <c r="D13" s="11">
        <f t="shared" si="3"/>
        <v>6.4818848857367382</v>
      </c>
      <c r="E13" s="12">
        <f t="shared" si="4"/>
        <v>-2.9170030594737666</v>
      </c>
      <c r="F13" s="12">
        <f t="shared" si="5"/>
        <v>-0.45002389133638815</v>
      </c>
    </row>
    <row r="14" spans="1:6" x14ac:dyDescent="0.3">
      <c r="A14" s="9">
        <v>40918</v>
      </c>
      <c r="B14" s="10">
        <v>3.14</v>
      </c>
      <c r="C14" s="11">
        <f t="shared" si="2"/>
        <v>5.1770030594737664</v>
      </c>
      <c r="D14" s="11">
        <f t="shared" si="3"/>
        <v>6.4818848857367382</v>
      </c>
      <c r="E14" s="12">
        <f t="shared" si="4"/>
        <v>-2.0370030594737663</v>
      </c>
      <c r="F14" s="12">
        <f t="shared" si="5"/>
        <v>-0.31426091258673106</v>
      </c>
    </row>
    <row r="15" spans="1:6" x14ac:dyDescent="0.3">
      <c r="A15" s="9">
        <v>40949</v>
      </c>
      <c r="B15" s="10">
        <v>18.760000000000002</v>
      </c>
      <c r="C15" s="11">
        <f t="shared" si="2"/>
        <v>5.1770030594737664</v>
      </c>
      <c r="D15" s="11">
        <f t="shared" si="3"/>
        <v>6.4818848857367382</v>
      </c>
      <c r="E15" s="12">
        <f t="shared" si="4"/>
        <v>13.582996940526236</v>
      </c>
      <c r="F15" s="12">
        <f t="shared" si="5"/>
        <v>2.0955319602196818</v>
      </c>
    </row>
    <row r="16" spans="1:6" x14ac:dyDescent="0.3">
      <c r="A16" s="9">
        <v>40978</v>
      </c>
      <c r="B16" s="10">
        <v>15.32</v>
      </c>
      <c r="C16" s="11">
        <f t="shared" si="2"/>
        <v>5.1770030594737664</v>
      </c>
      <c r="D16" s="11">
        <f t="shared" si="3"/>
        <v>6.4818848857367382</v>
      </c>
      <c r="E16" s="12">
        <f t="shared" si="4"/>
        <v>10.142996940526235</v>
      </c>
      <c r="F16" s="12">
        <f t="shared" si="5"/>
        <v>1.5648221341982951</v>
      </c>
    </row>
    <row r="17" spans="1:184" x14ac:dyDescent="0.3">
      <c r="A17" s="9">
        <v>41009</v>
      </c>
      <c r="B17" s="10">
        <v>10.1</v>
      </c>
      <c r="C17" s="11">
        <f t="shared" si="2"/>
        <v>5.1770030594737664</v>
      </c>
      <c r="D17" s="11">
        <f t="shared" si="3"/>
        <v>6.4818848857367382</v>
      </c>
      <c r="E17" s="12">
        <f t="shared" si="4"/>
        <v>4.9229969405262333</v>
      </c>
      <c r="F17" s="12">
        <f t="shared" si="5"/>
        <v>0.7595008284332837</v>
      </c>
    </row>
    <row r="18" spans="1:184" x14ac:dyDescent="0.3">
      <c r="A18" s="9">
        <v>41039</v>
      </c>
      <c r="B18" s="10">
        <v>6.83</v>
      </c>
      <c r="C18" s="11">
        <f t="shared" si="2"/>
        <v>5.1770030594737664</v>
      </c>
      <c r="D18" s="11">
        <f t="shared" si="3"/>
        <v>6.4818848857367382</v>
      </c>
      <c r="E18" s="12">
        <f t="shared" si="4"/>
        <v>1.6529969405262337</v>
      </c>
      <c r="F18" s="12">
        <f t="shared" si="5"/>
        <v>0.25501794148853546</v>
      </c>
    </row>
    <row r="19" spans="1:184" x14ac:dyDescent="0.3">
      <c r="A19" s="13">
        <v>41070</v>
      </c>
      <c r="B19" s="10">
        <v>2.181</v>
      </c>
      <c r="C19" s="11">
        <f t="shared" si="2"/>
        <v>5.1770030594737664</v>
      </c>
      <c r="D19" s="11">
        <f t="shared" si="3"/>
        <v>6.4818848857367382</v>
      </c>
      <c r="E19" s="12">
        <f t="shared" si="4"/>
        <v>-2.9960030594737663</v>
      </c>
      <c r="F19" s="12">
        <f t="shared" si="5"/>
        <v>-0.46221170420141416</v>
      </c>
    </row>
    <row r="20" spans="1:184" x14ac:dyDescent="0.3">
      <c r="A20" s="9">
        <v>41100</v>
      </c>
      <c r="B20" s="10">
        <v>2.85</v>
      </c>
      <c r="C20" s="11">
        <f t="shared" si="2"/>
        <v>5.1770030594737664</v>
      </c>
      <c r="D20" s="11">
        <f t="shared" si="3"/>
        <v>6.4818848857367382</v>
      </c>
      <c r="E20" s="12">
        <f t="shared" si="4"/>
        <v>-2.3270030594737663</v>
      </c>
      <c r="F20" s="12">
        <f t="shared" si="5"/>
        <v>-0.35900098512923168</v>
      </c>
    </row>
    <row r="21" spans="1:184" x14ac:dyDescent="0.3">
      <c r="A21" s="9">
        <v>41131</v>
      </c>
      <c r="B21" s="10">
        <v>1.82</v>
      </c>
      <c r="C21" s="11">
        <f t="shared" si="2"/>
        <v>5.1770030594737664</v>
      </c>
      <c r="D21" s="11">
        <f t="shared" si="3"/>
        <v>6.4818848857367382</v>
      </c>
      <c r="E21" s="12">
        <f t="shared" si="4"/>
        <v>-3.3570030594737661</v>
      </c>
      <c r="F21" s="12">
        <f t="shared" si="5"/>
        <v>-0.51790538071121661</v>
      </c>
    </row>
    <row r="22" spans="1:184" s="7" customFormat="1" x14ac:dyDescent="0.3">
      <c r="A22" s="9">
        <v>41162</v>
      </c>
      <c r="B22" s="10">
        <v>0.878</v>
      </c>
      <c r="C22" s="11">
        <f t="shared" si="2"/>
        <v>5.1770030594737664</v>
      </c>
      <c r="D22" s="11">
        <f t="shared" si="3"/>
        <v>6.4818848857367382</v>
      </c>
      <c r="E22" s="12">
        <f t="shared" si="4"/>
        <v>-4.2990030594737663</v>
      </c>
      <c r="F22" s="12">
        <f t="shared" si="5"/>
        <v>-0.66323347841823588</v>
      </c>
      <c r="G22"/>
      <c r="H22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4"/>
      <c r="BB22" s="14"/>
      <c r="BC22" s="14"/>
      <c r="BD22" s="14"/>
      <c r="BE22" s="14"/>
      <c r="BF22" s="14"/>
      <c r="BG22" s="14"/>
      <c r="BH22" s="14"/>
      <c r="BI22" s="14"/>
      <c r="BJ22" s="14"/>
      <c r="BK22" s="14"/>
      <c r="BL22" s="14"/>
      <c r="BM22" s="14"/>
      <c r="BN22" s="14"/>
      <c r="BO22" s="14"/>
      <c r="BP22" s="14"/>
      <c r="BQ22" s="14"/>
      <c r="BR22" s="14"/>
      <c r="BS22" s="14"/>
      <c r="BT22" s="14"/>
      <c r="BU22" s="14"/>
      <c r="BV22" s="14"/>
      <c r="BW22" s="14"/>
      <c r="BX22" s="14"/>
      <c r="BY22" s="14"/>
      <c r="BZ22" s="14"/>
      <c r="CA22" s="14"/>
      <c r="CB22" s="14"/>
      <c r="CC22" s="14"/>
      <c r="CD22" s="14"/>
      <c r="CE22" s="14"/>
      <c r="CF22" s="14"/>
      <c r="CG22" s="14"/>
      <c r="CH22" s="14"/>
      <c r="CI22" s="14"/>
      <c r="CJ22" s="14"/>
      <c r="CK22" s="14"/>
      <c r="CL22" s="14"/>
      <c r="CM22" s="14"/>
      <c r="CN22" s="14"/>
      <c r="CO22" s="14"/>
      <c r="CP22" s="14"/>
      <c r="CQ22" s="14"/>
      <c r="CR22" s="14"/>
      <c r="CS22" s="14"/>
      <c r="CT22" s="14"/>
      <c r="CU22" s="14"/>
      <c r="CV22" s="14"/>
      <c r="CW22" s="14"/>
      <c r="CX22" s="14"/>
      <c r="CY22" s="14"/>
      <c r="CZ22" s="14"/>
      <c r="DA22" s="14"/>
      <c r="DB22" s="14"/>
      <c r="DC22" s="14"/>
      <c r="DD22" s="14"/>
      <c r="DE22" s="14"/>
      <c r="DF22" s="14"/>
      <c r="DG22" s="14"/>
      <c r="DH22" s="14"/>
      <c r="DI22" s="14"/>
      <c r="DJ22" s="14"/>
      <c r="DK22" s="14"/>
      <c r="DL22" s="14"/>
      <c r="DM22" s="14"/>
      <c r="DN22" s="14"/>
      <c r="DO22" s="14"/>
      <c r="DP22" s="14"/>
      <c r="DQ22" s="14"/>
      <c r="DR22" s="14"/>
      <c r="DS22" s="14"/>
      <c r="DT22" s="14"/>
      <c r="DU22" s="14"/>
      <c r="DV22" s="14"/>
      <c r="DW22" s="14"/>
      <c r="DX22" s="14"/>
      <c r="DY22" s="14"/>
      <c r="DZ22" s="14"/>
      <c r="EA22" s="14"/>
      <c r="EB22" s="14"/>
      <c r="EC22" s="14"/>
      <c r="ED22" s="14"/>
      <c r="EE22" s="14"/>
      <c r="EF22" s="14"/>
      <c r="EG22" s="14"/>
      <c r="EH22" s="14"/>
      <c r="EI22" s="14"/>
      <c r="EJ22" s="14"/>
      <c r="EK22" s="14"/>
      <c r="EL22" s="14"/>
      <c r="EM22" s="14"/>
      <c r="EN22" s="14"/>
      <c r="EO22" s="14"/>
      <c r="EP22" s="14"/>
      <c r="EQ22" s="14"/>
      <c r="ER22" s="14"/>
      <c r="ES22" s="14"/>
      <c r="ET22" s="14"/>
      <c r="EU22" s="14"/>
      <c r="EV22" s="14"/>
      <c r="EW22" s="14"/>
      <c r="EX22" s="14"/>
      <c r="EY22" s="14"/>
      <c r="EZ22" s="14"/>
      <c r="FA22" s="14"/>
      <c r="FB22" s="14"/>
      <c r="FC22" s="14"/>
      <c r="FD22" s="14"/>
      <c r="FE22" s="14"/>
      <c r="FF22" s="14"/>
      <c r="FG22" s="14"/>
      <c r="FH22" s="14"/>
      <c r="FI22" s="14"/>
      <c r="FJ22" s="14"/>
      <c r="FK22" s="14"/>
      <c r="FL22" s="14"/>
      <c r="FM22" s="14"/>
      <c r="FN22" s="14"/>
      <c r="FO22" s="14"/>
      <c r="FP22" s="14"/>
      <c r="FQ22" s="14"/>
      <c r="FR22" s="14"/>
      <c r="FS22" s="14"/>
      <c r="FT22" s="14"/>
      <c r="FU22" s="14"/>
      <c r="FV22" s="14"/>
      <c r="FW22" s="14"/>
      <c r="FX22" s="14"/>
      <c r="FY22" s="14"/>
      <c r="FZ22" s="14"/>
      <c r="GA22" s="14"/>
      <c r="GB22" s="14"/>
    </row>
    <row r="23" spans="1:184" x14ac:dyDescent="0.3">
      <c r="A23" s="9">
        <v>41192</v>
      </c>
      <c r="B23" s="10">
        <v>2.5</v>
      </c>
      <c r="C23" s="11">
        <f t="shared" si="2"/>
        <v>5.1770030594737664</v>
      </c>
      <c r="D23" s="11">
        <f t="shared" si="3"/>
        <v>6.4818848857367382</v>
      </c>
      <c r="E23" s="12">
        <f t="shared" si="4"/>
        <v>-2.6770030594737664</v>
      </c>
      <c r="F23" s="12">
        <f t="shared" si="5"/>
        <v>-0.41299762440466348</v>
      </c>
    </row>
    <row r="24" spans="1:184" x14ac:dyDescent="0.3">
      <c r="A24" s="9">
        <v>41223</v>
      </c>
      <c r="B24" s="10">
        <v>4.13</v>
      </c>
      <c r="C24" s="11">
        <f t="shared" si="2"/>
        <v>5.1770030594737664</v>
      </c>
      <c r="D24" s="11">
        <f t="shared" si="3"/>
        <v>6.4818848857367382</v>
      </c>
      <c r="E24" s="12">
        <f t="shared" si="4"/>
        <v>-1.0470030594737665</v>
      </c>
      <c r="F24" s="12">
        <f t="shared" si="5"/>
        <v>-0.16152756149336692</v>
      </c>
    </row>
    <row r="25" spans="1:184" x14ac:dyDescent="0.3">
      <c r="A25" s="9">
        <v>41253</v>
      </c>
      <c r="B25" s="10">
        <v>4.71</v>
      </c>
      <c r="C25" s="11">
        <f t="shared" si="2"/>
        <v>5.1770030594737664</v>
      </c>
      <c r="D25" s="11">
        <f t="shared" si="3"/>
        <v>6.4818848857367382</v>
      </c>
      <c r="E25" s="12">
        <f t="shared" si="4"/>
        <v>-0.46700305947376641</v>
      </c>
      <c r="F25" s="12">
        <f t="shared" si="5"/>
        <v>-7.204741640836565E-2</v>
      </c>
    </row>
    <row r="26" spans="1:184" x14ac:dyDescent="0.3">
      <c r="A26" s="9">
        <v>41284</v>
      </c>
      <c r="B26" s="10">
        <v>6.72</v>
      </c>
      <c r="C26" s="11">
        <f t="shared" si="2"/>
        <v>5.1770030594737664</v>
      </c>
      <c r="D26" s="11">
        <f t="shared" si="3"/>
        <v>6.4818848857367382</v>
      </c>
      <c r="E26" s="12">
        <f t="shared" si="4"/>
        <v>1.5429969405262334</v>
      </c>
      <c r="F26" s="12">
        <f t="shared" si="5"/>
        <v>0.23804756914482825</v>
      </c>
    </row>
    <row r="27" spans="1:184" x14ac:dyDescent="0.3">
      <c r="A27" s="13">
        <v>41315</v>
      </c>
      <c r="B27" s="10">
        <v>19.690000000000001</v>
      </c>
      <c r="C27" s="11">
        <f t="shared" si="2"/>
        <v>5.1770030594737664</v>
      </c>
      <c r="D27" s="11">
        <f t="shared" si="3"/>
        <v>6.4818848857367382</v>
      </c>
      <c r="E27" s="12">
        <f t="shared" si="4"/>
        <v>14.512996940526236</v>
      </c>
      <c r="F27" s="12">
        <f t="shared" si="5"/>
        <v>2.239008744580115</v>
      </c>
    </row>
    <row r="28" spans="1:184" x14ac:dyDescent="0.3">
      <c r="A28" s="9">
        <v>41343</v>
      </c>
      <c r="B28" s="10">
        <v>22.98</v>
      </c>
      <c r="C28" s="11">
        <f t="shared" si="2"/>
        <v>5.1770030594737664</v>
      </c>
      <c r="D28" s="11">
        <f t="shared" si="3"/>
        <v>6.4818848857367382</v>
      </c>
      <c r="E28" s="12">
        <f t="shared" si="4"/>
        <v>17.802996940526235</v>
      </c>
      <c r="F28" s="12">
        <f t="shared" si="5"/>
        <v>2.7465771537691737</v>
      </c>
    </row>
    <row r="29" spans="1:184" x14ac:dyDescent="0.3">
      <c r="A29" s="9">
        <v>41374</v>
      </c>
      <c r="B29" s="26"/>
      <c r="C29" s="11">
        <f t="shared" si="2"/>
        <v>5.1770030594737664</v>
      </c>
      <c r="D29" s="11">
        <f t="shared" si="3"/>
        <v>6.4818848857367382</v>
      </c>
      <c r="E29" s="12">
        <f t="shared" si="4"/>
        <v>-5.1770030594737664</v>
      </c>
      <c r="F29" s="12">
        <f t="shared" si="5"/>
        <v>-0.79868790494346187</v>
      </c>
    </row>
    <row r="30" spans="1:184" x14ac:dyDescent="0.3">
      <c r="A30" s="9">
        <v>41404</v>
      </c>
      <c r="B30" s="10">
        <v>18.559999999999999</v>
      </c>
      <c r="C30" s="11">
        <f t="shared" si="2"/>
        <v>5.1770030594737664</v>
      </c>
      <c r="D30" s="11">
        <f t="shared" si="3"/>
        <v>6.4818848857367382</v>
      </c>
      <c r="E30" s="12">
        <f t="shared" si="4"/>
        <v>13.382996940526233</v>
      </c>
      <c r="F30" s="12">
        <f t="shared" si="5"/>
        <v>2.0646767377765776</v>
      </c>
    </row>
    <row r="31" spans="1:184" x14ac:dyDescent="0.3">
      <c r="A31" s="9">
        <v>41435</v>
      </c>
      <c r="B31" s="10">
        <v>13.08</v>
      </c>
      <c r="C31" s="11">
        <f t="shared" si="2"/>
        <v>5.1770030594737664</v>
      </c>
      <c r="D31" s="11">
        <f t="shared" si="3"/>
        <v>6.4818848857367382</v>
      </c>
      <c r="E31" s="12">
        <f t="shared" si="4"/>
        <v>7.9029969405262337</v>
      </c>
      <c r="F31" s="12">
        <f t="shared" si="5"/>
        <v>1.2192436428355315</v>
      </c>
    </row>
    <row r="32" spans="1:184" x14ac:dyDescent="0.3">
      <c r="A32" s="9">
        <v>41465</v>
      </c>
      <c r="B32" s="10">
        <v>8.92</v>
      </c>
      <c r="C32" s="11">
        <f t="shared" si="2"/>
        <v>5.1770030594737664</v>
      </c>
      <c r="D32" s="11">
        <f t="shared" si="3"/>
        <v>6.4818848857367382</v>
      </c>
      <c r="E32" s="12">
        <f t="shared" si="4"/>
        <v>3.7429969405262336</v>
      </c>
      <c r="F32" s="12">
        <f t="shared" si="5"/>
        <v>0.57745501601897087</v>
      </c>
    </row>
    <row r="33" spans="1:6" x14ac:dyDescent="0.3">
      <c r="A33" s="9">
        <v>41496</v>
      </c>
      <c r="B33" s="10">
        <v>6.2</v>
      </c>
      <c r="C33" s="11">
        <f t="shared" si="2"/>
        <v>5.1770030594737664</v>
      </c>
      <c r="D33" s="11">
        <f t="shared" si="3"/>
        <v>6.4818848857367382</v>
      </c>
      <c r="E33" s="12">
        <f t="shared" si="4"/>
        <v>1.0229969405262338</v>
      </c>
      <c r="F33" s="12">
        <f t="shared" si="5"/>
        <v>0.15782399079275825</v>
      </c>
    </row>
    <row r="34" spans="1:6" x14ac:dyDescent="0.3">
      <c r="A34" s="9">
        <v>41527</v>
      </c>
      <c r="B34" s="10">
        <v>3.2290000000000001</v>
      </c>
      <c r="C34" s="11">
        <f t="shared" si="2"/>
        <v>5.1770030594737664</v>
      </c>
      <c r="D34" s="11">
        <f t="shared" si="3"/>
        <v>6.4818848857367382</v>
      </c>
      <c r="E34" s="12">
        <f t="shared" si="4"/>
        <v>-1.9480030594737663</v>
      </c>
      <c r="F34" s="12">
        <f t="shared" si="5"/>
        <v>-0.30053033859954981</v>
      </c>
    </row>
    <row r="35" spans="1:6" x14ac:dyDescent="0.3">
      <c r="A35" s="13">
        <v>41557</v>
      </c>
      <c r="B35" s="10">
        <v>2.65</v>
      </c>
      <c r="C35" s="11">
        <f t="shared" si="2"/>
        <v>5.1770030594737664</v>
      </c>
      <c r="D35" s="11">
        <f t="shared" si="3"/>
        <v>6.4818848857367382</v>
      </c>
      <c r="E35" s="12">
        <f t="shared" si="4"/>
        <v>-2.5270030594737665</v>
      </c>
      <c r="F35" s="12">
        <f t="shared" si="5"/>
        <v>-0.38985620757233558</v>
      </c>
    </row>
    <row r="36" spans="1:6" x14ac:dyDescent="0.3">
      <c r="A36" s="9">
        <v>41588</v>
      </c>
      <c r="B36" s="10">
        <v>2.44</v>
      </c>
      <c r="C36" s="11">
        <f t="shared" si="2"/>
        <v>5.1770030594737664</v>
      </c>
      <c r="D36" s="11">
        <f t="shared" si="3"/>
        <v>6.4818848857367382</v>
      </c>
      <c r="E36" s="12">
        <f t="shared" si="4"/>
        <v>-2.7370030594737664</v>
      </c>
      <c r="F36" s="12">
        <f t="shared" si="5"/>
        <v>-0.42225419113759466</v>
      </c>
    </row>
    <row r="37" spans="1:6" x14ac:dyDescent="0.3">
      <c r="A37" s="9">
        <v>41618</v>
      </c>
      <c r="B37" s="10">
        <v>2.63</v>
      </c>
      <c r="C37" s="11">
        <f t="shared" si="2"/>
        <v>5.1770030594737664</v>
      </c>
      <c r="D37" s="11">
        <f t="shared" si="3"/>
        <v>6.4818848857367382</v>
      </c>
      <c r="E37" s="12">
        <f t="shared" si="4"/>
        <v>-2.5470030594737665</v>
      </c>
      <c r="F37" s="12">
        <f t="shared" si="5"/>
        <v>-0.39294172981664599</v>
      </c>
    </row>
    <row r="38" spans="1:6" x14ac:dyDescent="0.3">
      <c r="A38" s="9">
        <v>41649</v>
      </c>
      <c r="B38" s="10">
        <v>8.33</v>
      </c>
      <c r="C38" s="11">
        <f t="shared" si="2"/>
        <v>5.1770030594737664</v>
      </c>
      <c r="D38" s="11">
        <f t="shared" si="3"/>
        <v>6.4818848857367382</v>
      </c>
      <c r="E38" s="12">
        <f t="shared" si="4"/>
        <v>3.1529969405262337</v>
      </c>
      <c r="F38" s="12">
        <f t="shared" si="5"/>
        <v>0.48643210981181451</v>
      </c>
    </row>
    <row r="39" spans="1:6" x14ac:dyDescent="0.3">
      <c r="A39" s="9">
        <v>41680</v>
      </c>
      <c r="B39" s="10">
        <v>8.85</v>
      </c>
      <c r="C39" s="11">
        <f t="shared" si="2"/>
        <v>5.1770030594737664</v>
      </c>
      <c r="D39" s="11">
        <f t="shared" si="3"/>
        <v>6.4818848857367382</v>
      </c>
      <c r="E39" s="12">
        <f t="shared" si="4"/>
        <v>3.6729969405262333</v>
      </c>
      <c r="F39" s="12">
        <f t="shared" si="5"/>
        <v>0.56665568816388456</v>
      </c>
    </row>
    <row r="40" spans="1:6" x14ac:dyDescent="0.3">
      <c r="A40" s="9">
        <v>41708</v>
      </c>
      <c r="B40" s="10">
        <v>10.7</v>
      </c>
      <c r="C40" s="11">
        <f t="shared" si="2"/>
        <v>5.1770030594737664</v>
      </c>
      <c r="D40" s="11">
        <f t="shared" si="3"/>
        <v>6.4818848857367382</v>
      </c>
      <c r="E40" s="12">
        <f t="shared" si="4"/>
        <v>5.5229969405262329</v>
      </c>
      <c r="F40" s="12">
        <f t="shared" si="5"/>
        <v>0.8520664957625953</v>
      </c>
    </row>
    <row r="41" spans="1:6" x14ac:dyDescent="0.3">
      <c r="A41" s="9">
        <v>41739</v>
      </c>
      <c r="B41" s="10">
        <v>33.26</v>
      </c>
      <c r="C41" s="11">
        <f t="shared" si="2"/>
        <v>5.1770030594737664</v>
      </c>
      <c r="D41" s="11">
        <f t="shared" si="3"/>
        <v>6.4818848857367382</v>
      </c>
      <c r="E41" s="12">
        <f t="shared" si="4"/>
        <v>28.082996940526233</v>
      </c>
      <c r="F41" s="12">
        <f t="shared" si="5"/>
        <v>4.3325355873447124</v>
      </c>
    </row>
    <row r="42" spans="1:6" x14ac:dyDescent="0.3">
      <c r="A42" s="9">
        <v>41769</v>
      </c>
      <c r="B42" s="10">
        <v>25.04</v>
      </c>
      <c r="C42" s="11">
        <f t="shared" si="2"/>
        <v>5.1770030594737664</v>
      </c>
      <c r="D42" s="11">
        <f t="shared" si="3"/>
        <v>6.4818848857367382</v>
      </c>
      <c r="E42" s="12">
        <f t="shared" si="4"/>
        <v>19.862996940526234</v>
      </c>
      <c r="F42" s="12">
        <f t="shared" si="5"/>
        <v>3.0643859449331434</v>
      </c>
    </row>
    <row r="43" spans="1:6" x14ac:dyDescent="0.3">
      <c r="A43" s="13">
        <v>41800</v>
      </c>
      <c r="B43" s="10">
        <v>17.21</v>
      </c>
      <c r="C43" s="11">
        <f t="shared" si="2"/>
        <v>5.1770030594737664</v>
      </c>
      <c r="D43" s="11">
        <f t="shared" si="3"/>
        <v>6.4818848857367382</v>
      </c>
      <c r="E43" s="12">
        <f t="shared" si="4"/>
        <v>12.032996940526235</v>
      </c>
      <c r="F43" s="12">
        <f t="shared" si="5"/>
        <v>1.8564039862856268</v>
      </c>
    </row>
    <row r="44" spans="1:6" x14ac:dyDescent="0.3">
      <c r="A44" s="9">
        <v>41830</v>
      </c>
      <c r="B44" s="10">
        <v>12.44</v>
      </c>
      <c r="C44" s="11">
        <f t="shared" si="2"/>
        <v>5.1770030594737664</v>
      </c>
      <c r="D44" s="11">
        <f t="shared" si="3"/>
        <v>6.4818848857367382</v>
      </c>
      <c r="E44" s="12">
        <f t="shared" si="4"/>
        <v>7.2629969405262331</v>
      </c>
      <c r="F44" s="12">
        <f t="shared" si="5"/>
        <v>1.120506931017599</v>
      </c>
    </row>
    <row r="45" spans="1:6" x14ac:dyDescent="0.3">
      <c r="A45" s="9">
        <v>41861</v>
      </c>
      <c r="B45" s="10">
        <v>8.49</v>
      </c>
      <c r="C45" s="11">
        <f t="shared" si="2"/>
        <v>5.1770030594737664</v>
      </c>
      <c r="D45" s="11">
        <f t="shared" si="3"/>
        <v>6.4818848857367382</v>
      </c>
      <c r="E45" s="12">
        <f t="shared" si="4"/>
        <v>3.3129969405262338</v>
      </c>
      <c r="F45" s="12">
        <f t="shared" si="5"/>
        <v>0.51111628776629758</v>
      </c>
    </row>
    <row r="46" spans="1:6" x14ac:dyDescent="0.3">
      <c r="A46" s="9">
        <v>41892</v>
      </c>
      <c r="B46" s="10">
        <v>5.01</v>
      </c>
      <c r="C46" s="11">
        <f t="shared" si="2"/>
        <v>5.1770030594737664</v>
      </c>
      <c r="D46" s="11">
        <f t="shared" si="3"/>
        <v>6.4818848857367382</v>
      </c>
      <c r="E46" s="12">
        <f t="shared" si="4"/>
        <v>-0.16700305947376659</v>
      </c>
      <c r="F46" s="12">
        <f t="shared" si="5"/>
        <v>-2.5764582743709869E-2</v>
      </c>
    </row>
    <row r="47" spans="1:6" x14ac:dyDescent="0.3">
      <c r="A47" s="9">
        <v>41922</v>
      </c>
      <c r="B47" s="10">
        <v>3.65</v>
      </c>
      <c r="C47" s="11">
        <f t="shared" si="2"/>
        <v>5.1770030594737664</v>
      </c>
      <c r="D47" s="11">
        <f t="shared" si="3"/>
        <v>6.4818848857367382</v>
      </c>
      <c r="E47" s="12">
        <f t="shared" si="4"/>
        <v>-1.5270030594737665</v>
      </c>
      <c r="F47" s="12">
        <f t="shared" si="5"/>
        <v>-0.2355800953568162</v>
      </c>
    </row>
    <row r="48" spans="1:6" x14ac:dyDescent="0.3">
      <c r="A48" s="9">
        <v>41953</v>
      </c>
      <c r="B48" s="10">
        <v>2.84</v>
      </c>
      <c r="C48" s="11">
        <f t="shared" si="2"/>
        <v>5.1770030594737664</v>
      </c>
      <c r="D48" s="11">
        <f t="shared" si="3"/>
        <v>6.4818848857367382</v>
      </c>
      <c r="E48" s="12">
        <f t="shared" si="4"/>
        <v>-2.3370030594737665</v>
      </c>
      <c r="F48" s="12">
        <f t="shared" si="5"/>
        <v>-0.36054374625138691</v>
      </c>
    </row>
    <row r="49" spans="1:6" x14ac:dyDescent="0.3">
      <c r="A49" s="9">
        <v>41983</v>
      </c>
      <c r="B49" s="10">
        <v>2.84</v>
      </c>
      <c r="C49" s="11">
        <f t="shared" si="2"/>
        <v>5.1770030594737664</v>
      </c>
      <c r="D49" s="11">
        <f t="shared" si="3"/>
        <v>6.4818848857367382</v>
      </c>
      <c r="E49" s="12">
        <f t="shared" si="4"/>
        <v>-2.3370030594737665</v>
      </c>
      <c r="F49" s="12">
        <f t="shared" si="5"/>
        <v>-0.36054374625138691</v>
      </c>
    </row>
    <row r="50" spans="1:6" x14ac:dyDescent="0.3">
      <c r="A50" s="9">
        <v>42014</v>
      </c>
      <c r="B50" s="10">
        <v>4.99</v>
      </c>
      <c r="C50" s="11">
        <f t="shared" si="2"/>
        <v>5.1770030594737664</v>
      </c>
      <c r="D50" s="11">
        <f t="shared" si="3"/>
        <v>6.4818848857367382</v>
      </c>
      <c r="E50" s="12">
        <f t="shared" si="4"/>
        <v>-0.18700305947376616</v>
      </c>
      <c r="F50" s="12">
        <f t="shared" si="5"/>
        <v>-2.8850104988020191E-2</v>
      </c>
    </row>
    <row r="51" spans="1:6" x14ac:dyDescent="0.3">
      <c r="A51" s="13">
        <v>42045</v>
      </c>
      <c r="B51" s="10">
        <v>5.09</v>
      </c>
      <c r="C51" s="11">
        <f t="shared" si="2"/>
        <v>5.1770030594737664</v>
      </c>
      <c r="D51" s="11">
        <f t="shared" si="3"/>
        <v>6.4818848857367382</v>
      </c>
      <c r="E51" s="12">
        <f t="shared" si="4"/>
        <v>-8.700305947376652E-2</v>
      </c>
      <c r="F51" s="12">
        <f t="shared" si="5"/>
        <v>-1.342249376646831E-2</v>
      </c>
    </row>
    <row r="52" spans="1:6" x14ac:dyDescent="0.3">
      <c r="A52" s="9">
        <v>42073</v>
      </c>
      <c r="B52" s="10">
        <v>5.61</v>
      </c>
      <c r="C52" s="11">
        <f t="shared" si="2"/>
        <v>5.1770030594737664</v>
      </c>
      <c r="D52" s="11">
        <f t="shared" si="3"/>
        <v>6.4818848857367382</v>
      </c>
      <c r="E52" s="12">
        <f t="shared" si="4"/>
        <v>0.43299694052623394</v>
      </c>
      <c r="F52" s="12">
        <f t="shared" si="5"/>
        <v>6.6801084585601841E-2</v>
      </c>
    </row>
    <row r="53" spans="1:6" x14ac:dyDescent="0.3">
      <c r="A53" s="9">
        <v>42104</v>
      </c>
      <c r="B53" s="10">
        <v>4.43</v>
      </c>
      <c r="C53" s="11">
        <f t="shared" si="2"/>
        <v>5.1770030594737664</v>
      </c>
      <c r="D53" s="11">
        <f t="shared" si="3"/>
        <v>6.4818848857367382</v>
      </c>
      <c r="E53" s="12">
        <f t="shared" si="4"/>
        <v>-0.74700305947376666</v>
      </c>
      <c r="F53" s="12">
        <f t="shared" si="5"/>
        <v>-0.11524472782871112</v>
      </c>
    </row>
    <row r="54" spans="1:6" x14ac:dyDescent="0.3">
      <c r="A54" s="9">
        <v>42134</v>
      </c>
      <c r="B54" s="10">
        <v>3.64</v>
      </c>
      <c r="C54" s="11">
        <f t="shared" si="2"/>
        <v>5.1770030594737664</v>
      </c>
      <c r="D54" s="11">
        <f t="shared" si="3"/>
        <v>6.4818848857367382</v>
      </c>
      <c r="E54" s="12">
        <f t="shared" si="4"/>
        <v>-1.5370030594737663</v>
      </c>
      <c r="F54" s="12">
        <f t="shared" si="5"/>
        <v>-0.23712285647897136</v>
      </c>
    </row>
    <row r="55" spans="1:6" x14ac:dyDescent="0.3">
      <c r="A55" s="9">
        <v>42165</v>
      </c>
      <c r="B55" s="10">
        <v>2.57</v>
      </c>
      <c r="C55" s="11">
        <f t="shared" si="2"/>
        <v>5.1770030594737664</v>
      </c>
      <c r="D55" s="11">
        <f t="shared" si="3"/>
        <v>6.4818848857367382</v>
      </c>
      <c r="E55" s="12">
        <f t="shared" si="4"/>
        <v>-2.6070030594737665</v>
      </c>
      <c r="F55" s="12">
        <f t="shared" si="5"/>
        <v>-0.40219829654957712</v>
      </c>
    </row>
    <row r="56" spans="1:6" x14ac:dyDescent="0.3">
      <c r="A56" s="9">
        <v>42195</v>
      </c>
      <c r="B56" s="10">
        <v>1.8</v>
      </c>
      <c r="C56" s="11">
        <f t="shared" si="2"/>
        <v>5.1770030594737664</v>
      </c>
      <c r="D56" s="11">
        <f t="shared" si="3"/>
        <v>6.4818848857367382</v>
      </c>
      <c r="E56" s="12">
        <f t="shared" si="4"/>
        <v>-3.3770030594737666</v>
      </c>
      <c r="F56" s="12">
        <f t="shared" si="5"/>
        <v>-0.52099090295552708</v>
      </c>
    </row>
    <row r="57" spans="1:6" x14ac:dyDescent="0.3">
      <c r="A57" s="9">
        <v>42226</v>
      </c>
      <c r="B57" s="10">
        <v>1.27</v>
      </c>
      <c r="C57" s="11">
        <f t="shared" si="2"/>
        <v>5.1770030594737664</v>
      </c>
      <c r="D57" s="11">
        <f t="shared" si="3"/>
        <v>6.4818848857367382</v>
      </c>
      <c r="E57" s="12">
        <f t="shared" si="4"/>
        <v>-3.9070030594737664</v>
      </c>
      <c r="F57" s="12">
        <f t="shared" si="5"/>
        <v>-0.60275724242975226</v>
      </c>
    </row>
    <row r="58" spans="1:6" x14ac:dyDescent="0.3">
      <c r="A58" s="9">
        <v>42257</v>
      </c>
      <c r="B58" s="10">
        <v>0.94</v>
      </c>
      <c r="C58" s="11">
        <f t="shared" si="2"/>
        <v>5.1770030594737664</v>
      </c>
      <c r="D58" s="11">
        <f t="shared" si="3"/>
        <v>6.4818848857367382</v>
      </c>
      <c r="E58" s="12">
        <f t="shared" si="4"/>
        <v>-4.237003059473766</v>
      </c>
      <c r="F58" s="12">
        <f t="shared" si="5"/>
        <v>-0.65366835946087365</v>
      </c>
    </row>
    <row r="59" spans="1:6" x14ac:dyDescent="0.3">
      <c r="A59" s="13">
        <v>42287</v>
      </c>
      <c r="B59" s="10">
        <v>0.81</v>
      </c>
      <c r="C59" s="11">
        <f t="shared" si="2"/>
        <v>5.1770030594737664</v>
      </c>
      <c r="D59" s="11">
        <f t="shared" si="3"/>
        <v>6.4818848857367382</v>
      </c>
      <c r="E59" s="12">
        <f t="shared" si="4"/>
        <v>-4.3670030594737668</v>
      </c>
      <c r="F59" s="12">
        <f t="shared" si="5"/>
        <v>-0.67372425404889125</v>
      </c>
    </row>
    <row r="60" spans="1:6" x14ac:dyDescent="0.3">
      <c r="A60" s="9">
        <v>42318</v>
      </c>
      <c r="B60" s="10">
        <v>0.59</v>
      </c>
      <c r="C60" s="11">
        <f t="shared" si="2"/>
        <v>5.1770030594737664</v>
      </c>
      <c r="D60" s="11">
        <f t="shared" si="3"/>
        <v>6.4818848857367382</v>
      </c>
      <c r="E60" s="12">
        <f t="shared" si="4"/>
        <v>-4.5870030594737665</v>
      </c>
      <c r="F60" s="12">
        <f t="shared" si="5"/>
        <v>-0.70766499873630551</v>
      </c>
    </row>
    <row r="61" spans="1:6" x14ac:dyDescent="0.3">
      <c r="A61" s="9">
        <v>42348</v>
      </c>
      <c r="B61" s="10">
        <v>0.49</v>
      </c>
      <c r="C61" s="11">
        <f t="shared" si="2"/>
        <v>5.1770030594737664</v>
      </c>
      <c r="D61" s="11">
        <f t="shared" si="3"/>
        <v>6.4818848857367382</v>
      </c>
      <c r="E61" s="12">
        <f t="shared" si="4"/>
        <v>-4.6870030594737662</v>
      </c>
      <c r="F61" s="12">
        <f t="shared" si="5"/>
        <v>-0.7230926099578574</v>
      </c>
    </row>
    <row r="62" spans="1:6" x14ac:dyDescent="0.3">
      <c r="A62" s="9">
        <v>42379</v>
      </c>
      <c r="B62" s="10">
        <v>0.39300000000000002</v>
      </c>
      <c r="C62" s="11">
        <f t="shared" si="2"/>
        <v>5.1770030594737664</v>
      </c>
      <c r="D62" s="11">
        <f t="shared" si="3"/>
        <v>6.4818848857367382</v>
      </c>
      <c r="E62" s="12">
        <f t="shared" si="4"/>
        <v>-4.7840030594737666</v>
      </c>
      <c r="F62" s="12">
        <f t="shared" si="5"/>
        <v>-0.73805739284276284</v>
      </c>
    </row>
    <row r="63" spans="1:6" x14ac:dyDescent="0.3">
      <c r="A63" s="9">
        <v>42410</v>
      </c>
      <c r="B63" s="10">
        <v>0.42</v>
      </c>
      <c r="C63" s="11">
        <f t="shared" si="2"/>
        <v>5.1770030594737664</v>
      </c>
      <c r="D63" s="11">
        <f t="shared" si="3"/>
        <v>6.4818848857367382</v>
      </c>
      <c r="E63" s="12">
        <f t="shared" si="4"/>
        <v>-4.7570030594737664</v>
      </c>
      <c r="F63" s="12">
        <f t="shared" si="5"/>
        <v>-0.73389193781294382</v>
      </c>
    </row>
    <row r="64" spans="1:6" x14ac:dyDescent="0.3">
      <c r="A64" s="9">
        <v>42439</v>
      </c>
      <c r="B64" s="10">
        <v>0.33</v>
      </c>
      <c r="C64" s="11">
        <f t="shared" si="2"/>
        <v>5.1770030594737664</v>
      </c>
      <c r="D64" s="11">
        <f t="shared" si="3"/>
        <v>6.4818848857367382</v>
      </c>
      <c r="E64" s="12">
        <f t="shared" si="4"/>
        <v>-4.8470030594737663</v>
      </c>
      <c r="F64" s="12">
        <f t="shared" si="5"/>
        <v>-0.74777678791234048</v>
      </c>
    </row>
    <row r="65" spans="1:6" x14ac:dyDescent="0.3">
      <c r="A65" s="9">
        <v>42470</v>
      </c>
      <c r="B65" s="10">
        <v>0.92</v>
      </c>
      <c r="C65" s="11">
        <f t="shared" si="2"/>
        <v>5.1770030594737664</v>
      </c>
      <c r="D65" s="11">
        <f t="shared" si="3"/>
        <v>6.4818848857367382</v>
      </c>
      <c r="E65" s="12">
        <f t="shared" si="4"/>
        <v>-4.2570030594737664</v>
      </c>
      <c r="F65" s="12">
        <f t="shared" si="5"/>
        <v>-0.65675388170518412</v>
      </c>
    </row>
    <row r="66" spans="1:6" x14ac:dyDescent="0.3">
      <c r="A66" s="9">
        <v>42500</v>
      </c>
      <c r="B66" s="10">
        <v>0.65</v>
      </c>
      <c r="C66" s="11">
        <f t="shared" si="2"/>
        <v>5.1770030594737664</v>
      </c>
      <c r="D66" s="11">
        <f t="shared" si="3"/>
        <v>6.4818848857367382</v>
      </c>
      <c r="E66" s="12">
        <f t="shared" si="4"/>
        <v>-4.527003059473766</v>
      </c>
      <c r="F66" s="12">
        <f t="shared" si="5"/>
        <v>-0.69840843200337421</v>
      </c>
    </row>
    <row r="67" spans="1:6" x14ac:dyDescent="0.3">
      <c r="A67" s="13">
        <v>42531</v>
      </c>
      <c r="B67" s="10">
        <v>0.45</v>
      </c>
      <c r="C67" s="11">
        <f t="shared" ref="C67:C130" si="6">AVERAGE($B$2:$B$172)</f>
        <v>5.1770030594737664</v>
      </c>
      <c r="D67" s="11">
        <f t="shared" ref="D67:D130" si="7">_xlfn.STDEV.S($B$2:$B$172)</f>
        <v>6.4818848857367382</v>
      </c>
      <c r="E67" s="12">
        <f t="shared" ref="E67:E130" si="8">B67-C67</f>
        <v>-4.7270030594737662</v>
      </c>
      <c r="F67" s="12">
        <f t="shared" ref="F67:F130" si="9">E67/D67</f>
        <v>-0.72926365444647812</v>
      </c>
    </row>
    <row r="68" spans="1:6" x14ac:dyDescent="0.3">
      <c r="A68" s="9">
        <v>42561</v>
      </c>
      <c r="B68" s="10">
        <v>0.25900000000000001</v>
      </c>
      <c r="C68" s="11">
        <f t="shared" si="6"/>
        <v>5.1770030594737664</v>
      </c>
      <c r="D68" s="11">
        <f t="shared" si="7"/>
        <v>6.4818848857367382</v>
      </c>
      <c r="E68" s="12">
        <f t="shared" si="8"/>
        <v>-4.918003059473766</v>
      </c>
      <c r="F68" s="12">
        <f t="shared" si="9"/>
        <v>-0.75873039187964231</v>
      </c>
    </row>
    <row r="69" spans="1:6" x14ac:dyDescent="0.3">
      <c r="A69" s="9">
        <v>42592</v>
      </c>
      <c r="B69" s="10">
        <v>0.24</v>
      </c>
      <c r="C69" s="11">
        <f t="shared" si="6"/>
        <v>5.1770030594737664</v>
      </c>
      <c r="D69" s="11">
        <f t="shared" si="7"/>
        <v>6.4818848857367382</v>
      </c>
      <c r="E69" s="12">
        <f t="shared" si="8"/>
        <v>-4.9370030594737662</v>
      </c>
      <c r="F69" s="12">
        <f t="shared" si="9"/>
        <v>-0.76166163801173725</v>
      </c>
    </row>
    <row r="70" spans="1:6" x14ac:dyDescent="0.3">
      <c r="A70" s="9">
        <v>42623</v>
      </c>
      <c r="B70" s="10">
        <v>0.19</v>
      </c>
      <c r="C70" s="11">
        <f t="shared" si="6"/>
        <v>5.1770030594737664</v>
      </c>
      <c r="D70" s="11">
        <f t="shared" si="7"/>
        <v>6.4818848857367382</v>
      </c>
      <c r="E70" s="12">
        <f t="shared" si="8"/>
        <v>-4.987003059473766</v>
      </c>
      <c r="F70" s="12">
        <f t="shared" si="9"/>
        <v>-0.7693754436225132</v>
      </c>
    </row>
    <row r="71" spans="1:6" x14ac:dyDescent="0.3">
      <c r="A71" s="9">
        <v>42653</v>
      </c>
      <c r="B71" s="10">
        <v>0.17</v>
      </c>
      <c r="C71" s="11">
        <f t="shared" si="6"/>
        <v>5.1770030594737664</v>
      </c>
      <c r="D71" s="11">
        <f t="shared" si="7"/>
        <v>6.4818848857367382</v>
      </c>
      <c r="E71" s="12">
        <f t="shared" si="8"/>
        <v>-5.0070030594737664</v>
      </c>
      <c r="F71" s="12">
        <f t="shared" si="9"/>
        <v>-0.77246096586682367</v>
      </c>
    </row>
    <row r="72" spans="1:6" x14ac:dyDescent="0.3">
      <c r="A72" s="9">
        <v>42684</v>
      </c>
      <c r="B72" s="10">
        <v>0.16</v>
      </c>
      <c r="C72" s="11">
        <f t="shared" si="6"/>
        <v>5.1770030594737664</v>
      </c>
      <c r="D72" s="11">
        <f t="shared" si="7"/>
        <v>6.4818848857367382</v>
      </c>
      <c r="E72" s="12">
        <f t="shared" si="8"/>
        <v>-5.0170030594737662</v>
      </c>
      <c r="F72" s="12">
        <f t="shared" si="9"/>
        <v>-0.77400372698897879</v>
      </c>
    </row>
    <row r="73" spans="1:6" x14ac:dyDescent="0.3">
      <c r="A73" s="9">
        <v>42714</v>
      </c>
      <c r="B73" s="10">
        <v>0.73</v>
      </c>
      <c r="C73" s="11">
        <f t="shared" si="6"/>
        <v>5.1770030594737664</v>
      </c>
      <c r="D73" s="11">
        <f t="shared" si="7"/>
        <v>6.4818848857367382</v>
      </c>
      <c r="E73" s="12">
        <f t="shared" si="8"/>
        <v>-4.4470030594737668</v>
      </c>
      <c r="F73" s="12">
        <f t="shared" si="9"/>
        <v>-0.68606634302613279</v>
      </c>
    </row>
    <row r="74" spans="1:6" x14ac:dyDescent="0.3">
      <c r="A74" s="9">
        <v>42745</v>
      </c>
      <c r="B74" s="10">
        <v>1.7</v>
      </c>
      <c r="C74" s="11">
        <f t="shared" si="6"/>
        <v>5.1770030594737664</v>
      </c>
      <c r="D74" s="11">
        <f t="shared" si="7"/>
        <v>6.4818848857367382</v>
      </c>
      <c r="E74" s="12">
        <f t="shared" si="8"/>
        <v>-3.4770030594737662</v>
      </c>
      <c r="F74" s="12">
        <f t="shared" si="9"/>
        <v>-0.53641851417707898</v>
      </c>
    </row>
    <row r="75" spans="1:6" x14ac:dyDescent="0.3">
      <c r="A75" s="13">
        <v>42776</v>
      </c>
      <c r="B75" s="10">
        <v>4.83</v>
      </c>
      <c r="C75" s="11">
        <f t="shared" si="6"/>
        <v>5.1770030594737664</v>
      </c>
      <c r="D75" s="11">
        <f t="shared" si="7"/>
        <v>6.4818848857367382</v>
      </c>
      <c r="E75" s="12">
        <f t="shared" si="8"/>
        <v>-0.34700305947376631</v>
      </c>
      <c r="F75" s="12">
        <f t="shared" si="9"/>
        <v>-5.3534282942503314E-2</v>
      </c>
    </row>
    <row r="76" spans="1:6" x14ac:dyDescent="0.3">
      <c r="A76" s="9">
        <v>42804</v>
      </c>
      <c r="B76" s="10">
        <v>8.2200000000000006</v>
      </c>
      <c r="C76" s="11">
        <f t="shared" si="6"/>
        <v>5.1770030594737664</v>
      </c>
      <c r="D76" s="11">
        <f t="shared" si="7"/>
        <v>6.4818848857367382</v>
      </c>
      <c r="E76" s="12">
        <f t="shared" si="8"/>
        <v>3.0429969405262343</v>
      </c>
      <c r="F76" s="12">
        <f t="shared" si="9"/>
        <v>0.46946173746810743</v>
      </c>
    </row>
    <row r="77" spans="1:6" x14ac:dyDescent="0.3">
      <c r="A77" s="9">
        <v>42835</v>
      </c>
      <c r="B77" s="10">
        <v>8.44</v>
      </c>
      <c r="C77" s="11">
        <f t="shared" si="6"/>
        <v>5.1770030594737664</v>
      </c>
      <c r="D77" s="11">
        <f t="shared" si="7"/>
        <v>6.4818848857367382</v>
      </c>
      <c r="E77" s="12">
        <f t="shared" si="8"/>
        <v>3.2629969405262331</v>
      </c>
      <c r="F77" s="12">
        <f t="shared" si="9"/>
        <v>0.50340248215552152</v>
      </c>
    </row>
    <row r="78" spans="1:6" x14ac:dyDescent="0.3">
      <c r="A78" s="9">
        <v>42865</v>
      </c>
      <c r="B78" s="10">
        <v>5.92</v>
      </c>
      <c r="C78" s="11">
        <f t="shared" si="6"/>
        <v>5.1770030594737664</v>
      </c>
      <c r="D78" s="11">
        <f t="shared" si="7"/>
        <v>6.4818848857367382</v>
      </c>
      <c r="E78" s="12">
        <f t="shared" si="8"/>
        <v>0.74299694052623355</v>
      </c>
      <c r="F78" s="12">
        <f t="shared" si="9"/>
        <v>0.11462667937241278</v>
      </c>
    </row>
    <row r="79" spans="1:6" x14ac:dyDescent="0.3">
      <c r="A79" s="9">
        <v>42896</v>
      </c>
      <c r="B79" s="10">
        <v>4.5</v>
      </c>
      <c r="C79" s="11">
        <f t="shared" si="6"/>
        <v>5.1770030594737664</v>
      </c>
      <c r="D79" s="11">
        <f t="shared" si="7"/>
        <v>6.4818848857367382</v>
      </c>
      <c r="E79" s="12">
        <f t="shared" si="8"/>
        <v>-0.67700305947376638</v>
      </c>
      <c r="F79" s="12">
        <f t="shared" si="9"/>
        <v>-0.10444539997362472</v>
      </c>
    </row>
    <row r="80" spans="1:6" x14ac:dyDescent="0.3">
      <c r="A80" s="9">
        <v>42926</v>
      </c>
      <c r="B80" s="10">
        <v>3.0720000000000001</v>
      </c>
      <c r="C80" s="11">
        <f t="shared" si="6"/>
        <v>5.1770030594737664</v>
      </c>
      <c r="D80" s="11">
        <f t="shared" si="7"/>
        <v>6.4818848857367382</v>
      </c>
      <c r="E80" s="12">
        <f t="shared" si="8"/>
        <v>-2.1050030594737663</v>
      </c>
      <c r="F80" s="12">
        <f t="shared" si="9"/>
        <v>-0.32475168821738637</v>
      </c>
    </row>
    <row r="81" spans="1:6" x14ac:dyDescent="0.3">
      <c r="A81" s="9">
        <v>42957</v>
      </c>
      <c r="B81" s="10">
        <v>2.04</v>
      </c>
      <c r="C81" s="11">
        <f t="shared" si="6"/>
        <v>5.1770030594737664</v>
      </c>
      <c r="D81" s="11">
        <f t="shared" si="7"/>
        <v>6.4818848857367382</v>
      </c>
      <c r="E81" s="12">
        <f t="shared" si="8"/>
        <v>-3.1370030594737663</v>
      </c>
      <c r="F81" s="12">
        <f t="shared" si="9"/>
        <v>-0.48396463602380235</v>
      </c>
    </row>
    <row r="82" spans="1:6" x14ac:dyDescent="0.3">
      <c r="A82" s="9">
        <v>42988</v>
      </c>
      <c r="B82" s="10">
        <v>1.38</v>
      </c>
      <c r="C82" s="11">
        <f t="shared" si="6"/>
        <v>5.1770030594737664</v>
      </c>
      <c r="D82" s="11">
        <f t="shared" si="7"/>
        <v>6.4818848857367382</v>
      </c>
      <c r="E82" s="12">
        <f t="shared" si="8"/>
        <v>-3.7970030594737665</v>
      </c>
      <c r="F82" s="12">
        <f t="shared" si="9"/>
        <v>-0.58578687008604524</v>
      </c>
    </row>
    <row r="83" spans="1:6" x14ac:dyDescent="0.3">
      <c r="A83" s="13">
        <v>43018</v>
      </c>
      <c r="B83" s="10">
        <v>0.94</v>
      </c>
      <c r="C83" s="11">
        <f t="shared" si="6"/>
        <v>5.1770030594737664</v>
      </c>
      <c r="D83" s="11">
        <f t="shared" si="7"/>
        <v>6.4818848857367382</v>
      </c>
      <c r="E83" s="12">
        <f t="shared" si="8"/>
        <v>-4.237003059473766</v>
      </c>
      <c r="F83" s="12">
        <f t="shared" si="9"/>
        <v>-0.65366835946087365</v>
      </c>
    </row>
    <row r="84" spans="1:6" x14ac:dyDescent="0.3">
      <c r="A84" s="9">
        <v>43049</v>
      </c>
      <c r="B84" s="10">
        <v>0.98</v>
      </c>
      <c r="C84" s="11">
        <f t="shared" si="6"/>
        <v>5.1770030594737664</v>
      </c>
      <c r="D84" s="11">
        <f t="shared" si="7"/>
        <v>6.4818848857367382</v>
      </c>
      <c r="E84" s="12">
        <f t="shared" si="8"/>
        <v>-4.1970030594737668</v>
      </c>
      <c r="F84" s="12">
        <f t="shared" si="9"/>
        <v>-0.64749731497225305</v>
      </c>
    </row>
    <row r="85" spans="1:6" x14ac:dyDescent="0.3">
      <c r="A85" s="9">
        <v>43079</v>
      </c>
      <c r="B85" s="10">
        <v>1.43</v>
      </c>
      <c r="C85" s="11">
        <f t="shared" si="6"/>
        <v>5.1770030594737664</v>
      </c>
      <c r="D85" s="11">
        <f t="shared" si="7"/>
        <v>6.4818848857367382</v>
      </c>
      <c r="E85" s="12">
        <f t="shared" si="8"/>
        <v>-3.7470030594737667</v>
      </c>
      <c r="F85" s="12">
        <f t="shared" si="9"/>
        <v>-0.57807306447526929</v>
      </c>
    </row>
    <row r="86" spans="1:6" x14ac:dyDescent="0.3">
      <c r="A86" s="9">
        <v>43110</v>
      </c>
      <c r="B86" s="10">
        <v>3.52</v>
      </c>
      <c r="C86" s="11">
        <f t="shared" si="6"/>
        <v>5.1770030594737664</v>
      </c>
      <c r="D86" s="11">
        <f t="shared" si="7"/>
        <v>6.4818848857367382</v>
      </c>
      <c r="E86" s="12">
        <f t="shared" si="8"/>
        <v>-1.6570030594737664</v>
      </c>
      <c r="F86" s="12">
        <f t="shared" si="9"/>
        <v>-0.25563598994483372</v>
      </c>
    </row>
    <row r="87" spans="1:6" x14ac:dyDescent="0.3">
      <c r="A87" s="9">
        <v>43141</v>
      </c>
      <c r="B87" s="10">
        <v>2.95</v>
      </c>
      <c r="C87" s="11">
        <f t="shared" si="6"/>
        <v>5.1770030594737664</v>
      </c>
      <c r="D87" s="11">
        <f t="shared" si="7"/>
        <v>6.4818848857367382</v>
      </c>
      <c r="E87" s="12">
        <f t="shared" si="8"/>
        <v>-2.2270030594737662</v>
      </c>
      <c r="F87" s="12">
        <f t="shared" si="9"/>
        <v>-0.34357337390767972</v>
      </c>
    </row>
    <row r="88" spans="1:6" x14ac:dyDescent="0.3">
      <c r="A88" s="9">
        <v>43169</v>
      </c>
      <c r="B88" s="10">
        <v>3.13</v>
      </c>
      <c r="C88" s="11">
        <f t="shared" si="6"/>
        <v>5.1770030594737664</v>
      </c>
      <c r="D88" s="11">
        <f t="shared" si="7"/>
        <v>6.4818848857367382</v>
      </c>
      <c r="E88" s="12">
        <f t="shared" si="8"/>
        <v>-2.0470030594737665</v>
      </c>
      <c r="F88" s="12">
        <f t="shared" si="9"/>
        <v>-0.31580367370888629</v>
      </c>
    </row>
    <row r="89" spans="1:6" x14ac:dyDescent="0.3">
      <c r="A89" s="9">
        <v>43200</v>
      </c>
      <c r="B89" s="10">
        <v>3.2</v>
      </c>
      <c r="C89" s="11">
        <f t="shared" si="6"/>
        <v>5.1770030594737664</v>
      </c>
      <c r="D89" s="11">
        <f t="shared" si="7"/>
        <v>6.4818848857367382</v>
      </c>
      <c r="E89" s="12">
        <f t="shared" si="8"/>
        <v>-1.9770030594737662</v>
      </c>
      <c r="F89" s="12">
        <f t="shared" si="9"/>
        <v>-0.30500434585379987</v>
      </c>
    </row>
    <row r="90" spans="1:6" x14ac:dyDescent="0.3">
      <c r="A90" s="13">
        <v>43230</v>
      </c>
      <c r="B90" s="10">
        <v>3.87</v>
      </c>
      <c r="C90" s="11">
        <f t="shared" si="6"/>
        <v>5.1770030594737664</v>
      </c>
      <c r="D90" s="11">
        <f t="shared" si="7"/>
        <v>6.4818848857367382</v>
      </c>
      <c r="E90" s="12">
        <f t="shared" si="8"/>
        <v>-1.3070030594737663</v>
      </c>
      <c r="F90" s="12">
        <f t="shared" si="9"/>
        <v>-0.20163935066940192</v>
      </c>
    </row>
    <row r="91" spans="1:6" x14ac:dyDescent="0.3">
      <c r="A91" s="9">
        <v>43261</v>
      </c>
      <c r="B91" s="10">
        <v>3.03</v>
      </c>
      <c r="C91" s="11">
        <f t="shared" si="6"/>
        <v>5.1770030594737664</v>
      </c>
      <c r="D91" s="11">
        <f t="shared" si="7"/>
        <v>6.4818848857367382</v>
      </c>
      <c r="E91" s="12">
        <f t="shared" si="8"/>
        <v>-2.1470030594737666</v>
      </c>
      <c r="F91" s="12">
        <f t="shared" si="9"/>
        <v>-0.33123128493043824</v>
      </c>
    </row>
    <row r="92" spans="1:6" x14ac:dyDescent="0.3">
      <c r="A92" s="9">
        <v>43291</v>
      </c>
      <c r="B92" s="10">
        <v>2.19</v>
      </c>
      <c r="C92" s="11">
        <f t="shared" si="6"/>
        <v>5.1770030594737664</v>
      </c>
      <c r="D92" s="11">
        <f t="shared" si="7"/>
        <v>6.4818848857367382</v>
      </c>
      <c r="E92" s="12">
        <f t="shared" si="8"/>
        <v>-2.9870030594737664</v>
      </c>
      <c r="F92" s="12">
        <f t="shared" si="9"/>
        <v>-0.46082321919147451</v>
      </c>
    </row>
    <row r="93" spans="1:6" x14ac:dyDescent="0.3">
      <c r="A93" s="9">
        <v>43322</v>
      </c>
      <c r="B93" s="10">
        <v>1.5</v>
      </c>
      <c r="C93" s="11">
        <f t="shared" si="6"/>
        <v>5.1770030594737664</v>
      </c>
      <c r="D93" s="11">
        <f t="shared" si="7"/>
        <v>6.4818848857367382</v>
      </c>
      <c r="E93" s="12">
        <f t="shared" si="8"/>
        <v>-3.6770030594737664</v>
      </c>
      <c r="F93" s="12">
        <f t="shared" si="9"/>
        <v>-0.56727373662018288</v>
      </c>
    </row>
    <row r="94" spans="1:6" x14ac:dyDescent="0.3">
      <c r="A94" s="9">
        <v>43353</v>
      </c>
      <c r="B94" s="10">
        <v>1.08</v>
      </c>
      <c r="C94" s="11">
        <f t="shared" si="6"/>
        <v>5.1770030594737664</v>
      </c>
      <c r="D94" s="11">
        <f t="shared" si="7"/>
        <v>6.4818848857367382</v>
      </c>
      <c r="E94" s="12">
        <f t="shared" si="8"/>
        <v>-4.0970030594737663</v>
      </c>
      <c r="F94" s="12">
        <f t="shared" si="9"/>
        <v>-0.63206970375070093</v>
      </c>
    </row>
    <row r="95" spans="1:6" x14ac:dyDescent="0.3">
      <c r="A95" s="9">
        <v>43383</v>
      </c>
      <c r="B95" s="10">
        <v>0.79</v>
      </c>
      <c r="C95" s="11">
        <f t="shared" si="6"/>
        <v>5.1770030594737664</v>
      </c>
      <c r="D95" s="11">
        <f t="shared" si="7"/>
        <v>6.4818848857367382</v>
      </c>
      <c r="E95" s="12">
        <f t="shared" si="8"/>
        <v>-4.3870030594737663</v>
      </c>
      <c r="F95" s="12">
        <f t="shared" si="9"/>
        <v>-0.6768097762932016</v>
      </c>
    </row>
    <row r="96" spans="1:6" x14ac:dyDescent="0.3">
      <c r="A96" s="9">
        <v>43414</v>
      </c>
      <c r="B96" s="10">
        <v>0.64</v>
      </c>
      <c r="C96" s="11">
        <f t="shared" si="6"/>
        <v>5.1770030594737664</v>
      </c>
      <c r="D96" s="11">
        <f t="shared" si="7"/>
        <v>6.4818848857367382</v>
      </c>
      <c r="E96" s="12">
        <f t="shared" si="8"/>
        <v>-4.5370030594737667</v>
      </c>
      <c r="F96" s="12">
        <f t="shared" si="9"/>
        <v>-0.69995119312552956</v>
      </c>
    </row>
    <row r="97" spans="1:6" x14ac:dyDescent="0.3">
      <c r="A97" s="13">
        <v>43444</v>
      </c>
      <c r="B97" s="10">
        <v>0.57999999999999996</v>
      </c>
      <c r="C97" s="11">
        <f t="shared" si="6"/>
        <v>5.1770030594737664</v>
      </c>
      <c r="D97" s="11">
        <f t="shared" si="7"/>
        <v>6.4818848857367382</v>
      </c>
      <c r="E97" s="12">
        <f t="shared" si="8"/>
        <v>-4.5970030594737663</v>
      </c>
      <c r="F97" s="12">
        <f t="shared" si="9"/>
        <v>-0.70920775985846063</v>
      </c>
    </row>
    <row r="98" spans="1:6" x14ac:dyDescent="0.3">
      <c r="A98" s="9">
        <v>43475</v>
      </c>
      <c r="B98" s="10">
        <v>0.82</v>
      </c>
      <c r="C98" s="11">
        <f t="shared" si="6"/>
        <v>5.1770030594737664</v>
      </c>
      <c r="D98" s="11">
        <f t="shared" si="7"/>
        <v>6.4818848857367382</v>
      </c>
      <c r="E98" s="12">
        <f t="shared" si="8"/>
        <v>-4.3570030594737661</v>
      </c>
      <c r="F98" s="12">
        <f t="shared" si="9"/>
        <v>-0.67218149292673601</v>
      </c>
    </row>
    <row r="99" spans="1:6" x14ac:dyDescent="0.3">
      <c r="A99" s="9">
        <v>43506</v>
      </c>
      <c r="B99" s="10">
        <v>1.71</v>
      </c>
      <c r="C99" s="11">
        <f t="shared" si="6"/>
        <v>5.1770030594737664</v>
      </c>
      <c r="D99" s="11">
        <f t="shared" si="7"/>
        <v>6.4818848857367382</v>
      </c>
      <c r="E99" s="12">
        <f t="shared" si="8"/>
        <v>-3.4670030594737664</v>
      </c>
      <c r="F99" s="12">
        <f t="shared" si="9"/>
        <v>-0.53487575305492374</v>
      </c>
    </row>
    <row r="100" spans="1:6" x14ac:dyDescent="0.3">
      <c r="A100" s="9">
        <v>43534</v>
      </c>
      <c r="B100" s="10">
        <v>3.14</v>
      </c>
      <c r="C100" s="11">
        <f t="shared" si="6"/>
        <v>5.1770030594737664</v>
      </c>
      <c r="D100" s="11">
        <f t="shared" si="7"/>
        <v>6.4818848857367382</v>
      </c>
      <c r="E100" s="12">
        <f t="shared" si="8"/>
        <v>-2.0370030594737663</v>
      </c>
      <c r="F100" s="12">
        <f t="shared" si="9"/>
        <v>-0.31426091258673106</v>
      </c>
    </row>
    <row r="101" spans="1:6" x14ac:dyDescent="0.3">
      <c r="A101" s="9">
        <v>43565</v>
      </c>
      <c r="B101" s="10">
        <v>2.69</v>
      </c>
      <c r="C101" s="11">
        <f t="shared" si="6"/>
        <v>5.1770030594737664</v>
      </c>
      <c r="D101" s="11">
        <f t="shared" si="7"/>
        <v>6.4818848857367382</v>
      </c>
      <c r="E101" s="12">
        <f t="shared" si="8"/>
        <v>-2.4870030594737664</v>
      </c>
      <c r="F101" s="12">
        <f t="shared" si="9"/>
        <v>-0.38368516308371481</v>
      </c>
    </row>
    <row r="102" spans="1:6" x14ac:dyDescent="0.3">
      <c r="A102" s="9">
        <v>43595</v>
      </c>
      <c r="B102" s="10">
        <v>2.78</v>
      </c>
      <c r="C102" s="11">
        <f t="shared" si="6"/>
        <v>5.1770030594737664</v>
      </c>
      <c r="D102" s="11">
        <f t="shared" si="7"/>
        <v>6.4818848857367382</v>
      </c>
      <c r="E102" s="12">
        <f t="shared" si="8"/>
        <v>-2.3970030594737666</v>
      </c>
      <c r="F102" s="12">
        <f t="shared" si="9"/>
        <v>-0.36980031298431809</v>
      </c>
    </row>
    <row r="103" spans="1:6" x14ac:dyDescent="0.3">
      <c r="A103" s="9">
        <v>43626</v>
      </c>
      <c r="B103" s="10">
        <v>1.78</v>
      </c>
      <c r="C103" s="11">
        <f t="shared" si="6"/>
        <v>5.1770030594737664</v>
      </c>
      <c r="D103" s="11">
        <f t="shared" si="7"/>
        <v>6.4818848857367382</v>
      </c>
      <c r="E103" s="12">
        <f t="shared" si="8"/>
        <v>-3.3970030594737661</v>
      </c>
      <c r="F103" s="12">
        <f t="shared" si="9"/>
        <v>-0.52407642519983744</v>
      </c>
    </row>
    <row r="104" spans="1:6" x14ac:dyDescent="0.3">
      <c r="A104" s="13">
        <v>43656</v>
      </c>
      <c r="B104" s="10">
        <v>1.19</v>
      </c>
      <c r="C104" s="11">
        <f t="shared" si="6"/>
        <v>5.1770030594737664</v>
      </c>
      <c r="D104" s="11">
        <f t="shared" si="7"/>
        <v>6.4818848857367382</v>
      </c>
      <c r="E104" s="12">
        <f t="shared" si="8"/>
        <v>-3.9870030594737664</v>
      </c>
      <c r="F104" s="12">
        <f t="shared" si="9"/>
        <v>-0.61509933140699391</v>
      </c>
    </row>
    <row r="105" spans="1:6" x14ac:dyDescent="0.3">
      <c r="A105" s="9">
        <v>43687</v>
      </c>
      <c r="B105" s="10">
        <v>0.76300000000000001</v>
      </c>
      <c r="C105" s="11">
        <f t="shared" si="6"/>
        <v>5.1770030594737664</v>
      </c>
      <c r="D105" s="11">
        <f t="shared" si="7"/>
        <v>6.4818848857367382</v>
      </c>
      <c r="E105" s="12">
        <f t="shared" si="8"/>
        <v>-4.4140030594737665</v>
      </c>
      <c r="F105" s="12">
        <f t="shared" si="9"/>
        <v>-0.68097523132302062</v>
      </c>
    </row>
    <row r="106" spans="1:6" x14ac:dyDescent="0.3">
      <c r="A106" s="9">
        <v>43718</v>
      </c>
      <c r="B106" s="10">
        <v>0.53</v>
      </c>
      <c r="C106" s="11">
        <f t="shared" si="6"/>
        <v>5.1770030594737664</v>
      </c>
      <c r="D106" s="11">
        <f t="shared" si="7"/>
        <v>6.4818848857367382</v>
      </c>
      <c r="E106" s="12">
        <f t="shared" si="8"/>
        <v>-4.6470030594737661</v>
      </c>
      <c r="F106" s="12">
        <f t="shared" si="9"/>
        <v>-0.71692156546923658</v>
      </c>
    </row>
    <row r="107" spans="1:6" x14ac:dyDescent="0.3">
      <c r="A107" s="9">
        <v>43748</v>
      </c>
      <c r="B107" s="10">
        <v>0.41</v>
      </c>
      <c r="C107" s="11">
        <f t="shared" si="6"/>
        <v>5.1770030594737664</v>
      </c>
      <c r="D107" s="11">
        <f t="shared" si="7"/>
        <v>6.4818848857367382</v>
      </c>
      <c r="E107" s="12">
        <f t="shared" si="8"/>
        <v>-4.7670030594737662</v>
      </c>
      <c r="F107" s="12">
        <f t="shared" si="9"/>
        <v>-0.73543469893509894</v>
      </c>
    </row>
    <row r="108" spans="1:6" x14ac:dyDescent="0.3">
      <c r="A108" s="9">
        <v>43779</v>
      </c>
      <c r="B108" s="10">
        <v>0.26700000000000002</v>
      </c>
      <c r="C108" s="11">
        <f t="shared" si="6"/>
        <v>5.1770030594737664</v>
      </c>
      <c r="D108" s="11">
        <f t="shared" si="7"/>
        <v>6.4818848857367382</v>
      </c>
      <c r="E108" s="12">
        <f t="shared" si="8"/>
        <v>-4.910003059473766</v>
      </c>
      <c r="F108" s="12">
        <f t="shared" si="9"/>
        <v>-0.75749618298191823</v>
      </c>
    </row>
    <row r="109" spans="1:6" x14ac:dyDescent="0.3">
      <c r="A109" s="9">
        <v>43809</v>
      </c>
      <c r="B109" s="10">
        <v>0.46</v>
      </c>
      <c r="C109" s="11">
        <f t="shared" si="6"/>
        <v>5.1770030594737664</v>
      </c>
      <c r="D109" s="11">
        <f t="shared" si="7"/>
        <v>6.4818848857367382</v>
      </c>
      <c r="E109" s="12">
        <f t="shared" si="8"/>
        <v>-4.7170030594737664</v>
      </c>
      <c r="F109" s="12">
        <f t="shared" si="9"/>
        <v>-0.72772089332432299</v>
      </c>
    </row>
    <row r="110" spans="1:6" x14ac:dyDescent="0.3">
      <c r="A110" s="9">
        <v>43840</v>
      </c>
      <c r="B110" s="10">
        <v>0.255</v>
      </c>
      <c r="C110" s="11">
        <f t="shared" si="6"/>
        <v>5.1770030594737664</v>
      </c>
      <c r="D110" s="11">
        <f t="shared" si="7"/>
        <v>6.4818848857367382</v>
      </c>
      <c r="E110" s="12">
        <f t="shared" si="8"/>
        <v>-4.9220030594737665</v>
      </c>
      <c r="F110" s="12">
        <f t="shared" si="9"/>
        <v>-0.75934749632850451</v>
      </c>
    </row>
    <row r="111" spans="1:6" x14ac:dyDescent="0.3">
      <c r="A111" s="13">
        <v>43871</v>
      </c>
      <c r="B111" s="10">
        <v>1.38</v>
      </c>
      <c r="C111" s="11">
        <f t="shared" si="6"/>
        <v>5.1770030594737664</v>
      </c>
      <c r="D111" s="11">
        <f t="shared" si="7"/>
        <v>6.4818848857367382</v>
      </c>
      <c r="E111" s="12">
        <f t="shared" si="8"/>
        <v>-3.7970030594737665</v>
      </c>
      <c r="F111" s="12">
        <f t="shared" si="9"/>
        <v>-0.58578687008604524</v>
      </c>
    </row>
    <row r="112" spans="1:6" x14ac:dyDescent="0.3">
      <c r="A112" s="9">
        <v>43900</v>
      </c>
      <c r="B112" s="10">
        <v>2.16</v>
      </c>
      <c r="C112" s="11">
        <f t="shared" si="6"/>
        <v>5.1770030594737664</v>
      </c>
      <c r="D112" s="11">
        <f t="shared" si="7"/>
        <v>6.4818848857367382</v>
      </c>
      <c r="E112" s="12">
        <f t="shared" si="8"/>
        <v>-3.0170030594737662</v>
      </c>
      <c r="F112" s="12">
        <f t="shared" si="9"/>
        <v>-0.46545150255794004</v>
      </c>
    </row>
    <row r="113" spans="1:6" x14ac:dyDescent="0.3">
      <c r="A113" s="9">
        <v>43931</v>
      </c>
      <c r="B113" s="10">
        <v>1.98</v>
      </c>
      <c r="C113" s="11">
        <f t="shared" si="6"/>
        <v>5.1770030594737664</v>
      </c>
      <c r="D113" s="11">
        <f t="shared" si="7"/>
        <v>6.4818848857367382</v>
      </c>
      <c r="E113" s="12">
        <f t="shared" si="8"/>
        <v>-3.1970030594737664</v>
      </c>
      <c r="F113" s="12">
        <f t="shared" si="9"/>
        <v>-0.49322120275673353</v>
      </c>
    </row>
    <row r="114" spans="1:6" x14ac:dyDescent="0.3">
      <c r="A114" s="9">
        <v>43961</v>
      </c>
      <c r="B114" s="10">
        <v>2.13</v>
      </c>
      <c r="C114" s="11">
        <f t="shared" si="6"/>
        <v>5.1770030594737664</v>
      </c>
      <c r="D114" s="11">
        <f t="shared" si="7"/>
        <v>6.4818848857367382</v>
      </c>
      <c r="E114" s="12">
        <f t="shared" si="8"/>
        <v>-3.0470030594737665</v>
      </c>
      <c r="F114" s="12">
        <f t="shared" si="9"/>
        <v>-0.47007978592440564</v>
      </c>
    </row>
    <row r="115" spans="1:6" x14ac:dyDescent="0.3">
      <c r="A115" s="9">
        <v>43992</v>
      </c>
      <c r="B115" s="10">
        <v>1.57</v>
      </c>
      <c r="C115" s="11">
        <f t="shared" si="6"/>
        <v>5.1770030594737664</v>
      </c>
      <c r="D115" s="11">
        <f t="shared" si="7"/>
        <v>6.4818848857367382</v>
      </c>
      <c r="E115" s="12">
        <f t="shared" si="8"/>
        <v>-3.6070030594737661</v>
      </c>
      <c r="F115" s="12">
        <f t="shared" si="9"/>
        <v>-0.55647440876509646</v>
      </c>
    </row>
    <row r="116" spans="1:6" x14ac:dyDescent="0.3">
      <c r="A116" s="9">
        <v>44022</v>
      </c>
      <c r="B116" s="10">
        <v>1.19</v>
      </c>
      <c r="C116" s="11">
        <f t="shared" si="6"/>
        <v>5.1770030594737664</v>
      </c>
      <c r="D116" s="11">
        <f t="shared" si="7"/>
        <v>6.4818848857367382</v>
      </c>
      <c r="E116" s="12">
        <f t="shared" si="8"/>
        <v>-3.9870030594737664</v>
      </c>
      <c r="F116" s="12">
        <f t="shared" si="9"/>
        <v>-0.61509933140699391</v>
      </c>
    </row>
    <row r="117" spans="1:6" x14ac:dyDescent="0.3">
      <c r="A117" s="9">
        <v>44053</v>
      </c>
      <c r="B117" s="10">
        <v>0.83</v>
      </c>
      <c r="C117" s="11">
        <f t="shared" si="6"/>
        <v>5.1770030594737664</v>
      </c>
      <c r="D117" s="11">
        <f t="shared" si="7"/>
        <v>6.4818848857367382</v>
      </c>
      <c r="E117" s="12">
        <f t="shared" si="8"/>
        <v>-4.3470030594737663</v>
      </c>
      <c r="F117" s="12">
        <f t="shared" si="9"/>
        <v>-0.67063873180458078</v>
      </c>
    </row>
    <row r="118" spans="1:6" x14ac:dyDescent="0.3">
      <c r="A118" s="13">
        <v>44084</v>
      </c>
      <c r="B118" s="10">
        <v>0.59</v>
      </c>
      <c r="C118" s="11">
        <f t="shared" si="6"/>
        <v>5.1770030594737664</v>
      </c>
      <c r="D118" s="11">
        <f t="shared" si="7"/>
        <v>6.4818848857367382</v>
      </c>
      <c r="E118" s="12">
        <f t="shared" si="8"/>
        <v>-4.5870030594737665</v>
      </c>
      <c r="F118" s="12">
        <f t="shared" si="9"/>
        <v>-0.70766499873630551</v>
      </c>
    </row>
    <row r="119" spans="1:6" x14ac:dyDescent="0.3">
      <c r="A119" s="9">
        <v>44114</v>
      </c>
      <c r="B119" s="10">
        <v>0.46</v>
      </c>
      <c r="C119" s="11">
        <f t="shared" si="6"/>
        <v>5.1770030594737664</v>
      </c>
      <c r="D119" s="11">
        <f t="shared" si="7"/>
        <v>6.4818848857367382</v>
      </c>
      <c r="E119" s="12">
        <f t="shared" si="8"/>
        <v>-4.7170030594737664</v>
      </c>
      <c r="F119" s="12">
        <f t="shared" si="9"/>
        <v>-0.72772089332432299</v>
      </c>
    </row>
    <row r="120" spans="1:6" x14ac:dyDescent="0.3">
      <c r="A120" s="9">
        <v>44145</v>
      </c>
      <c r="B120" s="10">
        <v>0.60599999999999998</v>
      </c>
      <c r="C120" s="11">
        <f t="shared" si="6"/>
        <v>5.1770030594737664</v>
      </c>
      <c r="D120" s="11">
        <f t="shared" si="7"/>
        <v>6.4818848857367382</v>
      </c>
      <c r="E120" s="12">
        <f t="shared" si="8"/>
        <v>-4.5710030594737665</v>
      </c>
      <c r="F120" s="12">
        <f t="shared" si="9"/>
        <v>-0.70519658094085713</v>
      </c>
    </row>
    <row r="121" spans="1:6" x14ac:dyDescent="0.3">
      <c r="A121" s="9">
        <v>44175</v>
      </c>
      <c r="B121" s="10">
        <v>0.56000000000000005</v>
      </c>
      <c r="C121" s="11">
        <f t="shared" si="6"/>
        <v>5.1770030594737664</v>
      </c>
      <c r="D121" s="11">
        <f t="shared" si="7"/>
        <v>6.4818848857367382</v>
      </c>
      <c r="E121" s="12">
        <f t="shared" si="8"/>
        <v>-4.6170030594737668</v>
      </c>
      <c r="F121" s="12">
        <f t="shared" si="9"/>
        <v>-0.7122932821027711</v>
      </c>
    </row>
    <row r="122" spans="1:6" x14ac:dyDescent="0.3">
      <c r="A122" s="9">
        <v>44206</v>
      </c>
      <c r="B122" s="10">
        <v>0.76</v>
      </c>
      <c r="C122" s="11">
        <f t="shared" si="6"/>
        <v>5.1770030594737664</v>
      </c>
      <c r="D122" s="11">
        <f t="shared" si="7"/>
        <v>6.4818848857367382</v>
      </c>
      <c r="E122" s="12">
        <f t="shared" si="8"/>
        <v>-4.4170030594737666</v>
      </c>
      <c r="F122" s="12">
        <f t="shared" si="9"/>
        <v>-0.68143805965966719</v>
      </c>
    </row>
    <row r="123" spans="1:6" x14ac:dyDescent="0.3">
      <c r="A123" s="13">
        <v>44237</v>
      </c>
      <c r="B123" s="27"/>
      <c r="C123" s="11">
        <f t="shared" si="6"/>
        <v>5.1770030594737664</v>
      </c>
      <c r="D123" s="11">
        <f t="shared" si="7"/>
        <v>6.4818848857367382</v>
      </c>
      <c r="E123" s="12">
        <f t="shared" si="8"/>
        <v>-5.1770030594737664</v>
      </c>
      <c r="F123" s="12">
        <f t="shared" si="9"/>
        <v>-0.79868790494346187</v>
      </c>
    </row>
    <row r="124" spans="1:6" x14ac:dyDescent="0.3">
      <c r="A124" s="9">
        <v>44265</v>
      </c>
      <c r="B124" s="26"/>
      <c r="C124" s="11">
        <f t="shared" si="6"/>
        <v>5.1770030594737664</v>
      </c>
      <c r="D124" s="11">
        <f t="shared" si="7"/>
        <v>6.4818848857367382</v>
      </c>
      <c r="E124" s="12">
        <f t="shared" si="8"/>
        <v>-5.1770030594737664</v>
      </c>
      <c r="F124" s="12">
        <f t="shared" si="9"/>
        <v>-0.79868790494346187</v>
      </c>
    </row>
    <row r="125" spans="1:6" x14ac:dyDescent="0.3">
      <c r="A125" s="9">
        <v>44296</v>
      </c>
      <c r="B125" s="10">
        <v>6.02</v>
      </c>
      <c r="C125" s="11">
        <f t="shared" si="6"/>
        <v>5.1770030594737664</v>
      </c>
      <c r="D125" s="11">
        <f t="shared" si="7"/>
        <v>6.4818848857367382</v>
      </c>
      <c r="E125" s="12">
        <f t="shared" si="8"/>
        <v>0.8429969405262332</v>
      </c>
      <c r="F125" s="12">
        <f t="shared" si="9"/>
        <v>0.13005429059396467</v>
      </c>
    </row>
    <row r="126" spans="1:6" x14ac:dyDescent="0.3">
      <c r="A126" s="9">
        <v>44326</v>
      </c>
      <c r="B126" s="10">
        <v>5.24</v>
      </c>
      <c r="C126" s="11">
        <f t="shared" si="6"/>
        <v>5.1770030594737664</v>
      </c>
      <c r="D126" s="11">
        <f t="shared" si="7"/>
        <v>6.4818848857367382</v>
      </c>
      <c r="E126" s="12">
        <f t="shared" si="8"/>
        <v>6.2996940526233836E-2</v>
      </c>
      <c r="F126" s="12">
        <f t="shared" si="9"/>
        <v>9.7189230658596519E-3</v>
      </c>
    </row>
    <row r="127" spans="1:6" x14ac:dyDescent="0.3">
      <c r="A127" s="9">
        <v>44357</v>
      </c>
      <c r="B127" s="10">
        <v>4.01</v>
      </c>
      <c r="C127" s="11">
        <f t="shared" si="6"/>
        <v>5.1770030594737664</v>
      </c>
      <c r="D127" s="11">
        <f t="shared" si="7"/>
        <v>6.4818848857367382</v>
      </c>
      <c r="E127" s="12">
        <f t="shared" si="8"/>
        <v>-1.1670030594737666</v>
      </c>
      <c r="F127" s="12">
        <f t="shared" si="9"/>
        <v>-0.18004069495922925</v>
      </c>
    </row>
    <row r="128" spans="1:6" x14ac:dyDescent="0.3">
      <c r="A128" s="9">
        <v>44387</v>
      </c>
      <c r="B128" s="10">
        <v>3.11</v>
      </c>
      <c r="C128" s="11">
        <f t="shared" si="6"/>
        <v>5.1770030594737664</v>
      </c>
      <c r="D128" s="11">
        <f t="shared" si="7"/>
        <v>6.4818848857367382</v>
      </c>
      <c r="E128" s="12">
        <f t="shared" si="8"/>
        <v>-2.0670030594737665</v>
      </c>
      <c r="F128" s="12">
        <f t="shared" si="9"/>
        <v>-0.31888919595319665</v>
      </c>
    </row>
    <row r="129" spans="1:6" x14ac:dyDescent="0.3">
      <c r="A129" s="9">
        <v>44418</v>
      </c>
      <c r="B129" s="10">
        <v>1.377</v>
      </c>
      <c r="C129" s="11">
        <f t="shared" si="6"/>
        <v>5.1770030594737664</v>
      </c>
      <c r="D129" s="11">
        <f t="shared" si="7"/>
        <v>6.4818848857367382</v>
      </c>
      <c r="E129" s="12">
        <f t="shared" si="8"/>
        <v>-3.8000030594737666</v>
      </c>
      <c r="F129" s="12">
        <f t="shared" si="9"/>
        <v>-0.58624969842269181</v>
      </c>
    </row>
    <row r="130" spans="1:6" x14ac:dyDescent="0.3">
      <c r="A130" s="9">
        <v>44449</v>
      </c>
      <c r="B130" s="10">
        <v>1.0169999999999999</v>
      </c>
      <c r="C130" s="11">
        <f t="shared" si="6"/>
        <v>5.1770030594737664</v>
      </c>
      <c r="D130" s="11">
        <f t="shared" si="7"/>
        <v>6.4818848857367382</v>
      </c>
      <c r="E130" s="12">
        <f t="shared" si="8"/>
        <v>-4.160003059473766</v>
      </c>
      <c r="F130" s="12">
        <f t="shared" si="9"/>
        <v>-0.64178909882027868</v>
      </c>
    </row>
    <row r="131" spans="1:6" x14ac:dyDescent="0.3">
      <c r="A131" s="9">
        <v>44479</v>
      </c>
      <c r="B131" s="3">
        <v>0.84</v>
      </c>
      <c r="C131" s="11">
        <f t="shared" ref="C131:C172" si="10">AVERAGE($B$2:$B$172)</f>
        <v>5.1770030594737664</v>
      </c>
      <c r="D131" s="11">
        <f t="shared" ref="D131:D172" si="11">_xlfn.STDEV.S($B$2:$B$172)</f>
        <v>6.4818848857367382</v>
      </c>
      <c r="E131" s="12">
        <f t="shared" ref="E131:E171" si="12">B131-C131</f>
        <v>-4.3370030594737665</v>
      </c>
      <c r="F131" s="12">
        <f t="shared" ref="F131:F171" si="13">E131/D131</f>
        <v>-0.66909597068242566</v>
      </c>
    </row>
    <row r="132" spans="1:6" x14ac:dyDescent="0.3">
      <c r="A132" s="9">
        <v>44510</v>
      </c>
      <c r="B132" s="19">
        <v>0.88</v>
      </c>
      <c r="C132" s="11">
        <f t="shared" si="10"/>
        <v>5.1770030594737664</v>
      </c>
      <c r="D132" s="11">
        <f t="shared" si="11"/>
        <v>6.4818848857367382</v>
      </c>
      <c r="E132" s="12">
        <f t="shared" si="12"/>
        <v>-4.2970030594737665</v>
      </c>
      <c r="F132" s="12">
        <f t="shared" si="13"/>
        <v>-0.66292492619380483</v>
      </c>
    </row>
    <row r="133" spans="1:6" x14ac:dyDescent="0.3">
      <c r="A133" s="9">
        <v>44540</v>
      </c>
      <c r="B133" s="3">
        <v>1.48</v>
      </c>
      <c r="C133" s="11">
        <f t="shared" si="10"/>
        <v>5.1770030594737664</v>
      </c>
      <c r="D133" s="11">
        <f t="shared" si="11"/>
        <v>6.4818848857367382</v>
      </c>
      <c r="E133" s="12">
        <f t="shared" si="12"/>
        <v>-3.6970030594737664</v>
      </c>
      <c r="F133" s="12">
        <f t="shared" si="13"/>
        <v>-0.57035925886449323</v>
      </c>
    </row>
    <row r="134" spans="1:6" x14ac:dyDescent="0.3">
      <c r="A134" s="9">
        <v>44571</v>
      </c>
      <c r="B134" s="3">
        <v>4.46</v>
      </c>
      <c r="C134" s="11">
        <f t="shared" si="10"/>
        <v>5.1770030594737664</v>
      </c>
      <c r="D134" s="11">
        <f t="shared" si="11"/>
        <v>6.4818848857367382</v>
      </c>
      <c r="E134" s="12">
        <f t="shared" si="12"/>
        <v>-0.71700305947376641</v>
      </c>
      <c r="F134" s="12">
        <f t="shared" si="13"/>
        <v>-0.1106164444622455</v>
      </c>
    </row>
    <row r="135" spans="1:6" x14ac:dyDescent="0.3">
      <c r="A135" s="9">
        <v>44602</v>
      </c>
      <c r="B135" s="3">
        <v>9.59</v>
      </c>
      <c r="C135" s="11">
        <f t="shared" si="10"/>
        <v>5.1770030594737664</v>
      </c>
      <c r="D135" s="11">
        <f t="shared" si="11"/>
        <v>6.4818848857367382</v>
      </c>
      <c r="E135" s="12">
        <f t="shared" si="12"/>
        <v>4.4129969405262335</v>
      </c>
      <c r="F135" s="12">
        <f t="shared" si="13"/>
        <v>0.68082001120336888</v>
      </c>
    </row>
    <row r="136" spans="1:6" x14ac:dyDescent="0.3">
      <c r="A136" s="9">
        <v>44630</v>
      </c>
      <c r="B136" s="3">
        <v>10.42</v>
      </c>
      <c r="C136" s="11">
        <f t="shared" si="10"/>
        <v>5.1770030594737664</v>
      </c>
      <c r="D136" s="11">
        <f t="shared" si="11"/>
        <v>6.4818848857367382</v>
      </c>
      <c r="E136" s="12">
        <f t="shared" si="12"/>
        <v>5.2429969405262336</v>
      </c>
      <c r="F136" s="12">
        <f t="shared" si="13"/>
        <v>0.80886918434224997</v>
      </c>
    </row>
    <row r="137" spans="1:6" x14ac:dyDescent="0.3">
      <c r="A137" s="9">
        <v>44661</v>
      </c>
      <c r="B137" s="3">
        <v>8.2100000000000009</v>
      </c>
      <c r="C137" s="11">
        <f t="shared" si="10"/>
        <v>5.1770030594737664</v>
      </c>
      <c r="D137" s="11">
        <f t="shared" si="11"/>
        <v>6.4818848857367382</v>
      </c>
      <c r="E137" s="12">
        <f t="shared" si="12"/>
        <v>3.0329969405262345</v>
      </c>
      <c r="F137" s="12">
        <f t="shared" si="13"/>
        <v>0.46791897634595231</v>
      </c>
    </row>
    <row r="138" spans="1:6" x14ac:dyDescent="0.3">
      <c r="A138" s="9">
        <v>44691</v>
      </c>
      <c r="B138" s="3">
        <v>7.89</v>
      </c>
      <c r="C138" s="11">
        <f t="shared" si="10"/>
        <v>5.1770030594737664</v>
      </c>
      <c r="D138" s="11">
        <f t="shared" si="11"/>
        <v>6.4818848857367382</v>
      </c>
      <c r="E138" s="12">
        <f t="shared" si="12"/>
        <v>2.7129969405262333</v>
      </c>
      <c r="F138" s="12">
        <f t="shared" si="13"/>
        <v>0.41855062043698593</v>
      </c>
    </row>
    <row r="139" spans="1:6" x14ac:dyDescent="0.3">
      <c r="A139" s="9">
        <v>44722</v>
      </c>
      <c r="B139" s="3">
        <v>8.31</v>
      </c>
      <c r="C139" s="11">
        <f t="shared" si="10"/>
        <v>5.1770030594737664</v>
      </c>
      <c r="D139" s="11">
        <f t="shared" si="11"/>
        <v>6.4818848857367382</v>
      </c>
      <c r="E139" s="12">
        <f t="shared" si="12"/>
        <v>3.1329969405262341</v>
      </c>
      <c r="F139" s="12">
        <f t="shared" si="13"/>
        <v>0.4833465875675042</v>
      </c>
    </row>
    <row r="140" spans="1:6" x14ac:dyDescent="0.3">
      <c r="A140" s="9">
        <v>44752</v>
      </c>
      <c r="B140" s="3">
        <v>7.18</v>
      </c>
      <c r="C140" s="11">
        <f t="shared" si="10"/>
        <v>5.1770030594737664</v>
      </c>
      <c r="D140" s="11">
        <f t="shared" si="11"/>
        <v>6.4818848857367382</v>
      </c>
      <c r="E140" s="12">
        <f t="shared" si="12"/>
        <v>2.0029969405262333</v>
      </c>
      <c r="F140" s="12">
        <f t="shared" si="13"/>
        <v>0.30901458076396715</v>
      </c>
    </row>
    <row r="141" spans="1:6" x14ac:dyDescent="0.3">
      <c r="A141" s="9">
        <v>44783</v>
      </c>
      <c r="B141" s="3">
        <v>5.39</v>
      </c>
      <c r="C141" s="11">
        <f t="shared" si="10"/>
        <v>5.1770030594737664</v>
      </c>
      <c r="D141" s="11">
        <f t="shared" si="11"/>
        <v>6.4818848857367382</v>
      </c>
      <c r="E141" s="12">
        <f t="shared" si="12"/>
        <v>0.2129969405262333</v>
      </c>
      <c r="F141" s="12">
        <f t="shared" si="13"/>
        <v>3.2860339898187478E-2</v>
      </c>
    </row>
    <row r="142" spans="1:6" x14ac:dyDescent="0.3">
      <c r="A142" s="9">
        <v>44814</v>
      </c>
      <c r="B142" s="3">
        <v>3.2730000000000001</v>
      </c>
      <c r="C142" s="11">
        <f t="shared" si="10"/>
        <v>5.1770030594737664</v>
      </c>
      <c r="D142" s="11">
        <f t="shared" si="11"/>
        <v>6.4818848857367382</v>
      </c>
      <c r="E142" s="12">
        <f t="shared" si="12"/>
        <v>-1.9040030594737662</v>
      </c>
      <c r="F142" s="12">
        <f t="shared" si="13"/>
        <v>-0.293742189662067</v>
      </c>
    </row>
    <row r="143" spans="1:6" x14ac:dyDescent="0.3">
      <c r="A143" s="13">
        <v>44844</v>
      </c>
      <c r="B143" s="4">
        <v>1.866346774193548</v>
      </c>
      <c r="C143" s="11">
        <f t="shared" si="10"/>
        <v>5.1770030594737664</v>
      </c>
      <c r="D143" s="11">
        <f t="shared" si="11"/>
        <v>6.4818848857367382</v>
      </c>
      <c r="E143" s="12">
        <f t="shared" si="12"/>
        <v>-3.3106562852802184</v>
      </c>
      <c r="F143" s="12">
        <f t="shared" si="13"/>
        <v>-0.51075518057490554</v>
      </c>
    </row>
    <row r="144" spans="1:6" x14ac:dyDescent="0.3">
      <c r="A144" s="9">
        <v>44875</v>
      </c>
      <c r="B144" s="4">
        <v>2.5736666666666665</v>
      </c>
      <c r="C144" s="11">
        <f t="shared" si="10"/>
        <v>5.1770030594737664</v>
      </c>
      <c r="D144" s="11">
        <f t="shared" si="11"/>
        <v>6.4818848857367382</v>
      </c>
      <c r="E144" s="12">
        <f t="shared" si="12"/>
        <v>-2.6033363928070998</v>
      </c>
      <c r="F144" s="12">
        <f t="shared" si="13"/>
        <v>-0.40163261747145357</v>
      </c>
    </row>
    <row r="145" spans="1:6" x14ac:dyDescent="0.3">
      <c r="A145" s="9">
        <v>44905</v>
      </c>
      <c r="B145" s="4">
        <v>4.2254838709677411</v>
      </c>
      <c r="C145" s="11">
        <f t="shared" si="10"/>
        <v>5.1770030594737664</v>
      </c>
      <c r="D145" s="11">
        <f t="shared" si="11"/>
        <v>6.4818848857367382</v>
      </c>
      <c r="E145" s="12">
        <f t="shared" si="12"/>
        <v>-0.95151918850602524</v>
      </c>
      <c r="F145" s="12">
        <f t="shared" si="13"/>
        <v>-0.1467966811011755</v>
      </c>
    </row>
    <row r="146" spans="1:6" x14ac:dyDescent="0.3">
      <c r="A146" s="9">
        <v>44936</v>
      </c>
      <c r="B146" s="4">
        <v>9.7606451612903218</v>
      </c>
      <c r="C146" s="11">
        <f t="shared" si="10"/>
        <v>5.1770030594737664</v>
      </c>
      <c r="D146" s="11">
        <f t="shared" si="11"/>
        <v>6.4818848857367382</v>
      </c>
      <c r="E146" s="12">
        <f t="shared" si="12"/>
        <v>4.5836421018165554</v>
      </c>
      <c r="F146" s="12">
        <f t="shared" si="13"/>
        <v>0.70714648325563001</v>
      </c>
    </row>
    <row r="147" spans="1:6" x14ac:dyDescent="0.3">
      <c r="A147" s="9">
        <v>44967</v>
      </c>
      <c r="B147" s="4">
        <v>10.080833333333333</v>
      </c>
      <c r="C147" s="11">
        <f t="shared" si="10"/>
        <v>5.1770030594737664</v>
      </c>
      <c r="D147" s="11">
        <f t="shared" si="11"/>
        <v>6.4818848857367382</v>
      </c>
      <c r="E147" s="12">
        <f t="shared" si="12"/>
        <v>4.9038302738595663</v>
      </c>
      <c r="F147" s="12">
        <f t="shared" si="13"/>
        <v>0.75654386961581954</v>
      </c>
    </row>
    <row r="148" spans="1:6" x14ac:dyDescent="0.3">
      <c r="A148" s="9">
        <v>44995</v>
      </c>
      <c r="B148" s="4">
        <v>36.547256202863643</v>
      </c>
      <c r="C148" s="11">
        <f t="shared" si="10"/>
        <v>5.1770030594737664</v>
      </c>
      <c r="D148" s="11">
        <f t="shared" si="11"/>
        <v>6.4818848857367382</v>
      </c>
      <c r="E148" s="12">
        <f t="shared" si="12"/>
        <v>31.370253143389878</v>
      </c>
      <c r="F148" s="12">
        <f t="shared" si="13"/>
        <v>4.8396806941788659</v>
      </c>
    </row>
    <row r="149" spans="1:6" x14ac:dyDescent="0.3">
      <c r="A149" s="9">
        <v>45026</v>
      </c>
      <c r="B149" s="4">
        <v>32.240046804571428</v>
      </c>
      <c r="C149" s="11">
        <f t="shared" si="10"/>
        <v>5.1770030594737664</v>
      </c>
      <c r="D149" s="11">
        <f t="shared" si="11"/>
        <v>6.4818848857367382</v>
      </c>
      <c r="E149" s="12">
        <f t="shared" si="12"/>
        <v>27.063043745097662</v>
      </c>
      <c r="F149" s="12">
        <f t="shared" si="13"/>
        <v>4.1751811737121969</v>
      </c>
    </row>
    <row r="150" spans="1:6" x14ac:dyDescent="0.3">
      <c r="A150" s="9">
        <v>45056</v>
      </c>
      <c r="B150" s="4">
        <v>27.110274192903226</v>
      </c>
      <c r="C150" s="11">
        <f t="shared" si="10"/>
        <v>5.1770030594737664</v>
      </c>
      <c r="D150" s="11">
        <f t="shared" si="11"/>
        <v>6.4818848857367382</v>
      </c>
      <c r="E150" s="12">
        <f t="shared" si="12"/>
        <v>21.933271133429461</v>
      </c>
      <c r="F150" s="12">
        <f t="shared" si="13"/>
        <v>3.3837797986343752</v>
      </c>
    </row>
    <row r="151" spans="1:6" x14ac:dyDescent="0.3">
      <c r="A151" s="9">
        <v>45087</v>
      </c>
      <c r="B151" s="4">
        <v>14.956819390645162</v>
      </c>
      <c r="C151" s="11">
        <f t="shared" si="10"/>
        <v>5.1770030594737664</v>
      </c>
      <c r="D151" s="11">
        <f t="shared" si="11"/>
        <v>6.4818848857367382</v>
      </c>
      <c r="E151" s="12">
        <f t="shared" si="12"/>
        <v>9.7798163311713964</v>
      </c>
      <c r="F151" s="12">
        <f t="shared" si="13"/>
        <v>1.5087920417549674</v>
      </c>
    </row>
    <row r="152" spans="1:6" x14ac:dyDescent="0.3">
      <c r="A152" s="9">
        <v>45117</v>
      </c>
      <c r="B152" s="20">
        <v>13.539577956677418</v>
      </c>
      <c r="C152" s="11">
        <f t="shared" si="10"/>
        <v>5.1770030594737664</v>
      </c>
      <c r="D152" s="11">
        <f t="shared" si="11"/>
        <v>6.4818848857367382</v>
      </c>
      <c r="E152" s="12">
        <f t="shared" si="12"/>
        <v>8.3625748972036504</v>
      </c>
      <c r="F152" s="12">
        <f t="shared" si="13"/>
        <v>1.2901455432516757</v>
      </c>
    </row>
    <row r="153" spans="1:6" x14ac:dyDescent="0.3">
      <c r="A153" s="9">
        <v>45148</v>
      </c>
      <c r="B153" s="4">
        <v>7.7173709677096793</v>
      </c>
      <c r="C153" s="11">
        <f t="shared" si="10"/>
        <v>5.1770030594737664</v>
      </c>
      <c r="D153" s="11">
        <f t="shared" si="11"/>
        <v>6.4818848857367382</v>
      </c>
      <c r="E153" s="12">
        <f t="shared" si="12"/>
        <v>2.540367908235913</v>
      </c>
      <c r="F153" s="12">
        <f t="shared" si="13"/>
        <v>0.39191808447970794</v>
      </c>
    </row>
    <row r="154" spans="1:6" x14ac:dyDescent="0.3">
      <c r="A154" s="9">
        <v>45179</v>
      </c>
      <c r="B154" s="4">
        <v>0.92</v>
      </c>
      <c r="C154" s="11">
        <f t="shared" si="10"/>
        <v>5.1770030594737664</v>
      </c>
      <c r="D154" s="11">
        <f t="shared" si="11"/>
        <v>6.4818848857367382</v>
      </c>
      <c r="E154" s="12">
        <f t="shared" si="12"/>
        <v>-4.2570030594737664</v>
      </c>
      <c r="F154" s="12">
        <f t="shared" si="13"/>
        <v>-0.65675388170518412</v>
      </c>
    </row>
    <row r="155" spans="1:6" x14ac:dyDescent="0.3">
      <c r="A155" s="9">
        <v>45209</v>
      </c>
      <c r="B155" s="4">
        <v>1.23</v>
      </c>
      <c r="C155" s="11">
        <f t="shared" si="10"/>
        <v>5.1770030594737664</v>
      </c>
      <c r="D155" s="11">
        <f t="shared" si="11"/>
        <v>6.4818848857367382</v>
      </c>
      <c r="E155" s="12">
        <f t="shared" si="12"/>
        <v>-3.9470030594737664</v>
      </c>
      <c r="F155" s="12">
        <f t="shared" si="13"/>
        <v>-0.60892828691837309</v>
      </c>
    </row>
    <row r="156" spans="1:6" x14ac:dyDescent="0.3">
      <c r="A156" s="9">
        <v>45240</v>
      </c>
      <c r="B156" s="4">
        <v>1.32</v>
      </c>
      <c r="C156" s="11">
        <f t="shared" si="10"/>
        <v>5.1770030594737664</v>
      </c>
      <c r="D156" s="11">
        <f t="shared" si="11"/>
        <v>6.4818848857367382</v>
      </c>
      <c r="E156" s="12">
        <f t="shared" si="12"/>
        <v>-3.8570030594737661</v>
      </c>
      <c r="F156" s="12">
        <f t="shared" si="13"/>
        <v>-0.59504343681897631</v>
      </c>
    </row>
    <row r="157" spans="1:6" x14ac:dyDescent="0.3">
      <c r="A157" s="9">
        <v>45270</v>
      </c>
      <c r="B157" s="4">
        <v>3.8780407852687659</v>
      </c>
      <c r="C157" s="11">
        <f t="shared" si="10"/>
        <v>5.1770030594737664</v>
      </c>
      <c r="D157" s="11">
        <f t="shared" si="11"/>
        <v>6.4818848857367382</v>
      </c>
      <c r="E157" s="12">
        <f t="shared" si="12"/>
        <v>-1.2989622742050004</v>
      </c>
      <c r="F157" s="12">
        <f t="shared" si="13"/>
        <v>-0.20039884957897688</v>
      </c>
    </row>
    <row r="158" spans="1:6" x14ac:dyDescent="0.3">
      <c r="A158" s="9">
        <v>45301</v>
      </c>
      <c r="B158" s="4">
        <v>19.278204529800266</v>
      </c>
      <c r="C158" s="11">
        <f t="shared" si="10"/>
        <v>5.1770030594737664</v>
      </c>
      <c r="D158" s="11">
        <f t="shared" si="11"/>
        <v>6.4818848857367382</v>
      </c>
      <c r="E158" s="12">
        <f t="shared" si="12"/>
        <v>14.101201470326501</v>
      </c>
      <c r="F158" s="12">
        <f t="shared" si="13"/>
        <v>2.1754785404097379</v>
      </c>
    </row>
    <row r="159" spans="1:6" x14ac:dyDescent="0.3">
      <c r="A159" s="9">
        <v>45332</v>
      </c>
      <c r="B159" s="4">
        <v>13.630342203299291</v>
      </c>
      <c r="C159" s="11">
        <f t="shared" si="10"/>
        <v>5.1770030594737664</v>
      </c>
      <c r="D159" s="11">
        <f t="shared" si="11"/>
        <v>6.4818848857367382</v>
      </c>
      <c r="E159" s="12">
        <f t="shared" si="12"/>
        <v>8.4533391438255236</v>
      </c>
      <c r="F159" s="12">
        <f t="shared" si="13"/>
        <v>1.304148298348669</v>
      </c>
    </row>
    <row r="160" spans="1:6" x14ac:dyDescent="0.3">
      <c r="A160" s="9">
        <v>45361</v>
      </c>
      <c r="B160" s="4">
        <v>9.4355191514021168</v>
      </c>
      <c r="C160" s="11">
        <f t="shared" si="10"/>
        <v>5.1770030594737664</v>
      </c>
      <c r="D160" s="11">
        <f t="shared" si="11"/>
        <v>6.4818848857367382</v>
      </c>
      <c r="E160" s="12">
        <f t="shared" si="12"/>
        <v>4.2585160919283505</v>
      </c>
      <c r="F160" s="12">
        <f t="shared" si="13"/>
        <v>0.6569873064699332</v>
      </c>
    </row>
    <row r="161" spans="1:6" x14ac:dyDescent="0.3">
      <c r="A161" s="9">
        <v>45392</v>
      </c>
      <c r="B161" s="4">
        <v>5.68</v>
      </c>
      <c r="C161" s="11">
        <f t="shared" si="10"/>
        <v>5.1770030594737664</v>
      </c>
      <c r="D161" s="11">
        <f t="shared" si="11"/>
        <v>6.4818848857367382</v>
      </c>
      <c r="E161" s="12">
        <f t="shared" si="12"/>
        <v>0.50299694052623334</v>
      </c>
      <c r="F161" s="12">
        <f t="shared" si="13"/>
        <v>7.7600412440688105E-2</v>
      </c>
    </row>
    <row r="162" spans="1:6" x14ac:dyDescent="0.3">
      <c r="A162" s="9">
        <v>45422</v>
      </c>
      <c r="B162" s="4">
        <v>4.67</v>
      </c>
      <c r="C162" s="11">
        <f t="shared" si="10"/>
        <v>5.1770030594737664</v>
      </c>
      <c r="D162" s="11">
        <f t="shared" si="11"/>
        <v>6.4818848857367382</v>
      </c>
      <c r="E162" s="12">
        <f t="shared" si="12"/>
        <v>-0.50700305947376645</v>
      </c>
      <c r="F162" s="12">
        <f t="shared" si="13"/>
        <v>-7.8218460896986433E-2</v>
      </c>
    </row>
    <row r="163" spans="1:6" x14ac:dyDescent="0.3">
      <c r="A163" s="9">
        <v>45453</v>
      </c>
      <c r="B163" s="4">
        <v>3.05</v>
      </c>
      <c r="C163" s="11">
        <f t="shared" si="10"/>
        <v>5.1770030594737664</v>
      </c>
      <c r="D163" s="11">
        <f t="shared" si="11"/>
        <v>6.4818848857367382</v>
      </c>
      <c r="E163" s="12">
        <f t="shared" si="12"/>
        <v>-2.1270030594737666</v>
      </c>
      <c r="F163" s="12">
        <f t="shared" si="13"/>
        <v>-0.32814576268612783</v>
      </c>
    </row>
    <row r="164" spans="1:6" x14ac:dyDescent="0.3">
      <c r="A164" s="9">
        <v>45483</v>
      </c>
      <c r="B164" s="21">
        <v>2.09</v>
      </c>
      <c r="C164" s="11">
        <f t="shared" si="10"/>
        <v>5.1770030594737664</v>
      </c>
      <c r="D164" s="11">
        <f t="shared" si="11"/>
        <v>6.4818848857367382</v>
      </c>
      <c r="E164" s="12">
        <f t="shared" si="12"/>
        <v>-3.0870030594737665</v>
      </c>
      <c r="F164" s="12">
        <f t="shared" si="13"/>
        <v>-0.47625083041302646</v>
      </c>
    </row>
    <row r="165" spans="1:6" x14ac:dyDescent="0.3">
      <c r="A165" s="9">
        <v>45514</v>
      </c>
      <c r="B165" s="22">
        <v>1.73</v>
      </c>
      <c r="C165" s="11">
        <f t="shared" si="10"/>
        <v>5.1770030594737664</v>
      </c>
      <c r="D165" s="11">
        <f t="shared" si="11"/>
        <v>6.4818848857367382</v>
      </c>
      <c r="E165" s="12">
        <f t="shared" si="12"/>
        <v>-3.4470030594737664</v>
      </c>
      <c r="F165" s="12">
        <f t="shared" si="13"/>
        <v>-0.53179023081061338</v>
      </c>
    </row>
    <row r="166" spans="1:6" x14ac:dyDescent="0.3">
      <c r="A166" s="9">
        <v>45545</v>
      </c>
      <c r="B166" s="23">
        <v>1.4159999999999999</v>
      </c>
      <c r="C166" s="11">
        <f t="shared" si="10"/>
        <v>5.1770030594737664</v>
      </c>
      <c r="D166" s="11">
        <f t="shared" si="11"/>
        <v>6.4818848857367382</v>
      </c>
      <c r="E166" s="12">
        <f t="shared" si="12"/>
        <v>-3.7610030594737665</v>
      </c>
      <c r="F166" s="12">
        <f t="shared" si="13"/>
        <v>-0.58023293004628651</v>
      </c>
    </row>
    <row r="167" spans="1:6" x14ac:dyDescent="0.3">
      <c r="A167" s="9">
        <v>45575</v>
      </c>
      <c r="B167" s="23">
        <v>1.165516</v>
      </c>
      <c r="C167" s="11">
        <f t="shared" si="10"/>
        <v>5.1770030594737664</v>
      </c>
      <c r="D167" s="11">
        <f t="shared" si="11"/>
        <v>6.4818848857367382</v>
      </c>
      <c r="E167" s="12">
        <f t="shared" si="12"/>
        <v>-4.0114870594737662</v>
      </c>
      <c r="F167" s="12">
        <f t="shared" si="13"/>
        <v>-0.61887662773847862</v>
      </c>
    </row>
    <row r="168" spans="1:6" x14ac:dyDescent="0.3">
      <c r="A168" s="9">
        <v>45606</v>
      </c>
      <c r="B168" s="24">
        <v>1.05</v>
      </c>
      <c r="C168" s="11">
        <f t="shared" si="10"/>
        <v>5.1770030594737664</v>
      </c>
      <c r="D168" s="11">
        <f t="shared" si="11"/>
        <v>6.4818848857367382</v>
      </c>
      <c r="E168" s="12">
        <f t="shared" si="12"/>
        <v>-4.1270030594737666</v>
      </c>
      <c r="F168" s="12">
        <f t="shared" si="13"/>
        <v>-0.63669798711716663</v>
      </c>
    </row>
    <row r="169" spans="1:6" x14ac:dyDescent="0.3">
      <c r="A169" s="9">
        <v>45636</v>
      </c>
      <c r="B169" s="25">
        <v>1.2566999999999999</v>
      </c>
      <c r="C169" s="11">
        <f t="shared" si="10"/>
        <v>5.1770030594737664</v>
      </c>
      <c r="D169" s="11">
        <f t="shared" si="11"/>
        <v>6.4818848857367382</v>
      </c>
      <c r="E169" s="12">
        <f t="shared" si="12"/>
        <v>-3.9203030594737664</v>
      </c>
      <c r="F169" s="12">
        <f t="shared" si="13"/>
        <v>-0.60480911472221877</v>
      </c>
    </row>
    <row r="170" spans="1:6" x14ac:dyDescent="0.3">
      <c r="A170" s="9">
        <v>45667</v>
      </c>
      <c r="B170" s="25">
        <v>4.899</v>
      </c>
      <c r="C170" s="11">
        <f t="shared" si="10"/>
        <v>5.1770030594737664</v>
      </c>
      <c r="D170" s="11">
        <f t="shared" si="11"/>
        <v>6.4818848857367382</v>
      </c>
      <c r="E170" s="12">
        <f t="shared" si="12"/>
        <v>-0.27800305947376636</v>
      </c>
      <c r="F170" s="12">
        <f t="shared" si="13"/>
        <v>-4.2889231199632484E-2</v>
      </c>
    </row>
    <row r="171" spans="1:6" x14ac:dyDescent="0.3">
      <c r="A171" s="9">
        <v>45698</v>
      </c>
      <c r="B171" s="25">
        <v>5.13</v>
      </c>
      <c r="C171" s="11">
        <f t="shared" si="10"/>
        <v>5.1770030594737664</v>
      </c>
      <c r="D171" s="11">
        <f t="shared" si="11"/>
        <v>6.4818848857367382</v>
      </c>
      <c r="E171" s="12">
        <f t="shared" si="12"/>
        <v>-4.7003059473766484E-2</v>
      </c>
      <c r="F171" s="12">
        <f t="shared" si="13"/>
        <v>-7.2514492778475289E-3</v>
      </c>
    </row>
    <row r="172" spans="1:6" x14ac:dyDescent="0.3">
      <c r="A172" s="18">
        <v>45735</v>
      </c>
      <c r="B172" s="25">
        <v>0.59887000000000001</v>
      </c>
      <c r="C172" s="11">
        <f t="shared" si="10"/>
        <v>5.1770030594737664</v>
      </c>
      <c r="D172" s="11">
        <f t="shared" si="11"/>
        <v>6.4818848857367382</v>
      </c>
      <c r="E172" s="12">
        <f t="shared" ref="E172" si="14">B172-C172</f>
        <v>-4.5781330594737666</v>
      </c>
      <c r="F172" s="12">
        <f t="shared" ref="F172" si="15">E172/D172</f>
        <v>-0.70629656962095388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DF787B78BADE49A4F802AF803BF942" ma:contentTypeVersion="18" ma:contentTypeDescription="Create a new document." ma:contentTypeScope="" ma:versionID="89341bf27214a69b85155e9f41cffaa3">
  <xsd:schema xmlns:xsd="http://www.w3.org/2001/XMLSchema" xmlns:xs="http://www.w3.org/2001/XMLSchema" xmlns:p="http://schemas.microsoft.com/office/2006/metadata/properties" xmlns:ns2="7d297967-3957-47c4-b77d-75b12fad423d" xmlns:ns3="d5b8b9a1-cb52-44e3-8b4c-48902e4d881c" targetNamespace="http://schemas.microsoft.com/office/2006/metadata/properties" ma:root="true" ma:fieldsID="b9d320029fc5519ada1863f46eb7d034" ns2:_="" ns3:_="">
    <xsd:import namespace="7d297967-3957-47c4-b77d-75b12fad423d"/>
    <xsd:import namespace="d5b8b9a1-cb52-44e3-8b4c-48902e4d881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LengthInSecond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Location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297967-3957-47c4-b77d-75b12fad423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914c1e67-865c-45ce-ab49-20f801497314}" ma:internalName="TaxCatchAll" ma:showField="CatchAllData" ma:web="7d297967-3957-47c4-b77d-75b12fad42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5b8b9a1-cb52-44e3-8b4c-48902e4d881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8bdc2a0f-6c65-40d7-879f-f01f3c54637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2DDA33-5878-4FDE-A630-FF4302DC74FA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E7FBE0FF-7514-4FF8-88FF-5A07B51E32C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d297967-3957-47c4-b77d-75b12fad423d"/>
    <ds:schemaRef ds:uri="d5b8b9a1-cb52-44e3-8b4c-48902e4d88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753033D-7A2D-4AAF-9428-A8C2D77EF3D8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Crocodile workbook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Londeka Ntshangase;Bokang Nkadimeng</dc:creator>
  <cp:keywords/>
  <dc:description/>
  <cp:lastModifiedBy>S Mathonsi (22008826)</cp:lastModifiedBy>
  <cp:revision/>
  <dcterms:created xsi:type="dcterms:W3CDTF">2024-06-21T06:56:18Z</dcterms:created>
  <dcterms:modified xsi:type="dcterms:W3CDTF">2025-09-08T01:39:51Z</dcterms:modified>
  <cp:category/>
  <cp:contentStatus/>
</cp:coreProperties>
</file>