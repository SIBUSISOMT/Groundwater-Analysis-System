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busi\Downloads\"/>
    </mc:Choice>
  </mc:AlternateContent>
  <xr:revisionPtr revIDLastSave="0" documentId="13_ncr:1_{5FC43CEA-05E6-4A7E-A63C-D8D4FCC1C79E}" xr6:coauthVersionLast="47" xr6:coauthVersionMax="47" xr10:uidLastSave="{00000000-0000-0000-0000-000000000000}"/>
  <bookViews>
    <workbookView xWindow="-108" yWindow="-108" windowWidth="23256" windowHeight="12456" tabRatio="820" xr2:uid="{90F097EB-96DA-4E0B-8542-98E5AF2D4EEF}"/>
  </bookViews>
  <sheets>
    <sheet name="sheet1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5" i="8" l="1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41" i="8"/>
  <c r="C42" i="8"/>
  <c r="C43" i="8"/>
  <c r="C44" i="8"/>
  <c r="C45" i="8"/>
  <c r="C46" i="8"/>
  <c r="C47" i="8"/>
  <c r="C48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11" i="8"/>
  <c r="C12" i="8"/>
  <c r="C13" i="8"/>
  <c r="C14" i="8"/>
  <c r="C15" i="8"/>
  <c r="C16" i="8"/>
  <c r="C17" i="8"/>
  <c r="C18" i="8"/>
  <c r="C19" i="8"/>
  <c r="C20" i="8"/>
  <c r="C21" i="8"/>
  <c r="C4" i="8"/>
  <c r="C5" i="8"/>
  <c r="C6" i="8"/>
  <c r="C7" i="8"/>
  <c r="C8" i="8"/>
  <c r="C9" i="8"/>
  <c r="C10" i="8"/>
  <c r="C3" i="8"/>
  <c r="C2" i="8"/>
  <c r="E6" i="8" l="1"/>
  <c r="E14" i="8"/>
  <c r="E22" i="8"/>
  <c r="E30" i="8"/>
  <c r="E38" i="8"/>
  <c r="E46" i="8"/>
  <c r="E54" i="8"/>
  <c r="E62" i="8"/>
  <c r="E70" i="8"/>
  <c r="E78" i="8"/>
  <c r="E86" i="8"/>
  <c r="E94" i="8"/>
  <c r="E102" i="8"/>
  <c r="E110" i="8"/>
  <c r="E118" i="8"/>
  <c r="E126" i="8"/>
  <c r="E134" i="8"/>
  <c r="E142" i="8"/>
  <c r="E150" i="8"/>
  <c r="E158" i="8"/>
  <c r="E166" i="8"/>
  <c r="D4" i="8"/>
  <c r="D12" i="8"/>
  <c r="F12" i="8" s="1"/>
  <c r="D20" i="8"/>
  <c r="F20" i="8" s="1"/>
  <c r="D28" i="8"/>
  <c r="D36" i="8"/>
  <c r="D44" i="8"/>
  <c r="F44" i="8" s="1"/>
  <c r="D52" i="8"/>
  <c r="D60" i="8"/>
  <c r="F60" i="8" s="1"/>
  <c r="D68" i="8"/>
  <c r="D76" i="8"/>
  <c r="F76" i="8" s="1"/>
  <c r="D84" i="8"/>
  <c r="F84" i="8" s="1"/>
  <c r="D92" i="8"/>
  <c r="D100" i="8"/>
  <c r="D108" i="8"/>
  <c r="F108" i="8" s="1"/>
  <c r="D116" i="8"/>
  <c r="D124" i="8"/>
  <c r="F124" i="8" s="1"/>
  <c r="D132" i="8"/>
  <c r="D140" i="8"/>
  <c r="F140" i="8" s="1"/>
  <c r="D148" i="8"/>
  <c r="F148" i="8" s="1"/>
  <c r="D156" i="8"/>
  <c r="D164" i="8"/>
  <c r="F164" i="8" s="1"/>
  <c r="D2" i="8"/>
  <c r="F2" i="8" s="1"/>
  <c r="E7" i="8"/>
  <c r="E15" i="8"/>
  <c r="E23" i="8"/>
  <c r="E31" i="8"/>
  <c r="E39" i="8"/>
  <c r="E47" i="8"/>
  <c r="E55" i="8"/>
  <c r="E63" i="8"/>
  <c r="E71" i="8"/>
  <c r="E79" i="8"/>
  <c r="E87" i="8"/>
  <c r="E95" i="8"/>
  <c r="E103" i="8"/>
  <c r="E111" i="8"/>
  <c r="E119" i="8"/>
  <c r="E127" i="8"/>
  <c r="E135" i="8"/>
  <c r="E143" i="8"/>
  <c r="E151" i="8"/>
  <c r="E159" i="8"/>
  <c r="E167" i="8"/>
  <c r="D5" i="8"/>
  <c r="D13" i="8"/>
  <c r="D21" i="8"/>
  <c r="F21" i="8" s="1"/>
  <c r="D29" i="8"/>
  <c r="D37" i="8"/>
  <c r="D45" i="8"/>
  <c r="D53" i="8"/>
  <c r="F53" i="8" s="1"/>
  <c r="D61" i="8"/>
  <c r="F61" i="8" s="1"/>
  <c r="D69" i="8"/>
  <c r="D77" i="8"/>
  <c r="D85" i="8"/>
  <c r="F85" i="8" s="1"/>
  <c r="D93" i="8"/>
  <c r="D101" i="8"/>
  <c r="F101" i="8" s="1"/>
  <c r="D109" i="8"/>
  <c r="D117" i="8"/>
  <c r="F117" i="8" s="1"/>
  <c r="D125" i="8"/>
  <c r="F125" i="8" s="1"/>
  <c r="D133" i="8"/>
  <c r="D141" i="8"/>
  <c r="D149" i="8"/>
  <c r="F149" i="8" s="1"/>
  <c r="E8" i="8"/>
  <c r="E16" i="8"/>
  <c r="E24" i="8"/>
  <c r="E32" i="8"/>
  <c r="E40" i="8"/>
  <c r="E48" i="8"/>
  <c r="E56" i="8"/>
  <c r="E64" i="8"/>
  <c r="E72" i="8"/>
  <c r="E80" i="8"/>
  <c r="E88" i="8"/>
  <c r="E96" i="8"/>
  <c r="E104" i="8"/>
  <c r="E112" i="8"/>
  <c r="E120" i="8"/>
  <c r="E128" i="8"/>
  <c r="E136" i="8"/>
  <c r="E144" i="8"/>
  <c r="E152" i="8"/>
  <c r="E160" i="8"/>
  <c r="E168" i="8"/>
  <c r="D6" i="8"/>
  <c r="D14" i="8"/>
  <c r="D22" i="8"/>
  <c r="F22" i="8" s="1"/>
  <c r="D30" i="8"/>
  <c r="D38" i="8"/>
  <c r="F38" i="8" s="1"/>
  <c r="D46" i="8"/>
  <c r="D54" i="8"/>
  <c r="F54" i="8" s="1"/>
  <c r="D62" i="8"/>
  <c r="F62" i="8" s="1"/>
  <c r="D70" i="8"/>
  <c r="D78" i="8"/>
  <c r="D86" i="8"/>
  <c r="F86" i="8" s="1"/>
  <c r="D94" i="8"/>
  <c r="D102" i="8"/>
  <c r="F102" i="8" s="1"/>
  <c r="D110" i="8"/>
  <c r="D118" i="8"/>
  <c r="F118" i="8" s="1"/>
  <c r="D126" i="8"/>
  <c r="F126" i="8" s="1"/>
  <c r="D134" i="8"/>
  <c r="D142" i="8"/>
  <c r="D150" i="8"/>
  <c r="D158" i="8"/>
  <c r="D166" i="8"/>
  <c r="F166" i="8" s="1"/>
  <c r="G166" i="8" s="1"/>
  <c r="E26" i="8"/>
  <c r="E34" i="8"/>
  <c r="E50" i="8"/>
  <c r="E66" i="8"/>
  <c r="E82" i="8"/>
  <c r="E98" i="8"/>
  <c r="E114" i="8"/>
  <c r="E130" i="8"/>
  <c r="E146" i="8"/>
  <c r="E170" i="8"/>
  <c r="D16" i="8"/>
  <c r="F16" i="8" s="1"/>
  <c r="D32" i="8"/>
  <c r="D40" i="8"/>
  <c r="D56" i="8"/>
  <c r="F56" i="8" s="1"/>
  <c r="D72" i="8"/>
  <c r="D88" i="8"/>
  <c r="F88" i="8" s="1"/>
  <c r="D104" i="8"/>
  <c r="D120" i="8"/>
  <c r="F120" i="8" s="1"/>
  <c r="D136" i="8"/>
  <c r="F136" i="8" s="1"/>
  <c r="D152" i="8"/>
  <c r="D168" i="8"/>
  <c r="F168" i="8" s="1"/>
  <c r="E29" i="8"/>
  <c r="E93" i="8"/>
  <c r="E117" i="8"/>
  <c r="E157" i="8"/>
  <c r="D3" i="8"/>
  <c r="F3" i="8" s="1"/>
  <c r="D35" i="8"/>
  <c r="F35" i="8" s="1"/>
  <c r="D67" i="8"/>
  <c r="D107" i="8"/>
  <c r="F107" i="8" s="1"/>
  <c r="D147" i="8"/>
  <c r="F147" i="8" s="1"/>
  <c r="D157" i="8"/>
  <c r="E9" i="8"/>
  <c r="E17" i="8"/>
  <c r="E25" i="8"/>
  <c r="E33" i="8"/>
  <c r="E41" i="8"/>
  <c r="E49" i="8"/>
  <c r="E57" i="8"/>
  <c r="E65" i="8"/>
  <c r="E73" i="8"/>
  <c r="E81" i="8"/>
  <c r="E89" i="8"/>
  <c r="E97" i="8"/>
  <c r="E105" i="8"/>
  <c r="E113" i="8"/>
  <c r="E121" i="8"/>
  <c r="E129" i="8"/>
  <c r="E137" i="8"/>
  <c r="E145" i="8"/>
  <c r="E153" i="8"/>
  <c r="E161" i="8"/>
  <c r="E169" i="8"/>
  <c r="D7" i="8"/>
  <c r="F7" i="8" s="1"/>
  <c r="D15" i="8"/>
  <c r="F15" i="8" s="1"/>
  <c r="D23" i="8"/>
  <c r="D31" i="8"/>
  <c r="F31" i="8" s="1"/>
  <c r="D39" i="8"/>
  <c r="D47" i="8"/>
  <c r="F47" i="8" s="1"/>
  <c r="G47" i="8" s="1"/>
  <c r="D55" i="8"/>
  <c r="F55" i="8" s="1"/>
  <c r="D63" i="8"/>
  <c r="D71" i="8"/>
  <c r="F71" i="8" s="1"/>
  <c r="D79" i="8"/>
  <c r="F79" i="8" s="1"/>
  <c r="D87" i="8"/>
  <c r="D95" i="8"/>
  <c r="F95" i="8" s="1"/>
  <c r="D103" i="8"/>
  <c r="D111" i="8"/>
  <c r="F111" i="8" s="1"/>
  <c r="D119" i="8"/>
  <c r="F119" i="8" s="1"/>
  <c r="D127" i="8"/>
  <c r="D135" i="8"/>
  <c r="F135" i="8" s="1"/>
  <c r="D143" i="8"/>
  <c r="F143" i="8" s="1"/>
  <c r="D151" i="8"/>
  <c r="F151" i="8" s="1"/>
  <c r="D159" i="8"/>
  <c r="D167" i="8"/>
  <c r="F167" i="8" s="1"/>
  <c r="E18" i="8"/>
  <c r="E42" i="8"/>
  <c r="E58" i="8"/>
  <c r="E74" i="8"/>
  <c r="E90" i="8"/>
  <c r="E106" i="8"/>
  <c r="E122" i="8"/>
  <c r="E138" i="8"/>
  <c r="E154" i="8"/>
  <c r="E162" i="8"/>
  <c r="D8" i="8"/>
  <c r="D24" i="8"/>
  <c r="F24" i="8" s="1"/>
  <c r="D48" i="8"/>
  <c r="F48" i="8" s="1"/>
  <c r="D64" i="8"/>
  <c r="F64" i="8" s="1"/>
  <c r="D80" i="8"/>
  <c r="F80" i="8" s="1"/>
  <c r="D96" i="8"/>
  <c r="F96" i="8" s="1"/>
  <c r="D112" i="8"/>
  <c r="F112" i="8" s="1"/>
  <c r="D128" i="8"/>
  <c r="F128" i="8" s="1"/>
  <c r="D144" i="8"/>
  <c r="D160" i="8"/>
  <c r="F160" i="8" s="1"/>
  <c r="E37" i="8"/>
  <c r="E77" i="8"/>
  <c r="E101" i="8"/>
  <c r="E125" i="8"/>
  <c r="E165" i="8"/>
  <c r="D27" i="8"/>
  <c r="F27" i="8" s="1"/>
  <c r="D59" i="8"/>
  <c r="D99" i="8"/>
  <c r="D139" i="8"/>
  <c r="F139" i="8" s="1"/>
  <c r="D171" i="8"/>
  <c r="F171" i="8" s="1"/>
  <c r="E10" i="8"/>
  <c r="E133" i="8"/>
  <c r="D75" i="8"/>
  <c r="F75" i="8" s="1"/>
  <c r="D115" i="8"/>
  <c r="F115" i="8" s="1"/>
  <c r="D155" i="8"/>
  <c r="E3" i="8"/>
  <c r="E11" i="8"/>
  <c r="E19" i="8"/>
  <c r="E27" i="8"/>
  <c r="E35" i="8"/>
  <c r="E43" i="8"/>
  <c r="E51" i="8"/>
  <c r="E59" i="8"/>
  <c r="E67" i="8"/>
  <c r="E75" i="8"/>
  <c r="E83" i="8"/>
  <c r="E91" i="8"/>
  <c r="E99" i="8"/>
  <c r="E107" i="8"/>
  <c r="E115" i="8"/>
  <c r="E123" i="8"/>
  <c r="E131" i="8"/>
  <c r="E139" i="8"/>
  <c r="E147" i="8"/>
  <c r="E155" i="8"/>
  <c r="E163" i="8"/>
  <c r="E171" i="8"/>
  <c r="D9" i="8"/>
  <c r="F9" i="8" s="1"/>
  <c r="D17" i="8"/>
  <c r="D25" i="8"/>
  <c r="F25" i="8" s="1"/>
  <c r="D33" i="8"/>
  <c r="F33" i="8" s="1"/>
  <c r="D41" i="8"/>
  <c r="D49" i="8"/>
  <c r="F49" i="8" s="1"/>
  <c r="D57" i="8"/>
  <c r="F57" i="8" s="1"/>
  <c r="D65" i="8"/>
  <c r="F65" i="8" s="1"/>
  <c r="D73" i="8"/>
  <c r="F73" i="8" s="1"/>
  <c r="D81" i="8"/>
  <c r="D89" i="8"/>
  <c r="F89" i="8" s="1"/>
  <c r="D97" i="8"/>
  <c r="F97" i="8" s="1"/>
  <c r="D105" i="8"/>
  <c r="F105" i="8" s="1"/>
  <c r="D113" i="8"/>
  <c r="F113" i="8" s="1"/>
  <c r="D121" i="8"/>
  <c r="D129" i="8"/>
  <c r="F129" i="8" s="1"/>
  <c r="D137" i="8"/>
  <c r="F137" i="8" s="1"/>
  <c r="D145" i="8"/>
  <c r="D153" i="8"/>
  <c r="F153" i="8" s="1"/>
  <c r="D161" i="8"/>
  <c r="F161" i="8" s="1"/>
  <c r="D169" i="8"/>
  <c r="F169" i="8" s="1"/>
  <c r="G169" i="8" s="1"/>
  <c r="E53" i="8"/>
  <c r="E149" i="8"/>
  <c r="D19" i="8"/>
  <c r="F19" i="8" s="1"/>
  <c r="D43" i="8"/>
  <c r="F43" i="8" s="1"/>
  <c r="D83" i="8"/>
  <c r="D123" i="8"/>
  <c r="F123" i="8" s="1"/>
  <c r="D163" i="8"/>
  <c r="F163" i="8" s="1"/>
  <c r="D165" i="8"/>
  <c r="F165" i="8" s="1"/>
  <c r="E4" i="8"/>
  <c r="E12" i="8"/>
  <c r="E20" i="8"/>
  <c r="E28" i="8"/>
  <c r="E36" i="8"/>
  <c r="E44" i="8"/>
  <c r="E52" i="8"/>
  <c r="E60" i="8"/>
  <c r="E68" i="8"/>
  <c r="E76" i="8"/>
  <c r="E84" i="8"/>
  <c r="E92" i="8"/>
  <c r="E100" i="8"/>
  <c r="E108" i="8"/>
  <c r="E116" i="8"/>
  <c r="E124" i="8"/>
  <c r="E132" i="8"/>
  <c r="E140" i="8"/>
  <c r="E148" i="8"/>
  <c r="E156" i="8"/>
  <c r="E164" i="8"/>
  <c r="E2" i="8"/>
  <c r="D10" i="8"/>
  <c r="F10" i="8" s="1"/>
  <c r="D18" i="8"/>
  <c r="F18" i="8" s="1"/>
  <c r="D26" i="8"/>
  <c r="F26" i="8" s="1"/>
  <c r="D34" i="8"/>
  <c r="F34" i="8" s="1"/>
  <c r="D42" i="8"/>
  <c r="F42" i="8" s="1"/>
  <c r="D50" i="8"/>
  <c r="F50" i="8" s="1"/>
  <c r="G50" i="8" s="1"/>
  <c r="D58" i="8"/>
  <c r="F58" i="8" s="1"/>
  <c r="D66" i="8"/>
  <c r="F66" i="8" s="1"/>
  <c r="D74" i="8"/>
  <c r="F74" i="8" s="1"/>
  <c r="D82" i="8"/>
  <c r="F82" i="8" s="1"/>
  <c r="D90" i="8"/>
  <c r="F90" i="8" s="1"/>
  <c r="D98" i="8"/>
  <c r="F98" i="8" s="1"/>
  <c r="D106" i="8"/>
  <c r="F106" i="8" s="1"/>
  <c r="D114" i="8"/>
  <c r="F114" i="8" s="1"/>
  <c r="D122" i="8"/>
  <c r="F122" i="8" s="1"/>
  <c r="D130" i="8"/>
  <c r="F130" i="8" s="1"/>
  <c r="D138" i="8"/>
  <c r="F138" i="8" s="1"/>
  <c r="D146" i="8"/>
  <c r="F146" i="8" s="1"/>
  <c r="D154" i="8"/>
  <c r="F154" i="8" s="1"/>
  <c r="D162" i="8"/>
  <c r="F162" i="8" s="1"/>
  <c r="D170" i="8"/>
  <c r="F170" i="8" s="1"/>
  <c r="G170" i="8" s="1"/>
  <c r="E5" i="8"/>
  <c r="E13" i="8"/>
  <c r="E21" i="8"/>
  <c r="E45" i="8"/>
  <c r="E61" i="8"/>
  <c r="E69" i="8"/>
  <c r="E85" i="8"/>
  <c r="E109" i="8"/>
  <c r="E141" i="8"/>
  <c r="D11" i="8"/>
  <c r="F11" i="8" s="1"/>
  <c r="D51" i="8"/>
  <c r="F51" i="8" s="1"/>
  <c r="D91" i="8"/>
  <c r="F91" i="8" s="1"/>
  <c r="D131" i="8"/>
  <c r="F131" i="8" s="1"/>
  <c r="F156" i="8"/>
  <c r="F45" i="8"/>
  <c r="F109" i="8"/>
  <c r="F133" i="8"/>
  <c r="F69" i="8"/>
  <c r="F159" i="8"/>
  <c r="F132" i="8"/>
  <c r="F116" i="8"/>
  <c r="F29" i="8"/>
  <c r="F5" i="8"/>
  <c r="F32" i="8"/>
  <c r="F36" i="8"/>
  <c r="F52" i="8"/>
  <c r="F68" i="8"/>
  <c r="F92" i="8"/>
  <c r="F100" i="8"/>
  <c r="F17" i="8"/>
  <c r="F41" i="8"/>
  <c r="F81" i="8"/>
  <c r="F14" i="8"/>
  <c r="F70" i="8"/>
  <c r="F94" i="8"/>
  <c r="F134" i="8"/>
  <c r="F4" i="8"/>
  <c r="F59" i="8"/>
  <c r="F67" i="8"/>
  <c r="F83" i="8"/>
  <c r="F99" i="8"/>
  <c r="F28" i="8"/>
  <c r="F40" i="8"/>
  <c r="F72" i="8"/>
  <c r="F104" i="8"/>
  <c r="F30" i="8"/>
  <c r="F8" i="8"/>
  <c r="G8" i="8" s="1"/>
  <c r="F23" i="8"/>
  <c r="F39" i="8"/>
  <c r="F63" i="8"/>
  <c r="F87" i="8"/>
  <c r="G87" i="8" s="1"/>
  <c r="F103" i="8"/>
  <c r="F127" i="8"/>
  <c r="F145" i="8"/>
  <c r="F37" i="8"/>
  <c r="F78" i="8"/>
  <c r="F46" i="8"/>
  <c r="F6" i="8"/>
  <c r="F121" i="8"/>
  <c r="G121" i="8" s="1"/>
  <c r="F157" i="8"/>
  <c r="G157" i="8" s="1"/>
  <c r="F141" i="8"/>
  <c r="F93" i="8"/>
  <c r="G93" i="8" s="1"/>
  <c r="F77" i="8"/>
  <c r="F13" i="8"/>
  <c r="F152" i="8"/>
  <c r="F144" i="8"/>
  <c r="F155" i="8"/>
  <c r="F110" i="8"/>
  <c r="F158" i="8"/>
  <c r="F150" i="8"/>
  <c r="F142" i="8"/>
  <c r="G79" i="8" l="1"/>
  <c r="G15" i="8"/>
  <c r="G136" i="8"/>
  <c r="G13" i="8"/>
  <c r="G163" i="8"/>
  <c r="G61" i="8"/>
  <c r="G117" i="8"/>
  <c r="G167" i="8"/>
  <c r="G18" i="8"/>
  <c r="G165" i="8"/>
  <c r="G171" i="8"/>
  <c r="G25" i="8"/>
  <c r="G168" i="8"/>
  <c r="G164" i="8"/>
  <c r="G45" i="8"/>
  <c r="G3" i="8"/>
  <c r="G144" i="8"/>
  <c r="G68" i="8"/>
  <c r="G14" i="8"/>
  <c r="G77" i="8"/>
  <c r="G85" i="8"/>
  <c r="G76" i="8"/>
  <c r="G97" i="8"/>
  <c r="G149" i="8"/>
  <c r="G58" i="8"/>
  <c r="G128" i="8"/>
  <c r="G156" i="8"/>
  <c r="G82" i="8"/>
  <c r="G120" i="8"/>
  <c r="G134" i="8"/>
  <c r="G102" i="8"/>
  <c r="G70" i="8"/>
  <c r="G38" i="8"/>
  <c r="G113" i="8"/>
  <c r="G81" i="8"/>
  <c r="G49" i="8"/>
  <c r="G92" i="8"/>
  <c r="G60" i="8"/>
  <c r="G138" i="8"/>
  <c r="G106" i="8"/>
  <c r="G74" i="8"/>
  <c r="G42" i="8"/>
  <c r="G135" i="8"/>
  <c r="G103" i="8"/>
  <c r="G71" i="8"/>
  <c r="G39" i="8"/>
  <c r="G142" i="8"/>
  <c r="G21" i="8"/>
  <c r="G152" i="8"/>
  <c r="G95" i="8"/>
  <c r="G63" i="8"/>
  <c r="G161" i="8"/>
  <c r="G153" i="8"/>
  <c r="G7" i="8"/>
  <c r="G66" i="8"/>
  <c r="G126" i="8"/>
  <c r="G94" i="8"/>
  <c r="G62" i="8"/>
  <c r="G137" i="8"/>
  <c r="G105" i="8"/>
  <c r="G73" i="8"/>
  <c r="G41" i="8"/>
  <c r="G84" i="8"/>
  <c r="G52" i="8"/>
  <c r="G150" i="8"/>
  <c r="G2" i="8"/>
  <c r="G104" i="8"/>
  <c r="G16" i="8"/>
  <c r="G37" i="8"/>
  <c r="G147" i="8"/>
  <c r="G55" i="8"/>
  <c r="G30" i="8"/>
  <c r="G44" i="8"/>
  <c r="G108" i="8"/>
  <c r="G26" i="8"/>
  <c r="G130" i="8"/>
  <c r="G65" i="8"/>
  <c r="G109" i="8"/>
  <c r="G143" i="8"/>
  <c r="G78" i="8"/>
  <c r="G112" i="8"/>
  <c r="G34" i="8"/>
  <c r="G17" i="8"/>
  <c r="G24" i="8"/>
  <c r="G155" i="8"/>
  <c r="G33" i="8"/>
  <c r="G23" i="8"/>
  <c r="G146" i="8"/>
  <c r="G158" i="8"/>
  <c r="G110" i="8"/>
  <c r="G122" i="8"/>
  <c r="G90" i="8"/>
  <c r="G129" i="8"/>
  <c r="G46" i="8"/>
  <c r="G154" i="8"/>
  <c r="G145" i="8"/>
  <c r="G53" i="8"/>
  <c r="G22" i="8"/>
  <c r="G124" i="8"/>
  <c r="G141" i="8"/>
  <c r="G114" i="8"/>
  <c r="G89" i="8"/>
  <c r="G57" i="8"/>
  <c r="G100" i="8"/>
  <c r="G31" i="8"/>
  <c r="G80" i="8"/>
  <c r="G48" i="8"/>
  <c r="G115" i="8"/>
  <c r="G83" i="8"/>
  <c r="G51" i="8"/>
  <c r="G118" i="8"/>
  <c r="G160" i="8"/>
  <c r="G96" i="8"/>
  <c r="G127" i="8"/>
  <c r="G9" i="8"/>
  <c r="G19" i="8"/>
  <c r="G132" i="8"/>
  <c r="G101" i="8"/>
  <c r="G125" i="8"/>
  <c r="G69" i="8"/>
  <c r="G54" i="8"/>
  <c r="G72" i="8"/>
  <c r="G40" i="8"/>
  <c r="G139" i="8"/>
  <c r="G107" i="8"/>
  <c r="G75" i="8"/>
  <c r="G43" i="8"/>
  <c r="G20" i="8"/>
  <c r="G133" i="8"/>
  <c r="G119" i="8"/>
  <c r="G11" i="8"/>
  <c r="G29" i="8"/>
  <c r="G10" i="8"/>
  <c r="G98" i="8"/>
  <c r="G64" i="8"/>
  <c r="G28" i="8"/>
  <c r="G131" i="8"/>
  <c r="G99" i="8"/>
  <c r="G67" i="8"/>
  <c r="G35" i="8"/>
  <c r="G12" i="8"/>
  <c r="G151" i="8"/>
  <c r="G140" i="8"/>
  <c r="G111" i="8"/>
  <c r="G4" i="8"/>
  <c r="G36" i="8"/>
  <c r="G86" i="8"/>
  <c r="G6" i="8"/>
  <c r="G162" i="8"/>
  <c r="G88" i="8"/>
  <c r="G56" i="8"/>
  <c r="G123" i="8"/>
  <c r="G91" i="8"/>
  <c r="G59" i="8"/>
  <c r="G27" i="8"/>
  <c r="G32" i="8"/>
  <c r="G5" i="8"/>
  <c r="G116" i="8"/>
  <c r="G159" i="8"/>
  <c r="G148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CBC4C1-35B9-412A-A5FF-EC1BEF88DDF3}" keepAlive="1" name="Query - Exeter - X3H008" description="Connection to the 'Exeter - X3H008' query in the workbook." type="5" refreshedVersion="0" background="1">
    <dbPr connection="Provider=Microsoft.Mashup.OleDb.1;Data Source=$Workbook$;Location=&quot;Exeter - X3H008&quot;;Extended Properties=&quot;&quot;" command="SELECT * FROM [Exeter - X3H008]"/>
  </connection>
</connections>
</file>

<file path=xl/sharedStrings.xml><?xml version="1.0" encoding="utf-8"?>
<sst xmlns="http://schemas.openxmlformats.org/spreadsheetml/2006/main" count="7" uniqueCount="7">
  <si>
    <t>Recharge</t>
  </si>
  <si>
    <t>Recharge (inches)</t>
  </si>
  <si>
    <t>Average recharge</t>
  </si>
  <si>
    <t>STDEV</t>
  </si>
  <si>
    <t xml:space="preserve">Drought index - Recharge </t>
  </si>
  <si>
    <t>Date</t>
  </si>
  <si>
    <t>recharge_anomaly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</si>
</sst>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6" formatCode="0.0000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5" fillId="0" borderId="0"/>
  </cellStyleXfs>
  <cellXfs count="17">
    <xf numFmtId="0" fontId="0" fillId="0" borderId="0" xfId="0"/>
    <xf numFmtId="0" fontId="0" fillId="3" borderId="1" xfId="0" applyFill="1" applyBorder="1"/>
    <xf numFmtId="0" fontId="0" fillId="2" borderId="1" xfId="0" applyFill="1" applyBorder="1"/>
    <xf numFmtId="165" fontId="0" fillId="2" borderId="1" xfId="0" applyNumberFormat="1" applyFill="1" applyBorder="1"/>
    <xf numFmtId="166" fontId="0" fillId="3" borderId="1" xfId="0" applyNumberFormat="1" applyFill="1" applyBorder="1"/>
    <xf numFmtId="0" fontId="0" fillId="5" borderId="0" xfId="0" applyFill="1"/>
    <xf numFmtId="166" fontId="0" fillId="4" borderId="1" xfId="0" applyNumberFormat="1" applyFill="1" applyBorder="1"/>
    <xf numFmtId="0" fontId="0" fillId="4" borderId="1" xfId="0" applyFill="1" applyBorder="1"/>
    <xf numFmtId="165" fontId="1" fillId="4" borderId="1" xfId="0" applyNumberFormat="1" applyFont="1" applyFill="1" applyBorder="1"/>
    <xf numFmtId="165" fontId="0" fillId="4" borderId="1" xfId="0" applyNumberFormat="1" applyFill="1" applyBorder="1"/>
    <xf numFmtId="166" fontId="0" fillId="2" borderId="1" xfId="0" applyNumberFormat="1" applyFill="1" applyBorder="1"/>
    <xf numFmtId="0" fontId="0" fillId="6" borderId="0" xfId="0" applyFill="1"/>
    <xf numFmtId="14" fontId="0" fillId="2" borderId="1" xfId="0" applyNumberFormat="1" applyFill="1" applyBorder="1" applyAlignment="1">
      <alignment horizontal="right"/>
    </xf>
    <xf numFmtId="14" fontId="1" fillId="3" borderId="1" xfId="0" applyNumberFormat="1" applyFont="1" applyFill="1" applyBorder="1" applyAlignment="1">
      <alignment horizontal="right"/>
    </xf>
    <xf numFmtId="14" fontId="1" fillId="4" borderId="2" xfId="0" applyNumberFormat="1" applyFont="1" applyFill="1" applyBorder="1" applyAlignment="1">
      <alignment horizontal="right"/>
    </xf>
    <xf numFmtId="14" fontId="1" fillId="3" borderId="1" xfId="0" applyNumberFormat="1" applyFont="1" applyFill="1" applyBorder="1"/>
    <xf numFmtId="14" fontId="0" fillId="3" borderId="1" xfId="0" applyNumberFormat="1" applyFill="1" applyBorder="1" applyAlignment="1">
      <alignment horizontal="right"/>
    </xf>
  </cellXfs>
  <cellStyles count="7">
    <cellStyle name="Normal" xfId="0" builtinId="0"/>
    <cellStyle name="Normal 2" xfId="2" xr:uid="{4A908EDF-2280-42DB-A6F8-FC2638AFADED}"/>
    <cellStyle name="Normal 3" xfId="3" xr:uid="{064CC613-A5F6-4721-B6ED-C9D234239A91}"/>
    <cellStyle name="Normal 3 2" xfId="6" xr:uid="{2B8B9196-6322-4175-ABF3-6548B262CCF1}"/>
    <cellStyle name="Normal 4" xfId="4" xr:uid="{34B7DFA0-EE62-4A9A-BB67-A08D875217F3}"/>
    <cellStyle name="Normal 4 2" xfId="5" xr:uid="{C3301620-72E1-404F-BE89-1CE85E58283F}"/>
    <cellStyle name="Normal 5" xfId="1" xr:uid="{A616EB63-8766-4133-92BC-EE3CB24C3A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C36-C8E7-437F-8CCE-A051B94B1C09}">
  <dimension ref="A1:N174"/>
  <sheetViews>
    <sheetView tabSelected="1" zoomScale="85" zoomScaleNormal="85" workbookViewId="0">
      <selection activeCell="J15" sqref="J15"/>
    </sheetView>
  </sheetViews>
  <sheetFormatPr defaultRowHeight="14.4" x14ac:dyDescent="0.3"/>
  <cols>
    <col min="1" max="1" width="15.5546875" style="16" customWidth="1"/>
    <col min="2" max="2" width="18.6640625" style="1" customWidth="1"/>
    <col min="3" max="3" width="19.5546875" style="1" customWidth="1"/>
    <col min="4" max="4" width="22.88671875" style="1" customWidth="1"/>
    <col min="5" max="5" width="16" style="1" customWidth="1"/>
    <col min="6" max="6" width="21.33203125" style="1" customWidth="1"/>
    <col min="7" max="7" width="21.5546875" style="4" customWidth="1"/>
    <col min="8" max="8" width="12.33203125" customWidth="1"/>
    <col min="9" max="9" width="18" bestFit="1" customWidth="1"/>
    <col min="10" max="10" width="15.5546875" bestFit="1" customWidth="1"/>
    <col min="11" max="11" width="18.6640625" bestFit="1" customWidth="1"/>
  </cols>
  <sheetData>
    <row r="1" spans="1:14" x14ac:dyDescent="0.3">
      <c r="A1" s="12" t="s">
        <v>5</v>
      </c>
      <c r="B1" s="2" t="s">
        <v>1</v>
      </c>
      <c r="C1" s="2" t="s">
        <v>0</v>
      </c>
      <c r="D1" s="3" t="s">
        <v>2</v>
      </c>
      <c r="E1" s="3" t="s">
        <v>3</v>
      </c>
      <c r="F1" s="2" t="s">
        <v>6</v>
      </c>
      <c r="G1" s="10" t="s">
        <v>4</v>
      </c>
      <c r="I1" s="5"/>
      <c r="J1" s="5"/>
      <c r="K1" s="5"/>
      <c r="L1" s="5"/>
      <c r="M1" s="5"/>
      <c r="N1" s="5"/>
    </row>
    <row r="2" spans="1:14" x14ac:dyDescent="0.3">
      <c r="A2" s="13">
        <v>40565</v>
      </c>
      <c r="B2" s="7">
        <v>0</v>
      </c>
      <c r="C2" s="8">
        <f>25.4*B2</f>
        <v>0</v>
      </c>
      <c r="D2" s="9">
        <f>AVERAGE($C$2:$C$171)</f>
        <v>6.079564705882353</v>
      </c>
      <c r="E2" s="9">
        <f>_xlfn.STDEV.S($C$2:$C$171)</f>
        <v>11.026692894431044</v>
      </c>
      <c r="F2" s="9">
        <f>C2-D2</f>
        <v>-6.079564705882353</v>
      </c>
      <c r="G2" s="6">
        <f>F2/E2</f>
        <v>-0.55134978039995974</v>
      </c>
      <c r="H2" s="11"/>
      <c r="I2" s="5"/>
      <c r="J2" s="5"/>
      <c r="K2" s="5"/>
      <c r="L2" s="5"/>
      <c r="M2" s="5"/>
      <c r="N2" s="5"/>
    </row>
    <row r="3" spans="1:14" x14ac:dyDescent="0.3">
      <c r="A3" s="13">
        <v>40596</v>
      </c>
      <c r="B3" s="7">
        <v>0.37</v>
      </c>
      <c r="C3" s="8">
        <f>25.4*B3</f>
        <v>9.3979999999999997</v>
      </c>
      <c r="D3" s="9">
        <f t="shared" ref="D3:D66" si="0">AVERAGE($C$2:$C$171)</f>
        <v>6.079564705882353</v>
      </c>
      <c r="E3" s="9">
        <f t="shared" ref="E3:E66" si="1">_xlfn.STDEV.S($C$2:$C$171)</f>
        <v>11.026692894431044</v>
      </c>
      <c r="F3" s="9">
        <f t="shared" ref="F3:F10" si="2">C3-D3</f>
        <v>3.3184352941176467</v>
      </c>
      <c r="G3" s="6">
        <f t="shared" ref="G3:G65" si="3">F3/E3</f>
        <v>0.30094565305193183</v>
      </c>
      <c r="I3" s="5"/>
      <c r="J3" s="5"/>
      <c r="K3" s="5"/>
      <c r="L3" s="5"/>
      <c r="M3" s="5"/>
      <c r="N3" s="5"/>
    </row>
    <row r="4" spans="1:14" x14ac:dyDescent="0.3">
      <c r="A4" s="13">
        <v>40624</v>
      </c>
      <c r="B4" s="7">
        <v>0.88</v>
      </c>
      <c r="C4" s="8">
        <f t="shared" ref="C4:C67" si="4">25.4*B4</f>
        <v>22.352</v>
      </c>
      <c r="D4" s="9">
        <f t="shared" si="0"/>
        <v>6.079564705882353</v>
      </c>
      <c r="E4" s="9">
        <f t="shared" si="1"/>
        <v>11.026692894431044</v>
      </c>
      <c r="F4" s="9">
        <f t="shared" si="2"/>
        <v>16.272435294117649</v>
      </c>
      <c r="G4" s="6">
        <f t="shared" si="3"/>
        <v>1.4757312505126476</v>
      </c>
      <c r="I4" s="5"/>
      <c r="J4" s="5"/>
      <c r="K4" s="5"/>
      <c r="L4" s="5"/>
      <c r="M4" s="5"/>
      <c r="N4" s="5"/>
    </row>
    <row r="5" spans="1:14" x14ac:dyDescent="0.3">
      <c r="A5" s="13">
        <v>40655</v>
      </c>
      <c r="B5" s="7">
        <v>0.63</v>
      </c>
      <c r="C5" s="8">
        <f t="shared" si="4"/>
        <v>16.001999999999999</v>
      </c>
      <c r="D5" s="9">
        <f t="shared" si="0"/>
        <v>6.079564705882353</v>
      </c>
      <c r="E5" s="9">
        <f t="shared" si="1"/>
        <v>11.026692894431044</v>
      </c>
      <c r="F5" s="9">
        <f t="shared" si="2"/>
        <v>9.9224352941176459</v>
      </c>
      <c r="G5" s="6">
        <f t="shared" si="3"/>
        <v>0.89985595763974746</v>
      </c>
      <c r="I5" s="5"/>
      <c r="J5" s="5"/>
      <c r="K5" s="5"/>
      <c r="L5" s="5"/>
      <c r="M5" s="5"/>
      <c r="N5" s="5"/>
    </row>
    <row r="6" spans="1:14" x14ac:dyDescent="0.3">
      <c r="A6" s="13">
        <v>40685</v>
      </c>
      <c r="B6" s="7">
        <v>0.49</v>
      </c>
      <c r="C6" s="8">
        <f t="shared" si="4"/>
        <v>12.446</v>
      </c>
      <c r="D6" s="9">
        <f t="shared" si="0"/>
        <v>6.079564705882353</v>
      </c>
      <c r="E6" s="9">
        <f t="shared" si="1"/>
        <v>11.026692894431044</v>
      </c>
      <c r="F6" s="9">
        <f t="shared" si="2"/>
        <v>6.3664352941176467</v>
      </c>
      <c r="G6" s="6">
        <f t="shared" si="3"/>
        <v>0.57736579363092366</v>
      </c>
      <c r="I6" s="5"/>
      <c r="J6" s="5"/>
      <c r="K6" s="5"/>
      <c r="L6" s="5"/>
      <c r="M6" s="5"/>
      <c r="N6" s="5"/>
    </row>
    <row r="7" spans="1:14" x14ac:dyDescent="0.3">
      <c r="A7" s="13">
        <v>40716</v>
      </c>
      <c r="B7" s="7">
        <v>0.12</v>
      </c>
      <c r="C7" s="8">
        <f t="shared" si="4"/>
        <v>3.0479999999999996</v>
      </c>
      <c r="D7" s="9">
        <f t="shared" si="0"/>
        <v>6.079564705882353</v>
      </c>
      <c r="E7" s="9">
        <f t="shared" si="1"/>
        <v>11.026692894431044</v>
      </c>
      <c r="F7" s="9">
        <f t="shared" si="2"/>
        <v>-3.0315647058823534</v>
      </c>
      <c r="G7" s="6">
        <f t="shared" si="3"/>
        <v>-0.27492963982096796</v>
      </c>
      <c r="I7" s="5"/>
      <c r="J7" s="5"/>
      <c r="K7" s="5"/>
      <c r="L7" s="5"/>
      <c r="M7" s="5"/>
      <c r="N7" s="5"/>
    </row>
    <row r="8" spans="1:14" x14ac:dyDescent="0.3">
      <c r="A8" s="13">
        <v>40746</v>
      </c>
      <c r="B8" s="7">
        <v>0.19</v>
      </c>
      <c r="C8" s="8">
        <f t="shared" si="4"/>
        <v>4.8259999999999996</v>
      </c>
      <c r="D8" s="9">
        <f t="shared" si="0"/>
        <v>6.079564705882353</v>
      </c>
      <c r="E8" s="9">
        <f t="shared" si="1"/>
        <v>11.026692894431044</v>
      </c>
      <c r="F8" s="9">
        <f t="shared" si="2"/>
        <v>-1.2535647058823534</v>
      </c>
      <c r="G8" s="6">
        <f t="shared" si="3"/>
        <v>-0.11368455781655601</v>
      </c>
      <c r="I8" s="5"/>
      <c r="J8" s="5"/>
      <c r="K8" s="5"/>
      <c r="L8" s="5"/>
      <c r="M8" s="5"/>
      <c r="N8" s="5"/>
    </row>
    <row r="9" spans="1:14" x14ac:dyDescent="0.3">
      <c r="A9" s="13">
        <v>40777</v>
      </c>
      <c r="B9" s="7">
        <v>0.12</v>
      </c>
      <c r="C9" s="8">
        <f t="shared" si="4"/>
        <v>3.0479999999999996</v>
      </c>
      <c r="D9" s="9">
        <f t="shared" si="0"/>
        <v>6.079564705882353</v>
      </c>
      <c r="E9" s="9">
        <f t="shared" si="1"/>
        <v>11.026692894431044</v>
      </c>
      <c r="F9" s="9">
        <f t="shared" si="2"/>
        <v>-3.0315647058823534</v>
      </c>
      <c r="G9" s="6">
        <f t="shared" si="3"/>
        <v>-0.27492963982096796</v>
      </c>
      <c r="I9" s="5"/>
      <c r="J9" s="5"/>
      <c r="K9" s="5"/>
      <c r="L9" s="5"/>
      <c r="M9" s="5"/>
      <c r="N9" s="5"/>
    </row>
    <row r="10" spans="1:14" x14ac:dyDescent="0.3">
      <c r="A10" s="13">
        <v>40808</v>
      </c>
      <c r="B10" s="7">
        <v>7.0000000000000007E-2</v>
      </c>
      <c r="C10" s="8">
        <f t="shared" si="4"/>
        <v>1.778</v>
      </c>
      <c r="D10" s="9">
        <f t="shared" si="0"/>
        <v>6.079564705882353</v>
      </c>
      <c r="E10" s="9">
        <f t="shared" si="1"/>
        <v>11.026692894431044</v>
      </c>
      <c r="F10" s="9">
        <f t="shared" si="2"/>
        <v>-4.3015647058823525</v>
      </c>
      <c r="G10" s="6">
        <f t="shared" si="3"/>
        <v>-0.39010469839554784</v>
      </c>
      <c r="I10" s="5"/>
      <c r="J10" s="5"/>
      <c r="K10" s="5"/>
      <c r="L10" s="5"/>
      <c r="M10" s="5"/>
      <c r="N10" s="5"/>
    </row>
    <row r="11" spans="1:14" x14ac:dyDescent="0.3">
      <c r="A11" s="13">
        <v>40869</v>
      </c>
      <c r="B11" s="7">
        <v>0</v>
      </c>
      <c r="C11" s="8">
        <f t="shared" si="4"/>
        <v>0</v>
      </c>
      <c r="D11" s="9">
        <f t="shared" si="0"/>
        <v>6.079564705882353</v>
      </c>
      <c r="E11" s="9">
        <f t="shared" si="1"/>
        <v>11.026692894431044</v>
      </c>
      <c r="F11" s="9">
        <f t="shared" ref="F11:F42" si="5">C11-D11</f>
        <v>-6.079564705882353</v>
      </c>
      <c r="G11" s="6">
        <f t="shared" si="3"/>
        <v>-0.55134978039995974</v>
      </c>
      <c r="I11" s="5"/>
      <c r="J11" s="5"/>
      <c r="K11" s="5"/>
      <c r="L11" s="5"/>
      <c r="M11" s="5"/>
      <c r="N11" s="5"/>
    </row>
    <row r="12" spans="1:14" x14ac:dyDescent="0.3">
      <c r="A12" s="13">
        <v>40899</v>
      </c>
      <c r="B12" s="7">
        <v>0</v>
      </c>
      <c r="C12" s="8">
        <f t="shared" si="4"/>
        <v>0</v>
      </c>
      <c r="D12" s="9">
        <f t="shared" si="0"/>
        <v>6.079564705882353</v>
      </c>
      <c r="E12" s="9">
        <f t="shared" si="1"/>
        <v>11.026692894431044</v>
      </c>
      <c r="F12" s="9">
        <f t="shared" si="5"/>
        <v>-6.079564705882353</v>
      </c>
      <c r="G12" s="6">
        <f t="shared" si="3"/>
        <v>-0.55134978039995974</v>
      </c>
      <c r="I12" s="5"/>
      <c r="J12" s="5"/>
      <c r="K12" s="5"/>
      <c r="L12" s="5"/>
      <c r="M12" s="5"/>
      <c r="N12" s="5"/>
    </row>
    <row r="13" spans="1:14" x14ac:dyDescent="0.3">
      <c r="A13" s="13">
        <v>40930</v>
      </c>
      <c r="B13" s="7">
        <v>0</v>
      </c>
      <c r="C13" s="8">
        <f t="shared" si="4"/>
        <v>0</v>
      </c>
      <c r="D13" s="9">
        <f t="shared" si="0"/>
        <v>6.079564705882353</v>
      </c>
      <c r="E13" s="9">
        <f t="shared" si="1"/>
        <v>11.026692894431044</v>
      </c>
      <c r="F13" s="9">
        <f t="shared" si="5"/>
        <v>-6.079564705882353</v>
      </c>
      <c r="G13" s="6">
        <f t="shared" si="3"/>
        <v>-0.55134978039995974</v>
      </c>
      <c r="I13" s="5"/>
      <c r="J13" s="5"/>
      <c r="K13" s="5"/>
      <c r="L13" s="5"/>
      <c r="M13" s="5"/>
      <c r="N13" s="5"/>
    </row>
    <row r="14" spans="1:14" x14ac:dyDescent="0.3">
      <c r="A14" s="13">
        <v>40961</v>
      </c>
      <c r="B14" s="7">
        <v>0.65</v>
      </c>
      <c r="C14" s="8">
        <f t="shared" si="4"/>
        <v>16.509999999999998</v>
      </c>
      <c r="D14" s="9">
        <f t="shared" si="0"/>
        <v>6.079564705882353</v>
      </c>
      <c r="E14" s="9">
        <f t="shared" si="1"/>
        <v>11.026692894431044</v>
      </c>
      <c r="F14" s="9">
        <f t="shared" si="5"/>
        <v>10.430435294117645</v>
      </c>
      <c r="G14" s="6">
        <f t="shared" si="3"/>
        <v>0.94592598106957937</v>
      </c>
      <c r="I14" s="5"/>
      <c r="J14" s="5"/>
      <c r="K14" s="5"/>
      <c r="L14" s="5"/>
      <c r="M14" s="5"/>
      <c r="N14" s="5"/>
    </row>
    <row r="15" spans="1:14" x14ac:dyDescent="0.3">
      <c r="A15" s="13">
        <v>40990</v>
      </c>
      <c r="B15" s="7">
        <v>0.26</v>
      </c>
      <c r="C15" s="8">
        <f t="shared" si="4"/>
        <v>6.6040000000000001</v>
      </c>
      <c r="D15" s="9">
        <f t="shared" si="0"/>
        <v>6.079564705882353</v>
      </c>
      <c r="E15" s="9">
        <f t="shared" si="1"/>
        <v>11.026692894431044</v>
      </c>
      <c r="F15" s="9">
        <f t="shared" si="5"/>
        <v>0.52443529411764711</v>
      </c>
      <c r="G15" s="6">
        <f t="shared" si="3"/>
        <v>4.756052418785596E-2</v>
      </c>
      <c r="I15" s="5"/>
      <c r="J15" s="5"/>
      <c r="K15" s="5"/>
      <c r="L15" s="5"/>
      <c r="M15" s="5"/>
      <c r="N15" s="5"/>
    </row>
    <row r="16" spans="1:14" x14ac:dyDescent="0.3">
      <c r="A16" s="13">
        <v>41021</v>
      </c>
      <c r="B16" s="7">
        <v>0.15</v>
      </c>
      <c r="C16" s="8">
        <f t="shared" si="4"/>
        <v>3.8099999999999996</v>
      </c>
      <c r="D16" s="9">
        <f t="shared" si="0"/>
        <v>6.079564705882353</v>
      </c>
      <c r="E16" s="9">
        <f t="shared" si="1"/>
        <v>11.026692894431044</v>
      </c>
      <c r="F16" s="9">
        <f t="shared" si="5"/>
        <v>-2.2695647058823534</v>
      </c>
      <c r="G16" s="6">
        <f t="shared" si="3"/>
        <v>-0.20582460467621996</v>
      </c>
      <c r="I16" s="5"/>
      <c r="J16" s="5"/>
      <c r="K16" s="5"/>
      <c r="L16" s="5"/>
      <c r="M16" s="5"/>
      <c r="N16" s="5"/>
    </row>
    <row r="17" spans="1:14" x14ac:dyDescent="0.3">
      <c r="A17" s="13">
        <v>41051</v>
      </c>
      <c r="B17" s="7">
        <v>0.06</v>
      </c>
      <c r="C17" s="8">
        <f t="shared" si="4"/>
        <v>1.5239999999999998</v>
      </c>
      <c r="D17" s="9">
        <f t="shared" si="0"/>
        <v>6.079564705882353</v>
      </c>
      <c r="E17" s="9">
        <f t="shared" si="1"/>
        <v>11.026692894431044</v>
      </c>
      <c r="F17" s="9">
        <f t="shared" si="5"/>
        <v>-4.555564705882353</v>
      </c>
      <c r="G17" s="6">
        <f t="shared" si="3"/>
        <v>-0.41313971011046385</v>
      </c>
      <c r="I17" s="5"/>
      <c r="J17" s="5"/>
      <c r="K17" s="5"/>
      <c r="L17" s="5"/>
      <c r="M17" s="5"/>
      <c r="N17" s="5"/>
    </row>
    <row r="18" spans="1:14" x14ac:dyDescent="0.3">
      <c r="A18" s="13">
        <v>41082</v>
      </c>
      <c r="B18" s="7">
        <v>0.1</v>
      </c>
      <c r="C18" s="8">
        <f t="shared" si="4"/>
        <v>2.54</v>
      </c>
      <c r="D18" s="9">
        <f t="shared" si="0"/>
        <v>6.079564705882353</v>
      </c>
      <c r="E18" s="9">
        <f t="shared" si="1"/>
        <v>11.026692894431044</v>
      </c>
      <c r="F18" s="9">
        <f t="shared" si="5"/>
        <v>-3.5395647058823529</v>
      </c>
      <c r="G18" s="6">
        <f t="shared" si="3"/>
        <v>-0.32099966325079987</v>
      </c>
      <c r="I18" s="5"/>
      <c r="J18" s="5"/>
      <c r="K18" s="5"/>
      <c r="L18" s="5"/>
      <c r="M18" s="5"/>
      <c r="N18" s="5"/>
    </row>
    <row r="19" spans="1:14" x14ac:dyDescent="0.3">
      <c r="A19" s="13">
        <v>41112</v>
      </c>
      <c r="B19" s="7">
        <v>0.1</v>
      </c>
      <c r="C19" s="8">
        <f t="shared" si="4"/>
        <v>2.54</v>
      </c>
      <c r="D19" s="9">
        <f t="shared" si="0"/>
        <v>6.079564705882353</v>
      </c>
      <c r="E19" s="9">
        <f t="shared" si="1"/>
        <v>11.026692894431044</v>
      </c>
      <c r="F19" s="9">
        <f t="shared" si="5"/>
        <v>-3.5395647058823529</v>
      </c>
      <c r="G19" s="6">
        <f t="shared" si="3"/>
        <v>-0.32099966325079987</v>
      </c>
      <c r="I19" s="5"/>
      <c r="J19" s="5"/>
      <c r="K19" s="5"/>
      <c r="L19" s="5"/>
      <c r="M19" s="5"/>
      <c r="N19" s="5"/>
    </row>
    <row r="20" spans="1:14" x14ac:dyDescent="0.3">
      <c r="A20" s="13">
        <v>41143</v>
      </c>
      <c r="B20" s="7">
        <v>0.06</v>
      </c>
      <c r="C20" s="8">
        <f t="shared" si="4"/>
        <v>1.5239999999999998</v>
      </c>
      <c r="D20" s="9">
        <f t="shared" si="0"/>
        <v>6.079564705882353</v>
      </c>
      <c r="E20" s="9">
        <f t="shared" si="1"/>
        <v>11.026692894431044</v>
      </c>
      <c r="F20" s="9">
        <f t="shared" si="5"/>
        <v>-4.555564705882353</v>
      </c>
      <c r="G20" s="6">
        <f t="shared" si="3"/>
        <v>-0.41313971011046385</v>
      </c>
      <c r="I20" s="5"/>
      <c r="J20" s="5"/>
      <c r="K20" s="5"/>
      <c r="L20" s="5"/>
      <c r="M20" s="5"/>
      <c r="N20" s="5"/>
    </row>
    <row r="21" spans="1:14" x14ac:dyDescent="0.3">
      <c r="A21" s="13">
        <v>41174</v>
      </c>
      <c r="B21" s="7">
        <v>0.15</v>
      </c>
      <c r="C21" s="8">
        <f t="shared" si="4"/>
        <v>3.8099999999999996</v>
      </c>
      <c r="D21" s="9">
        <f t="shared" si="0"/>
        <v>6.079564705882353</v>
      </c>
      <c r="E21" s="9">
        <f t="shared" si="1"/>
        <v>11.026692894431044</v>
      </c>
      <c r="F21" s="9">
        <f t="shared" si="5"/>
        <v>-2.2695647058823534</v>
      </c>
      <c r="G21" s="6">
        <f t="shared" si="3"/>
        <v>-0.20582460467621996</v>
      </c>
      <c r="I21" s="5"/>
      <c r="J21" s="5"/>
      <c r="K21" s="5"/>
      <c r="L21" s="5"/>
      <c r="M21" s="5"/>
      <c r="N21" s="5"/>
    </row>
    <row r="22" spans="1:14" x14ac:dyDescent="0.3">
      <c r="A22" s="13">
        <v>41204</v>
      </c>
      <c r="B22" s="7">
        <v>0.17</v>
      </c>
      <c r="C22" s="8">
        <f t="shared" si="4"/>
        <v>4.3180000000000005</v>
      </c>
      <c r="D22" s="9">
        <f t="shared" si="0"/>
        <v>6.079564705882353</v>
      </c>
      <c r="E22" s="9">
        <f t="shared" si="1"/>
        <v>11.026692894431044</v>
      </c>
      <c r="F22" s="9">
        <f t="shared" si="5"/>
        <v>-1.7615647058823525</v>
      </c>
      <c r="G22" s="6">
        <f t="shared" si="3"/>
        <v>-0.15975458124638792</v>
      </c>
      <c r="I22" s="5"/>
      <c r="J22" s="5"/>
      <c r="K22" s="5"/>
      <c r="L22" s="5"/>
      <c r="M22" s="5"/>
      <c r="N22" s="5"/>
    </row>
    <row r="23" spans="1:14" x14ac:dyDescent="0.3">
      <c r="A23" s="13">
        <v>41235</v>
      </c>
      <c r="B23" s="7">
        <v>7.0000000000000007E-2</v>
      </c>
      <c r="C23" s="8">
        <f t="shared" si="4"/>
        <v>1.778</v>
      </c>
      <c r="D23" s="9">
        <f t="shared" si="0"/>
        <v>6.079564705882353</v>
      </c>
      <c r="E23" s="9">
        <f t="shared" si="1"/>
        <v>11.026692894431044</v>
      </c>
      <c r="F23" s="9">
        <f t="shared" si="5"/>
        <v>-4.3015647058823525</v>
      </c>
      <c r="G23" s="6">
        <f t="shared" si="3"/>
        <v>-0.39010469839554784</v>
      </c>
      <c r="I23" s="5"/>
      <c r="J23" s="5"/>
      <c r="K23" s="5"/>
      <c r="L23" s="5"/>
      <c r="M23" s="5"/>
      <c r="N23" s="5"/>
    </row>
    <row r="24" spans="1:14" x14ac:dyDescent="0.3">
      <c r="A24" s="13">
        <v>41265</v>
      </c>
      <c r="B24" s="7">
        <v>0.56999999999999995</v>
      </c>
      <c r="C24" s="8">
        <f t="shared" si="4"/>
        <v>14.477999999999998</v>
      </c>
      <c r="D24" s="9">
        <f t="shared" si="0"/>
        <v>6.079564705882353</v>
      </c>
      <c r="E24" s="9">
        <f t="shared" si="1"/>
        <v>11.026692894431044</v>
      </c>
      <c r="F24" s="9">
        <f t="shared" si="5"/>
        <v>8.398435294117645</v>
      </c>
      <c r="G24" s="6">
        <f t="shared" si="3"/>
        <v>0.76164588735025152</v>
      </c>
      <c r="I24" s="5"/>
      <c r="J24" s="5"/>
      <c r="K24" s="5"/>
      <c r="L24" s="5"/>
      <c r="M24" s="5"/>
      <c r="N24" s="5"/>
    </row>
    <row r="25" spans="1:14" x14ac:dyDescent="0.3">
      <c r="A25" s="13">
        <v>41296</v>
      </c>
      <c r="B25" s="7">
        <v>2.08</v>
      </c>
      <c r="C25" s="8">
        <f t="shared" si="4"/>
        <v>52.832000000000001</v>
      </c>
      <c r="D25" s="9">
        <f t="shared" si="0"/>
        <v>6.079564705882353</v>
      </c>
      <c r="E25" s="9">
        <f t="shared" si="1"/>
        <v>11.026692894431044</v>
      </c>
      <c r="F25" s="9">
        <f t="shared" si="5"/>
        <v>46.752435294117646</v>
      </c>
      <c r="G25" s="6">
        <f t="shared" si="3"/>
        <v>4.2399326563025665</v>
      </c>
      <c r="I25" s="5"/>
      <c r="J25" s="5"/>
      <c r="K25" s="5"/>
      <c r="L25" s="5"/>
      <c r="M25" s="5"/>
      <c r="N25" s="5"/>
    </row>
    <row r="26" spans="1:14" x14ac:dyDescent="0.3">
      <c r="A26" s="13">
        <v>41327</v>
      </c>
      <c r="B26" s="7">
        <v>1.31</v>
      </c>
      <c r="C26" s="8">
        <f t="shared" si="4"/>
        <v>33.274000000000001</v>
      </c>
      <c r="D26" s="9">
        <f t="shared" si="0"/>
        <v>6.079564705882353</v>
      </c>
      <c r="E26" s="9">
        <f t="shared" si="1"/>
        <v>11.026692894431044</v>
      </c>
      <c r="F26" s="9">
        <f t="shared" si="5"/>
        <v>27.194435294117646</v>
      </c>
      <c r="G26" s="6">
        <f t="shared" si="3"/>
        <v>2.4662367542540347</v>
      </c>
      <c r="I26" s="5"/>
      <c r="J26" s="5"/>
      <c r="K26" s="5"/>
      <c r="L26" s="5"/>
      <c r="M26" s="5"/>
      <c r="N26" s="5"/>
    </row>
    <row r="27" spans="1:14" x14ac:dyDescent="0.3">
      <c r="A27" s="13">
        <v>41355</v>
      </c>
      <c r="B27" s="7">
        <v>0.49</v>
      </c>
      <c r="C27" s="8">
        <f t="shared" si="4"/>
        <v>12.446</v>
      </c>
      <c r="D27" s="9">
        <f t="shared" si="0"/>
        <v>6.079564705882353</v>
      </c>
      <c r="E27" s="9">
        <f t="shared" si="1"/>
        <v>11.026692894431044</v>
      </c>
      <c r="F27" s="9">
        <f t="shared" si="5"/>
        <v>6.3664352941176467</v>
      </c>
      <c r="G27" s="6">
        <f t="shared" si="3"/>
        <v>0.57736579363092366</v>
      </c>
      <c r="I27" s="5"/>
      <c r="J27" s="5"/>
      <c r="K27" s="5"/>
      <c r="L27" s="5"/>
      <c r="M27" s="5"/>
      <c r="N27" s="5"/>
    </row>
    <row r="28" spans="1:14" x14ac:dyDescent="0.3">
      <c r="A28" s="13">
        <v>41386</v>
      </c>
      <c r="B28" s="7">
        <v>0.39</v>
      </c>
      <c r="C28" s="8">
        <f t="shared" si="4"/>
        <v>9.9060000000000006</v>
      </c>
      <c r="D28" s="9">
        <f t="shared" si="0"/>
        <v>6.079564705882353</v>
      </c>
      <c r="E28" s="9">
        <f t="shared" si="1"/>
        <v>11.026692894431044</v>
      </c>
      <c r="F28" s="9">
        <f t="shared" si="5"/>
        <v>3.8264352941176476</v>
      </c>
      <c r="G28" s="6">
        <f t="shared" si="3"/>
        <v>0.3470156764817639</v>
      </c>
      <c r="I28" s="5"/>
      <c r="J28" s="5"/>
      <c r="K28" s="5"/>
      <c r="L28" s="5"/>
      <c r="M28" s="5"/>
      <c r="N28" s="5"/>
    </row>
    <row r="29" spans="1:14" x14ac:dyDescent="0.3">
      <c r="A29" s="13">
        <v>41416</v>
      </c>
      <c r="B29" s="7">
        <v>0.27</v>
      </c>
      <c r="C29" s="8">
        <f t="shared" si="4"/>
        <v>6.8579999999999997</v>
      </c>
      <c r="D29" s="9">
        <f t="shared" si="0"/>
        <v>6.079564705882353</v>
      </c>
      <c r="E29" s="9">
        <f t="shared" si="1"/>
        <v>11.026692894431044</v>
      </c>
      <c r="F29" s="9">
        <f t="shared" si="5"/>
        <v>0.77843529411764667</v>
      </c>
      <c r="G29" s="6">
        <f t="shared" si="3"/>
        <v>7.0595535902771914E-2</v>
      </c>
      <c r="I29" s="5"/>
      <c r="J29" s="5"/>
      <c r="K29" s="5"/>
      <c r="L29" s="5"/>
      <c r="M29" s="5"/>
      <c r="N29" s="5"/>
    </row>
    <row r="30" spans="1:14" x14ac:dyDescent="0.3">
      <c r="A30" s="13">
        <v>41447</v>
      </c>
      <c r="B30" s="7">
        <v>0.17</v>
      </c>
      <c r="C30" s="8">
        <f t="shared" si="4"/>
        <v>4.3180000000000005</v>
      </c>
      <c r="D30" s="9">
        <f t="shared" si="0"/>
        <v>6.079564705882353</v>
      </c>
      <c r="E30" s="9">
        <f t="shared" si="1"/>
        <v>11.026692894431044</v>
      </c>
      <c r="F30" s="9">
        <f t="shared" si="5"/>
        <v>-1.7615647058823525</v>
      </c>
      <c r="G30" s="6">
        <f t="shared" si="3"/>
        <v>-0.15975458124638792</v>
      </c>
      <c r="I30" s="5"/>
      <c r="J30" s="5"/>
      <c r="K30" s="5"/>
      <c r="L30" s="5"/>
      <c r="M30" s="5"/>
      <c r="N30" s="5"/>
    </row>
    <row r="31" spans="1:14" x14ac:dyDescent="0.3">
      <c r="A31" s="13">
        <v>41477</v>
      </c>
      <c r="B31" s="7">
        <v>0.11</v>
      </c>
      <c r="C31" s="8">
        <f t="shared" si="4"/>
        <v>2.794</v>
      </c>
      <c r="D31" s="9">
        <f t="shared" si="0"/>
        <v>6.079564705882353</v>
      </c>
      <c r="E31" s="9">
        <f t="shared" si="1"/>
        <v>11.026692894431044</v>
      </c>
      <c r="F31" s="9">
        <f t="shared" si="5"/>
        <v>-3.2855647058823529</v>
      </c>
      <c r="G31" s="6">
        <f t="shared" si="3"/>
        <v>-0.29796465153588392</v>
      </c>
      <c r="I31" s="5"/>
      <c r="J31" s="5"/>
      <c r="K31" s="5"/>
      <c r="L31" s="5"/>
      <c r="M31" s="5"/>
      <c r="N31" s="5"/>
    </row>
    <row r="32" spans="1:14" x14ac:dyDescent="0.3">
      <c r="A32" s="13">
        <v>41508</v>
      </c>
      <c r="B32" s="7">
        <v>0.11</v>
      </c>
      <c r="C32" s="8">
        <f t="shared" si="4"/>
        <v>2.794</v>
      </c>
      <c r="D32" s="9">
        <f t="shared" si="0"/>
        <v>6.079564705882353</v>
      </c>
      <c r="E32" s="9">
        <f t="shared" si="1"/>
        <v>11.026692894431044</v>
      </c>
      <c r="F32" s="9">
        <f t="shared" si="5"/>
        <v>-3.2855647058823529</v>
      </c>
      <c r="G32" s="6">
        <f t="shared" si="3"/>
        <v>-0.29796465153588392</v>
      </c>
      <c r="I32" s="5"/>
      <c r="J32" s="5"/>
      <c r="K32" s="5"/>
      <c r="L32" s="5"/>
      <c r="M32" s="5"/>
      <c r="N32" s="5"/>
    </row>
    <row r="33" spans="1:14" x14ac:dyDescent="0.3">
      <c r="A33" s="13">
        <v>41539</v>
      </c>
      <c r="B33" s="7">
        <v>0.05</v>
      </c>
      <c r="C33" s="8">
        <f t="shared" si="4"/>
        <v>1.27</v>
      </c>
      <c r="D33" s="9">
        <f t="shared" si="0"/>
        <v>6.079564705882353</v>
      </c>
      <c r="E33" s="9">
        <f t="shared" si="1"/>
        <v>11.026692894431044</v>
      </c>
      <c r="F33" s="9">
        <f t="shared" si="5"/>
        <v>-4.8095647058823534</v>
      </c>
      <c r="G33" s="6">
        <f t="shared" si="3"/>
        <v>-0.43617472182537986</v>
      </c>
      <c r="I33" s="5"/>
      <c r="J33" s="5"/>
      <c r="K33" s="5"/>
      <c r="L33" s="5"/>
      <c r="M33" s="5"/>
      <c r="N33" s="5"/>
    </row>
    <row r="34" spans="1:14" x14ac:dyDescent="0.3">
      <c r="A34" s="13">
        <v>41569</v>
      </c>
      <c r="B34" s="7">
        <v>0.19</v>
      </c>
      <c r="C34" s="8">
        <f t="shared" si="4"/>
        <v>4.8259999999999996</v>
      </c>
      <c r="D34" s="9">
        <f t="shared" si="0"/>
        <v>6.079564705882353</v>
      </c>
      <c r="E34" s="9">
        <f t="shared" si="1"/>
        <v>11.026692894431044</v>
      </c>
      <c r="F34" s="9">
        <f t="shared" si="5"/>
        <v>-1.2535647058823534</v>
      </c>
      <c r="G34" s="6">
        <f t="shared" si="3"/>
        <v>-0.11368455781655601</v>
      </c>
      <c r="I34" s="5"/>
      <c r="J34" s="5"/>
      <c r="K34" s="5"/>
      <c r="L34" s="5"/>
      <c r="M34" s="5"/>
      <c r="N34" s="5"/>
    </row>
    <row r="35" spans="1:14" x14ac:dyDescent="0.3">
      <c r="A35" s="13">
        <v>41600</v>
      </c>
      <c r="B35" s="7">
        <v>0</v>
      </c>
      <c r="C35" s="8">
        <f t="shared" si="4"/>
        <v>0</v>
      </c>
      <c r="D35" s="9">
        <f t="shared" si="0"/>
        <v>6.079564705882353</v>
      </c>
      <c r="E35" s="9">
        <f t="shared" si="1"/>
        <v>11.026692894431044</v>
      </c>
      <c r="F35" s="9">
        <f t="shared" si="5"/>
        <v>-6.079564705882353</v>
      </c>
      <c r="G35" s="6">
        <f t="shared" si="3"/>
        <v>-0.55134978039995974</v>
      </c>
      <c r="I35" s="5"/>
      <c r="J35" s="5"/>
      <c r="K35" s="5"/>
      <c r="L35" s="5"/>
      <c r="M35" s="5"/>
      <c r="N35" s="5"/>
    </row>
    <row r="36" spans="1:14" x14ac:dyDescent="0.3">
      <c r="A36" s="13">
        <v>41630</v>
      </c>
      <c r="B36" s="7">
        <v>0.66</v>
      </c>
      <c r="C36" s="8">
        <f t="shared" si="4"/>
        <v>16.763999999999999</v>
      </c>
      <c r="D36" s="9">
        <f t="shared" si="0"/>
        <v>6.079564705882353</v>
      </c>
      <c r="E36" s="9">
        <f t="shared" si="1"/>
        <v>11.026692894431044</v>
      </c>
      <c r="F36" s="9">
        <f t="shared" si="5"/>
        <v>10.684435294117646</v>
      </c>
      <c r="G36" s="6">
        <f t="shared" si="3"/>
        <v>0.96896099278449555</v>
      </c>
      <c r="I36" s="5"/>
      <c r="J36" s="5"/>
      <c r="K36" s="5"/>
      <c r="L36" s="5"/>
      <c r="M36" s="5"/>
      <c r="N36" s="5"/>
    </row>
    <row r="37" spans="1:14" x14ac:dyDescent="0.3">
      <c r="A37" s="13">
        <v>41661</v>
      </c>
      <c r="B37" s="7">
        <v>0.25</v>
      </c>
      <c r="C37" s="8">
        <f t="shared" si="4"/>
        <v>6.35</v>
      </c>
      <c r="D37" s="9">
        <f t="shared" si="0"/>
        <v>6.079564705882353</v>
      </c>
      <c r="E37" s="9">
        <f t="shared" si="1"/>
        <v>11.026692894431044</v>
      </c>
      <c r="F37" s="9">
        <f t="shared" si="5"/>
        <v>0.27043529411764666</v>
      </c>
      <c r="G37" s="6">
        <f t="shared" si="3"/>
        <v>2.452551247293993E-2</v>
      </c>
      <c r="I37" s="5"/>
      <c r="J37" s="5"/>
      <c r="K37" s="5"/>
      <c r="L37" s="5"/>
      <c r="M37" s="5"/>
      <c r="N37" s="5"/>
    </row>
    <row r="38" spans="1:14" x14ac:dyDescent="0.3">
      <c r="A38" s="13">
        <v>41692</v>
      </c>
      <c r="B38" s="7">
        <v>1.79</v>
      </c>
      <c r="C38" s="8">
        <f t="shared" si="4"/>
        <v>45.466000000000001</v>
      </c>
      <c r="D38" s="9">
        <f t="shared" si="0"/>
        <v>6.079564705882353</v>
      </c>
      <c r="E38" s="9">
        <f t="shared" si="1"/>
        <v>11.026692894431044</v>
      </c>
      <c r="F38" s="9">
        <f t="shared" si="5"/>
        <v>39.386435294117646</v>
      </c>
      <c r="G38" s="6">
        <f t="shared" si="3"/>
        <v>3.5719173165700022</v>
      </c>
      <c r="I38" s="5"/>
      <c r="J38" s="5"/>
      <c r="K38" s="5"/>
      <c r="L38" s="5"/>
      <c r="M38" s="5"/>
      <c r="N38" s="5"/>
    </row>
    <row r="39" spans="1:14" x14ac:dyDescent="0.3">
      <c r="A39" s="13">
        <v>41720</v>
      </c>
      <c r="B39" s="7">
        <v>2.69</v>
      </c>
      <c r="C39" s="8">
        <f t="shared" si="4"/>
        <v>68.325999999999993</v>
      </c>
      <c r="D39" s="9">
        <f t="shared" si="0"/>
        <v>6.079564705882353</v>
      </c>
      <c r="E39" s="9">
        <f t="shared" si="1"/>
        <v>11.026692894431044</v>
      </c>
      <c r="F39" s="9">
        <f t="shared" si="5"/>
        <v>62.246435294117639</v>
      </c>
      <c r="G39" s="6">
        <f t="shared" si="3"/>
        <v>5.6450683709124405</v>
      </c>
      <c r="I39" s="5"/>
      <c r="J39" s="5"/>
      <c r="K39" s="5"/>
      <c r="L39" s="5"/>
      <c r="M39" s="5"/>
      <c r="N39" s="5"/>
    </row>
    <row r="40" spans="1:14" x14ac:dyDescent="0.3">
      <c r="A40" s="13">
        <v>41751</v>
      </c>
      <c r="B40" s="7">
        <v>0.61</v>
      </c>
      <c r="C40" s="8">
        <f t="shared" si="4"/>
        <v>15.493999999999998</v>
      </c>
      <c r="D40" s="9">
        <f t="shared" si="0"/>
        <v>6.079564705882353</v>
      </c>
      <c r="E40" s="9">
        <f t="shared" si="1"/>
        <v>11.026692894431044</v>
      </c>
      <c r="F40" s="9">
        <f t="shared" si="5"/>
        <v>9.414435294117645</v>
      </c>
      <c r="G40" s="6">
        <f t="shared" si="3"/>
        <v>0.85378593420991544</v>
      </c>
      <c r="I40" s="5"/>
      <c r="J40" s="5"/>
      <c r="K40" s="5"/>
      <c r="L40" s="5"/>
      <c r="M40" s="5"/>
      <c r="N40" s="5"/>
    </row>
    <row r="41" spans="1:14" x14ac:dyDescent="0.3">
      <c r="A41" s="13">
        <v>41781</v>
      </c>
      <c r="B41" s="7">
        <v>0.6</v>
      </c>
      <c r="C41" s="8">
        <f t="shared" si="4"/>
        <v>15.239999999999998</v>
      </c>
      <c r="D41" s="9">
        <f t="shared" si="0"/>
        <v>6.079564705882353</v>
      </c>
      <c r="E41" s="9">
        <f t="shared" si="1"/>
        <v>11.026692894431044</v>
      </c>
      <c r="F41" s="9">
        <f t="shared" si="5"/>
        <v>9.1604352941176455</v>
      </c>
      <c r="G41" s="6">
        <f t="shared" si="3"/>
        <v>0.83075092249499949</v>
      </c>
      <c r="I41" s="5"/>
      <c r="J41" s="5"/>
      <c r="K41" s="5"/>
      <c r="L41" s="5"/>
      <c r="M41" s="5"/>
      <c r="N41" s="5"/>
    </row>
    <row r="42" spans="1:14" x14ac:dyDescent="0.3">
      <c r="A42" s="13">
        <v>41812</v>
      </c>
      <c r="B42" s="7">
        <v>0.25</v>
      </c>
      <c r="C42" s="8">
        <f t="shared" si="4"/>
        <v>6.35</v>
      </c>
      <c r="D42" s="9">
        <f t="shared" si="0"/>
        <v>6.079564705882353</v>
      </c>
      <c r="E42" s="9">
        <f t="shared" si="1"/>
        <v>11.026692894431044</v>
      </c>
      <c r="F42" s="9">
        <f t="shared" si="5"/>
        <v>0.27043529411764666</v>
      </c>
      <c r="G42" s="6">
        <f t="shared" si="3"/>
        <v>2.452551247293993E-2</v>
      </c>
      <c r="I42" s="5"/>
      <c r="J42" s="5"/>
      <c r="K42" s="5"/>
      <c r="L42" s="5"/>
      <c r="M42" s="5"/>
      <c r="N42" s="5"/>
    </row>
    <row r="43" spans="1:14" x14ac:dyDescent="0.3">
      <c r="A43" s="13">
        <v>41842</v>
      </c>
      <c r="B43" s="7">
        <v>0.2</v>
      </c>
      <c r="C43" s="8">
        <f t="shared" si="4"/>
        <v>5.08</v>
      </c>
      <c r="D43" s="9">
        <f t="shared" si="0"/>
        <v>6.079564705882353</v>
      </c>
      <c r="E43" s="9">
        <f t="shared" si="1"/>
        <v>11.026692894431044</v>
      </c>
      <c r="F43" s="9">
        <f t="shared" ref="F43:F74" si="6">C43-D43</f>
        <v>-0.99956470588235291</v>
      </c>
      <c r="G43" s="6">
        <f t="shared" si="3"/>
        <v>-9.0649546101639986E-2</v>
      </c>
      <c r="I43" s="5"/>
      <c r="J43" s="5"/>
      <c r="K43" s="5"/>
      <c r="L43" s="5"/>
      <c r="M43" s="5"/>
      <c r="N43" s="5"/>
    </row>
    <row r="44" spans="1:14" x14ac:dyDescent="0.3">
      <c r="A44" s="13">
        <v>41873</v>
      </c>
      <c r="B44" s="7">
        <v>0.09</v>
      </c>
      <c r="C44" s="8">
        <f t="shared" si="4"/>
        <v>2.2859999999999996</v>
      </c>
      <c r="D44" s="9">
        <f t="shared" si="0"/>
        <v>6.079564705882353</v>
      </c>
      <c r="E44" s="9">
        <f t="shared" si="1"/>
        <v>11.026692894431044</v>
      </c>
      <c r="F44" s="9">
        <f t="shared" si="6"/>
        <v>-3.7935647058823534</v>
      </c>
      <c r="G44" s="6">
        <f t="shared" si="3"/>
        <v>-0.34403467496571594</v>
      </c>
      <c r="I44" s="5"/>
      <c r="J44" s="5"/>
      <c r="K44" s="5"/>
      <c r="L44" s="5"/>
      <c r="M44" s="5"/>
      <c r="N44" s="5"/>
    </row>
    <row r="45" spans="1:14" x14ac:dyDescent="0.3">
      <c r="A45" s="13">
        <v>41904</v>
      </c>
      <c r="B45" s="7">
        <v>0.14000000000000001</v>
      </c>
      <c r="C45" s="8">
        <f t="shared" si="4"/>
        <v>3.556</v>
      </c>
      <c r="D45" s="9">
        <f t="shared" si="0"/>
        <v>6.079564705882353</v>
      </c>
      <c r="E45" s="9">
        <f t="shared" si="1"/>
        <v>11.026692894431044</v>
      </c>
      <c r="F45" s="9">
        <f t="shared" si="6"/>
        <v>-2.5235647058823529</v>
      </c>
      <c r="G45" s="6">
        <f t="shared" si="3"/>
        <v>-0.22885961639113592</v>
      </c>
      <c r="I45" s="5"/>
      <c r="J45" s="5"/>
      <c r="K45" s="5"/>
      <c r="L45" s="5"/>
      <c r="M45" s="5"/>
      <c r="N45" s="5"/>
    </row>
    <row r="46" spans="1:14" x14ac:dyDescent="0.3">
      <c r="A46" s="13">
        <v>41934</v>
      </c>
      <c r="B46" s="7">
        <v>0.11</v>
      </c>
      <c r="C46" s="8">
        <f t="shared" si="4"/>
        <v>2.794</v>
      </c>
      <c r="D46" s="9">
        <f t="shared" si="0"/>
        <v>6.079564705882353</v>
      </c>
      <c r="E46" s="9">
        <f t="shared" si="1"/>
        <v>11.026692894431044</v>
      </c>
      <c r="F46" s="9">
        <f t="shared" si="6"/>
        <v>-3.2855647058823529</v>
      </c>
      <c r="G46" s="6">
        <f t="shared" si="3"/>
        <v>-0.29796465153588392</v>
      </c>
      <c r="I46" s="5"/>
      <c r="J46" s="5"/>
      <c r="K46" s="5"/>
      <c r="L46" s="5"/>
      <c r="M46" s="5"/>
      <c r="N46" s="5"/>
    </row>
    <row r="47" spans="1:14" x14ac:dyDescent="0.3">
      <c r="A47" s="13">
        <v>41965</v>
      </c>
      <c r="B47" s="7">
        <v>0.11</v>
      </c>
      <c r="C47" s="8">
        <f t="shared" si="4"/>
        <v>2.794</v>
      </c>
      <c r="D47" s="9">
        <f t="shared" si="0"/>
        <v>6.079564705882353</v>
      </c>
      <c r="E47" s="9">
        <f t="shared" si="1"/>
        <v>11.026692894431044</v>
      </c>
      <c r="F47" s="9">
        <f t="shared" si="6"/>
        <v>-3.2855647058823529</v>
      </c>
      <c r="G47" s="6">
        <f t="shared" si="3"/>
        <v>-0.29796465153588392</v>
      </c>
      <c r="I47" s="5"/>
      <c r="J47" s="5"/>
      <c r="K47" s="5"/>
      <c r="L47" s="5"/>
      <c r="M47" s="5"/>
      <c r="N47" s="5"/>
    </row>
    <row r="48" spans="1:14" x14ac:dyDescent="0.3">
      <c r="A48" s="13">
        <v>41995</v>
      </c>
      <c r="B48" s="7">
        <v>0.96</v>
      </c>
      <c r="C48" s="8">
        <f t="shared" si="4"/>
        <v>24.383999999999997</v>
      </c>
      <c r="D48" s="9">
        <f t="shared" si="0"/>
        <v>6.079564705882353</v>
      </c>
      <c r="E48" s="9">
        <f t="shared" si="1"/>
        <v>11.026692894431044</v>
      </c>
      <c r="F48" s="9">
        <f t="shared" si="6"/>
        <v>18.304435294117646</v>
      </c>
      <c r="G48" s="6">
        <f t="shared" si="3"/>
        <v>1.6600113442319751</v>
      </c>
      <c r="I48" s="5"/>
      <c r="J48" s="5"/>
      <c r="K48" s="5"/>
      <c r="L48" s="5"/>
      <c r="M48" s="5"/>
      <c r="N48" s="5"/>
    </row>
    <row r="49" spans="1:14" x14ac:dyDescent="0.3">
      <c r="A49" s="13">
        <v>42026</v>
      </c>
      <c r="B49" s="7">
        <v>0.26</v>
      </c>
      <c r="C49" s="8">
        <f t="shared" si="4"/>
        <v>6.6040000000000001</v>
      </c>
      <c r="D49" s="9">
        <f t="shared" si="0"/>
        <v>6.079564705882353</v>
      </c>
      <c r="E49" s="9">
        <f t="shared" si="1"/>
        <v>11.026692894431044</v>
      </c>
      <c r="F49" s="9">
        <f t="shared" si="6"/>
        <v>0.52443529411764711</v>
      </c>
      <c r="G49" s="6">
        <f t="shared" si="3"/>
        <v>4.756052418785596E-2</v>
      </c>
      <c r="I49" s="5"/>
      <c r="J49" s="5"/>
      <c r="K49" s="5"/>
      <c r="L49" s="5"/>
      <c r="M49" s="5"/>
      <c r="N49" s="5"/>
    </row>
    <row r="50" spans="1:14" x14ac:dyDescent="0.3">
      <c r="A50" s="13">
        <v>42057</v>
      </c>
      <c r="B50" s="7">
        <v>0.08</v>
      </c>
      <c r="C50" s="8">
        <f t="shared" si="4"/>
        <v>2.032</v>
      </c>
      <c r="D50" s="9">
        <f t="shared" si="0"/>
        <v>6.079564705882353</v>
      </c>
      <c r="E50" s="9">
        <f t="shared" si="1"/>
        <v>11.026692894431044</v>
      </c>
      <c r="F50" s="9">
        <f t="shared" si="6"/>
        <v>-4.047564705882353</v>
      </c>
      <c r="G50" s="6">
        <f t="shared" si="3"/>
        <v>-0.36706968668063189</v>
      </c>
      <c r="I50" s="5"/>
      <c r="J50" s="5"/>
      <c r="K50" s="5"/>
      <c r="L50" s="5"/>
      <c r="M50" s="5"/>
      <c r="N50" s="5"/>
    </row>
    <row r="51" spans="1:14" x14ac:dyDescent="0.3">
      <c r="A51" s="13">
        <v>42085</v>
      </c>
      <c r="B51" s="7">
        <v>0.23</v>
      </c>
      <c r="C51" s="8">
        <f t="shared" si="4"/>
        <v>5.8419999999999996</v>
      </c>
      <c r="D51" s="9">
        <f t="shared" si="0"/>
        <v>6.079564705882353</v>
      </c>
      <c r="E51" s="9">
        <f t="shared" si="1"/>
        <v>11.026692894431044</v>
      </c>
      <c r="F51" s="9">
        <f t="shared" si="6"/>
        <v>-0.23756470588235334</v>
      </c>
      <c r="G51" s="6">
        <f t="shared" si="3"/>
        <v>-2.1544510956892051E-2</v>
      </c>
      <c r="I51" s="5"/>
      <c r="J51" s="5"/>
      <c r="K51" s="5"/>
      <c r="L51" s="5"/>
      <c r="M51" s="5"/>
      <c r="N51" s="5"/>
    </row>
    <row r="52" spans="1:14" x14ac:dyDescent="0.3">
      <c r="A52" s="13">
        <v>42116</v>
      </c>
      <c r="B52" s="7">
        <v>0.18</v>
      </c>
      <c r="C52" s="8">
        <f t="shared" si="4"/>
        <v>4.5719999999999992</v>
      </c>
      <c r="D52" s="9">
        <f t="shared" si="0"/>
        <v>6.079564705882353</v>
      </c>
      <c r="E52" s="9">
        <f t="shared" si="1"/>
        <v>11.026692894431044</v>
      </c>
      <c r="F52" s="9">
        <f t="shared" si="6"/>
        <v>-1.5075647058823538</v>
      </c>
      <c r="G52" s="6">
        <f t="shared" si="3"/>
        <v>-0.13671956953147205</v>
      </c>
      <c r="I52" s="5"/>
      <c r="J52" s="5"/>
      <c r="K52" s="5"/>
      <c r="L52" s="5"/>
      <c r="M52" s="5"/>
      <c r="N52" s="5"/>
    </row>
    <row r="53" spans="1:14" x14ac:dyDescent="0.3">
      <c r="A53" s="13">
        <v>42146</v>
      </c>
      <c r="B53" s="7">
        <v>0.13</v>
      </c>
      <c r="C53" s="8">
        <f t="shared" si="4"/>
        <v>3.302</v>
      </c>
      <c r="D53" s="9">
        <f t="shared" si="0"/>
        <v>6.079564705882353</v>
      </c>
      <c r="E53" s="9">
        <f t="shared" si="1"/>
        <v>11.026692894431044</v>
      </c>
      <c r="F53" s="9">
        <f t="shared" si="6"/>
        <v>-2.7775647058823529</v>
      </c>
      <c r="G53" s="6">
        <f t="shared" si="3"/>
        <v>-0.2518946281060519</v>
      </c>
      <c r="I53" s="5"/>
      <c r="J53" s="5"/>
      <c r="K53" s="5"/>
      <c r="L53" s="5"/>
      <c r="M53" s="5"/>
      <c r="N53" s="5"/>
    </row>
    <row r="54" spans="1:14" x14ac:dyDescent="0.3">
      <c r="A54" s="13">
        <v>42177</v>
      </c>
      <c r="B54" s="7">
        <v>0.03</v>
      </c>
      <c r="C54" s="8">
        <f t="shared" si="4"/>
        <v>0.7619999999999999</v>
      </c>
      <c r="D54" s="9">
        <f t="shared" si="0"/>
        <v>6.079564705882353</v>
      </c>
      <c r="E54" s="9">
        <f t="shared" si="1"/>
        <v>11.026692894431044</v>
      </c>
      <c r="F54" s="9">
        <f t="shared" si="6"/>
        <v>-5.3175647058823534</v>
      </c>
      <c r="G54" s="6">
        <f t="shared" si="3"/>
        <v>-0.48224474525521188</v>
      </c>
      <c r="I54" s="5"/>
      <c r="J54" s="5"/>
      <c r="K54" s="5"/>
      <c r="L54" s="5"/>
      <c r="M54" s="5"/>
      <c r="N54" s="5"/>
    </row>
    <row r="55" spans="1:14" x14ac:dyDescent="0.3">
      <c r="A55" s="13">
        <v>42207</v>
      </c>
      <c r="B55" s="7">
        <v>0.08</v>
      </c>
      <c r="C55" s="8">
        <f t="shared" si="4"/>
        <v>2.032</v>
      </c>
      <c r="D55" s="9">
        <f t="shared" si="0"/>
        <v>6.079564705882353</v>
      </c>
      <c r="E55" s="9">
        <f t="shared" si="1"/>
        <v>11.026692894431044</v>
      </c>
      <c r="F55" s="9">
        <f t="shared" si="6"/>
        <v>-4.047564705882353</v>
      </c>
      <c r="G55" s="6">
        <f t="shared" si="3"/>
        <v>-0.36706968668063189</v>
      </c>
      <c r="I55" s="5"/>
      <c r="J55" s="5"/>
      <c r="K55" s="5"/>
      <c r="L55" s="5"/>
      <c r="M55" s="5"/>
      <c r="N55" s="5"/>
    </row>
    <row r="56" spans="1:14" x14ac:dyDescent="0.3">
      <c r="A56" s="13">
        <v>42238</v>
      </c>
      <c r="B56" s="7">
        <v>0.05</v>
      </c>
      <c r="C56" s="8">
        <f t="shared" si="4"/>
        <v>1.27</v>
      </c>
      <c r="D56" s="9">
        <f t="shared" si="0"/>
        <v>6.079564705882353</v>
      </c>
      <c r="E56" s="9">
        <f t="shared" si="1"/>
        <v>11.026692894431044</v>
      </c>
      <c r="F56" s="9">
        <f t="shared" si="6"/>
        <v>-4.8095647058823534</v>
      </c>
      <c r="G56" s="6">
        <f t="shared" si="3"/>
        <v>-0.43617472182537986</v>
      </c>
      <c r="I56" s="5"/>
      <c r="J56" s="5"/>
      <c r="K56" s="5"/>
      <c r="L56" s="5"/>
      <c r="M56" s="5"/>
      <c r="N56" s="5"/>
    </row>
    <row r="57" spans="1:14" x14ac:dyDescent="0.3">
      <c r="A57" s="13">
        <v>42269</v>
      </c>
      <c r="B57" s="7">
        <v>0.08</v>
      </c>
      <c r="C57" s="8">
        <f t="shared" si="4"/>
        <v>2.032</v>
      </c>
      <c r="D57" s="9">
        <f t="shared" si="0"/>
        <v>6.079564705882353</v>
      </c>
      <c r="E57" s="9">
        <f t="shared" si="1"/>
        <v>11.026692894431044</v>
      </c>
      <c r="F57" s="9">
        <f t="shared" si="6"/>
        <v>-4.047564705882353</v>
      </c>
      <c r="G57" s="6">
        <f t="shared" si="3"/>
        <v>-0.36706968668063189</v>
      </c>
      <c r="I57" s="5"/>
      <c r="J57" s="5"/>
      <c r="K57" s="5"/>
      <c r="L57" s="5"/>
      <c r="M57" s="5"/>
      <c r="N57" s="5"/>
    </row>
    <row r="58" spans="1:14" x14ac:dyDescent="0.3">
      <c r="A58" s="13">
        <v>42299</v>
      </c>
      <c r="B58" s="7">
        <v>0.01</v>
      </c>
      <c r="C58" s="8">
        <f t="shared" si="4"/>
        <v>0.254</v>
      </c>
      <c r="D58" s="9">
        <f t="shared" si="0"/>
        <v>6.079564705882353</v>
      </c>
      <c r="E58" s="9">
        <f t="shared" si="1"/>
        <v>11.026692894431044</v>
      </c>
      <c r="F58" s="9">
        <f t="shared" si="6"/>
        <v>-5.8255647058823534</v>
      </c>
      <c r="G58" s="6">
        <f t="shared" si="3"/>
        <v>-0.5283147686850439</v>
      </c>
      <c r="I58" s="5"/>
      <c r="J58" s="5"/>
      <c r="K58" s="5"/>
      <c r="L58" s="5"/>
      <c r="M58" s="5"/>
      <c r="N58" s="5"/>
    </row>
    <row r="59" spans="1:14" x14ac:dyDescent="0.3">
      <c r="A59" s="13">
        <v>42330</v>
      </c>
      <c r="B59" s="7">
        <v>0.02</v>
      </c>
      <c r="C59" s="8">
        <f t="shared" si="4"/>
        <v>0.50800000000000001</v>
      </c>
      <c r="D59" s="9">
        <f t="shared" si="0"/>
        <v>6.079564705882353</v>
      </c>
      <c r="E59" s="9">
        <f t="shared" si="1"/>
        <v>11.026692894431044</v>
      </c>
      <c r="F59" s="9">
        <f t="shared" si="6"/>
        <v>-5.571564705882353</v>
      </c>
      <c r="G59" s="6">
        <f t="shared" si="3"/>
        <v>-0.50527975697012784</v>
      </c>
      <c r="I59" s="5"/>
      <c r="J59" s="5"/>
      <c r="K59" s="5"/>
      <c r="L59" s="5"/>
      <c r="M59" s="5"/>
      <c r="N59" s="5"/>
    </row>
    <row r="60" spans="1:14" x14ac:dyDescent="0.3">
      <c r="A60" s="13">
        <v>42360</v>
      </c>
      <c r="B60" s="7">
        <v>0.03</v>
      </c>
      <c r="C60" s="8">
        <f t="shared" si="4"/>
        <v>0.7619999999999999</v>
      </c>
      <c r="D60" s="9">
        <f t="shared" si="0"/>
        <v>6.079564705882353</v>
      </c>
      <c r="E60" s="9">
        <f t="shared" si="1"/>
        <v>11.026692894431044</v>
      </c>
      <c r="F60" s="9">
        <f t="shared" si="6"/>
        <v>-5.3175647058823534</v>
      </c>
      <c r="G60" s="6">
        <f t="shared" si="3"/>
        <v>-0.48224474525521188</v>
      </c>
      <c r="I60" s="5"/>
      <c r="J60" s="5"/>
      <c r="K60" s="5"/>
      <c r="L60" s="5"/>
      <c r="M60" s="5"/>
      <c r="N60" s="5"/>
    </row>
    <row r="61" spans="1:14" x14ac:dyDescent="0.3">
      <c r="A61" s="13">
        <v>42391</v>
      </c>
      <c r="B61" s="7">
        <v>0.03</v>
      </c>
      <c r="C61" s="8">
        <f t="shared" si="4"/>
        <v>0.7619999999999999</v>
      </c>
      <c r="D61" s="9">
        <f t="shared" si="0"/>
        <v>6.079564705882353</v>
      </c>
      <c r="E61" s="9">
        <f t="shared" si="1"/>
        <v>11.026692894431044</v>
      </c>
      <c r="F61" s="9">
        <f t="shared" si="6"/>
        <v>-5.3175647058823534</v>
      </c>
      <c r="G61" s="6">
        <f t="shared" si="3"/>
        <v>-0.48224474525521188</v>
      </c>
      <c r="I61" s="5"/>
      <c r="J61" s="5"/>
      <c r="K61" s="5"/>
      <c r="L61" s="5"/>
      <c r="M61" s="5"/>
      <c r="N61" s="5"/>
    </row>
    <row r="62" spans="1:14" x14ac:dyDescent="0.3">
      <c r="A62" s="13">
        <v>42422</v>
      </c>
      <c r="B62" s="7">
        <v>0.02</v>
      </c>
      <c r="C62" s="8">
        <f t="shared" si="4"/>
        <v>0.50800000000000001</v>
      </c>
      <c r="D62" s="9">
        <f t="shared" si="0"/>
        <v>6.079564705882353</v>
      </c>
      <c r="E62" s="9">
        <f t="shared" si="1"/>
        <v>11.026692894431044</v>
      </c>
      <c r="F62" s="9">
        <f t="shared" si="6"/>
        <v>-5.571564705882353</v>
      </c>
      <c r="G62" s="6">
        <f t="shared" si="3"/>
        <v>-0.50527975697012784</v>
      </c>
      <c r="I62" s="5"/>
      <c r="J62" s="5"/>
      <c r="K62" s="5"/>
      <c r="L62" s="5"/>
      <c r="M62" s="5"/>
      <c r="N62" s="5"/>
    </row>
    <row r="63" spans="1:14" x14ac:dyDescent="0.3">
      <c r="A63" s="13">
        <v>42451</v>
      </c>
      <c r="B63" s="7">
        <v>0.16</v>
      </c>
      <c r="C63" s="8">
        <f t="shared" si="4"/>
        <v>4.0640000000000001</v>
      </c>
      <c r="D63" s="9">
        <f t="shared" si="0"/>
        <v>6.079564705882353</v>
      </c>
      <c r="E63" s="9">
        <f t="shared" si="1"/>
        <v>11.026692894431044</v>
      </c>
      <c r="F63" s="9">
        <f t="shared" si="6"/>
        <v>-2.0155647058823529</v>
      </c>
      <c r="G63" s="6">
        <f t="shared" si="3"/>
        <v>-0.18278959296130395</v>
      </c>
      <c r="I63" s="5"/>
      <c r="J63" s="5"/>
      <c r="K63" s="5"/>
      <c r="L63" s="5"/>
      <c r="M63" s="5"/>
      <c r="N63" s="5"/>
    </row>
    <row r="64" spans="1:14" x14ac:dyDescent="0.3">
      <c r="A64" s="13">
        <v>42482</v>
      </c>
      <c r="B64" s="7">
        <v>0</v>
      </c>
      <c r="C64" s="8">
        <f t="shared" si="4"/>
        <v>0</v>
      </c>
      <c r="D64" s="9">
        <f t="shared" si="0"/>
        <v>6.079564705882353</v>
      </c>
      <c r="E64" s="9">
        <f t="shared" si="1"/>
        <v>11.026692894431044</v>
      </c>
      <c r="F64" s="9">
        <f t="shared" si="6"/>
        <v>-6.079564705882353</v>
      </c>
      <c r="G64" s="6">
        <f t="shared" si="3"/>
        <v>-0.55134978039995974</v>
      </c>
      <c r="I64" s="5"/>
      <c r="J64" s="5"/>
      <c r="K64" s="5"/>
      <c r="L64" s="5"/>
      <c r="M64" s="5"/>
      <c r="N64" s="5"/>
    </row>
    <row r="65" spans="1:14" x14ac:dyDescent="0.3">
      <c r="A65" s="13">
        <v>42512</v>
      </c>
      <c r="B65" s="7">
        <v>0.01</v>
      </c>
      <c r="C65" s="8">
        <f t="shared" si="4"/>
        <v>0.254</v>
      </c>
      <c r="D65" s="9">
        <f t="shared" si="0"/>
        <v>6.079564705882353</v>
      </c>
      <c r="E65" s="9">
        <f t="shared" si="1"/>
        <v>11.026692894431044</v>
      </c>
      <c r="F65" s="9">
        <f t="shared" si="6"/>
        <v>-5.8255647058823534</v>
      </c>
      <c r="G65" s="6">
        <f t="shared" si="3"/>
        <v>-0.5283147686850439</v>
      </c>
      <c r="I65" s="5"/>
      <c r="J65" s="5"/>
      <c r="K65" s="5"/>
      <c r="L65" s="5"/>
      <c r="M65" s="5"/>
      <c r="N65" s="5"/>
    </row>
    <row r="66" spans="1:14" x14ac:dyDescent="0.3">
      <c r="A66" s="13">
        <v>42543</v>
      </c>
      <c r="B66" s="7">
        <v>0.01</v>
      </c>
      <c r="C66" s="8">
        <f t="shared" si="4"/>
        <v>0.254</v>
      </c>
      <c r="D66" s="9">
        <f t="shared" si="0"/>
        <v>6.079564705882353</v>
      </c>
      <c r="E66" s="9">
        <f t="shared" si="1"/>
        <v>11.026692894431044</v>
      </c>
      <c r="F66" s="9">
        <f t="shared" si="6"/>
        <v>-5.8255647058823534</v>
      </c>
      <c r="G66" s="6">
        <f t="shared" ref="G66:G129" si="7">F66/E66</f>
        <v>-0.5283147686850439</v>
      </c>
      <c r="I66" s="5"/>
      <c r="J66" s="5"/>
      <c r="K66" s="5"/>
      <c r="L66" s="5"/>
      <c r="M66" s="5"/>
      <c r="N66" s="5"/>
    </row>
    <row r="67" spans="1:14" x14ac:dyDescent="0.3">
      <c r="A67" s="13">
        <v>42573</v>
      </c>
      <c r="B67" s="7">
        <v>0.02</v>
      </c>
      <c r="C67" s="8">
        <f t="shared" si="4"/>
        <v>0.50800000000000001</v>
      </c>
      <c r="D67" s="9">
        <f t="shared" ref="D67:D130" si="8">AVERAGE($C$2:$C$171)</f>
        <v>6.079564705882353</v>
      </c>
      <c r="E67" s="9">
        <f t="shared" ref="E67:E130" si="9">_xlfn.STDEV.S($C$2:$C$171)</f>
        <v>11.026692894431044</v>
      </c>
      <c r="F67" s="9">
        <f t="shared" si="6"/>
        <v>-5.571564705882353</v>
      </c>
      <c r="G67" s="6">
        <f t="shared" si="7"/>
        <v>-0.50527975697012784</v>
      </c>
      <c r="I67" s="5"/>
      <c r="J67" s="5"/>
      <c r="K67" s="5"/>
      <c r="L67" s="5"/>
      <c r="M67" s="5"/>
      <c r="N67" s="5"/>
    </row>
    <row r="68" spans="1:14" x14ac:dyDescent="0.3">
      <c r="A68" s="13">
        <v>42604</v>
      </c>
      <c r="B68" s="7">
        <v>0.01</v>
      </c>
      <c r="C68" s="8">
        <f t="shared" ref="C68:C131" si="10">25.4*B68</f>
        <v>0.254</v>
      </c>
      <c r="D68" s="9">
        <f t="shared" si="8"/>
        <v>6.079564705882353</v>
      </c>
      <c r="E68" s="9">
        <f t="shared" si="9"/>
        <v>11.026692894431044</v>
      </c>
      <c r="F68" s="9">
        <f t="shared" si="6"/>
        <v>-5.8255647058823534</v>
      </c>
      <c r="G68" s="6">
        <f t="shared" si="7"/>
        <v>-0.5283147686850439</v>
      </c>
      <c r="I68" s="5"/>
      <c r="J68" s="5"/>
      <c r="K68" s="5"/>
      <c r="L68" s="5"/>
      <c r="M68" s="5"/>
      <c r="N68" s="5"/>
    </row>
    <row r="69" spans="1:14" x14ac:dyDescent="0.3">
      <c r="A69" s="13">
        <v>42635</v>
      </c>
      <c r="B69" s="7">
        <v>0.01</v>
      </c>
      <c r="C69" s="8">
        <f t="shared" si="10"/>
        <v>0.254</v>
      </c>
      <c r="D69" s="9">
        <f t="shared" si="8"/>
        <v>6.079564705882353</v>
      </c>
      <c r="E69" s="9">
        <f t="shared" si="9"/>
        <v>11.026692894431044</v>
      </c>
      <c r="F69" s="9">
        <f t="shared" si="6"/>
        <v>-5.8255647058823534</v>
      </c>
      <c r="G69" s="6">
        <f t="shared" si="7"/>
        <v>-0.5283147686850439</v>
      </c>
      <c r="I69" s="5"/>
      <c r="J69" s="5"/>
      <c r="K69" s="5"/>
      <c r="L69" s="5"/>
      <c r="M69" s="5"/>
      <c r="N69" s="5"/>
    </row>
    <row r="70" spans="1:14" x14ac:dyDescent="0.3">
      <c r="A70" s="13">
        <v>42665</v>
      </c>
      <c r="B70" s="7">
        <v>0.01</v>
      </c>
      <c r="C70" s="8">
        <f t="shared" si="10"/>
        <v>0.254</v>
      </c>
      <c r="D70" s="9">
        <f t="shared" si="8"/>
        <v>6.079564705882353</v>
      </c>
      <c r="E70" s="9">
        <f t="shared" si="9"/>
        <v>11.026692894431044</v>
      </c>
      <c r="F70" s="9">
        <f t="shared" si="6"/>
        <v>-5.8255647058823534</v>
      </c>
      <c r="G70" s="6">
        <f t="shared" si="7"/>
        <v>-0.5283147686850439</v>
      </c>
      <c r="I70" s="5"/>
      <c r="J70" s="5"/>
      <c r="K70" s="5"/>
      <c r="L70" s="5"/>
      <c r="M70" s="5"/>
      <c r="N70" s="5"/>
    </row>
    <row r="71" spans="1:14" x14ac:dyDescent="0.3">
      <c r="A71" s="13">
        <v>42696</v>
      </c>
      <c r="B71" s="7">
        <v>0.05</v>
      </c>
      <c r="C71" s="8">
        <f t="shared" si="10"/>
        <v>1.27</v>
      </c>
      <c r="D71" s="9">
        <f t="shared" si="8"/>
        <v>6.079564705882353</v>
      </c>
      <c r="E71" s="9">
        <f t="shared" si="9"/>
        <v>11.026692894431044</v>
      </c>
      <c r="F71" s="9">
        <f t="shared" si="6"/>
        <v>-4.8095647058823534</v>
      </c>
      <c r="G71" s="6">
        <f t="shared" si="7"/>
        <v>-0.43617472182537986</v>
      </c>
      <c r="I71" s="5"/>
      <c r="J71" s="5"/>
      <c r="K71" s="5"/>
      <c r="L71" s="5"/>
      <c r="M71" s="5"/>
      <c r="N71" s="5"/>
    </row>
    <row r="72" spans="1:14" x14ac:dyDescent="0.3">
      <c r="A72" s="13">
        <v>42726</v>
      </c>
      <c r="B72" s="7">
        <v>0.17</v>
      </c>
      <c r="C72" s="8">
        <f t="shared" si="10"/>
        <v>4.3180000000000005</v>
      </c>
      <c r="D72" s="9">
        <f t="shared" si="8"/>
        <v>6.079564705882353</v>
      </c>
      <c r="E72" s="9">
        <f t="shared" si="9"/>
        <v>11.026692894431044</v>
      </c>
      <c r="F72" s="9">
        <f t="shared" si="6"/>
        <v>-1.7615647058823525</v>
      </c>
      <c r="G72" s="6">
        <f t="shared" si="7"/>
        <v>-0.15975458124638792</v>
      </c>
      <c r="I72" s="5"/>
      <c r="J72" s="5"/>
      <c r="K72" s="5"/>
      <c r="L72" s="5"/>
      <c r="M72" s="5"/>
      <c r="N72" s="5"/>
    </row>
    <row r="73" spans="1:14" x14ac:dyDescent="0.3">
      <c r="A73" s="13">
        <v>42757</v>
      </c>
      <c r="B73" s="7">
        <v>0.56000000000000005</v>
      </c>
      <c r="C73" s="8">
        <f t="shared" si="10"/>
        <v>14.224</v>
      </c>
      <c r="D73" s="9">
        <f t="shared" si="8"/>
        <v>6.079564705882353</v>
      </c>
      <c r="E73" s="9">
        <f t="shared" si="9"/>
        <v>11.026692894431044</v>
      </c>
      <c r="F73" s="9">
        <f t="shared" si="6"/>
        <v>8.1444352941176472</v>
      </c>
      <c r="G73" s="6">
        <f t="shared" si="7"/>
        <v>0.73861087563533567</v>
      </c>
      <c r="I73" s="5"/>
      <c r="J73" s="5"/>
      <c r="K73" s="5"/>
      <c r="L73" s="5"/>
      <c r="M73" s="5"/>
      <c r="N73" s="5"/>
    </row>
    <row r="74" spans="1:14" x14ac:dyDescent="0.3">
      <c r="A74" s="13">
        <v>42788</v>
      </c>
      <c r="B74" s="7">
        <v>1.05</v>
      </c>
      <c r="C74" s="8">
        <f t="shared" si="10"/>
        <v>26.669999999999998</v>
      </c>
      <c r="D74" s="9">
        <f t="shared" si="8"/>
        <v>6.079564705882353</v>
      </c>
      <c r="E74" s="9">
        <f t="shared" si="9"/>
        <v>11.026692894431044</v>
      </c>
      <c r="F74" s="9">
        <f t="shared" si="6"/>
        <v>20.590435294117647</v>
      </c>
      <c r="G74" s="6">
        <f t="shared" si="7"/>
        <v>1.8673264496662192</v>
      </c>
      <c r="I74" s="5"/>
      <c r="J74" s="5"/>
      <c r="K74" s="5"/>
      <c r="L74" s="5"/>
      <c r="M74" s="5"/>
      <c r="N74" s="5"/>
    </row>
    <row r="75" spans="1:14" x14ac:dyDescent="0.3">
      <c r="A75" s="13">
        <v>42816</v>
      </c>
      <c r="B75" s="7">
        <v>0.42</v>
      </c>
      <c r="C75" s="8">
        <f t="shared" si="10"/>
        <v>10.667999999999999</v>
      </c>
      <c r="D75" s="9">
        <f t="shared" si="8"/>
        <v>6.079564705882353</v>
      </c>
      <c r="E75" s="9">
        <f t="shared" si="9"/>
        <v>11.026692894431044</v>
      </c>
      <c r="F75" s="9">
        <f t="shared" ref="F75:F106" si="11">C75-D75</f>
        <v>4.5884352941176463</v>
      </c>
      <c r="G75" s="6">
        <f t="shared" si="7"/>
        <v>0.41612071162651171</v>
      </c>
      <c r="I75" s="5"/>
      <c r="J75" s="5"/>
      <c r="K75" s="5"/>
      <c r="L75" s="5"/>
      <c r="M75" s="5"/>
      <c r="N75" s="5"/>
    </row>
    <row r="76" spans="1:14" x14ac:dyDescent="0.3">
      <c r="A76" s="13">
        <v>42847</v>
      </c>
      <c r="B76" s="7">
        <v>0.21</v>
      </c>
      <c r="C76" s="8">
        <f t="shared" si="10"/>
        <v>5.3339999999999996</v>
      </c>
      <c r="D76" s="9">
        <f t="shared" si="8"/>
        <v>6.079564705882353</v>
      </c>
      <c r="E76" s="9">
        <f t="shared" si="9"/>
        <v>11.026692894431044</v>
      </c>
      <c r="F76" s="9">
        <f t="shared" si="11"/>
        <v>-0.74556470588235335</v>
      </c>
      <c r="G76" s="6">
        <f t="shared" si="7"/>
        <v>-6.7614534386724032E-2</v>
      </c>
      <c r="I76" s="5"/>
      <c r="J76" s="5"/>
      <c r="K76" s="5"/>
      <c r="L76" s="5"/>
      <c r="M76" s="5"/>
      <c r="N76" s="5"/>
    </row>
    <row r="77" spans="1:14" x14ac:dyDescent="0.3">
      <c r="A77" s="13">
        <v>42877</v>
      </c>
      <c r="B77" s="7">
        <v>0.2</v>
      </c>
      <c r="C77" s="8">
        <f t="shared" si="10"/>
        <v>5.08</v>
      </c>
      <c r="D77" s="9">
        <f t="shared" si="8"/>
        <v>6.079564705882353</v>
      </c>
      <c r="E77" s="9">
        <f t="shared" si="9"/>
        <v>11.026692894431044</v>
      </c>
      <c r="F77" s="9">
        <f t="shared" si="11"/>
        <v>-0.99956470588235291</v>
      </c>
      <c r="G77" s="6">
        <f t="shared" si="7"/>
        <v>-9.0649546101639986E-2</v>
      </c>
      <c r="I77" s="5"/>
      <c r="J77" s="5"/>
      <c r="K77" s="5"/>
      <c r="L77" s="5"/>
      <c r="M77" s="5"/>
      <c r="N77" s="5"/>
    </row>
    <row r="78" spans="1:14" x14ac:dyDescent="0.3">
      <c r="A78" s="13">
        <v>42908</v>
      </c>
      <c r="B78" s="7">
        <v>0.06</v>
      </c>
      <c r="C78" s="8">
        <f t="shared" si="10"/>
        <v>1.5239999999999998</v>
      </c>
      <c r="D78" s="9">
        <f t="shared" si="8"/>
        <v>6.079564705882353</v>
      </c>
      <c r="E78" s="9">
        <f t="shared" si="9"/>
        <v>11.026692894431044</v>
      </c>
      <c r="F78" s="9">
        <f t="shared" si="11"/>
        <v>-4.555564705882353</v>
      </c>
      <c r="G78" s="6">
        <f t="shared" si="7"/>
        <v>-0.41313971011046385</v>
      </c>
      <c r="I78" s="5"/>
      <c r="J78" s="5"/>
      <c r="K78" s="5"/>
      <c r="L78" s="5"/>
      <c r="M78" s="5"/>
      <c r="N78" s="5"/>
    </row>
    <row r="79" spans="1:14" x14ac:dyDescent="0.3">
      <c r="A79" s="13">
        <v>42938</v>
      </c>
      <c r="B79" s="7">
        <v>0.03</v>
      </c>
      <c r="C79" s="8">
        <f t="shared" si="10"/>
        <v>0.7619999999999999</v>
      </c>
      <c r="D79" s="9">
        <f t="shared" si="8"/>
        <v>6.079564705882353</v>
      </c>
      <c r="E79" s="9">
        <f t="shared" si="9"/>
        <v>11.026692894431044</v>
      </c>
      <c r="F79" s="9">
        <f t="shared" si="11"/>
        <v>-5.3175647058823534</v>
      </c>
      <c r="G79" s="6">
        <f t="shared" si="7"/>
        <v>-0.48224474525521188</v>
      </c>
      <c r="I79" s="5"/>
      <c r="J79" s="5"/>
      <c r="K79" s="5"/>
      <c r="L79" s="5"/>
      <c r="M79" s="5"/>
      <c r="N79" s="5"/>
    </row>
    <row r="80" spans="1:14" x14ac:dyDescent="0.3">
      <c r="A80" s="13">
        <v>42969</v>
      </c>
      <c r="B80" s="7">
        <v>7.0000000000000007E-2</v>
      </c>
      <c r="C80" s="8">
        <f t="shared" si="10"/>
        <v>1.778</v>
      </c>
      <c r="D80" s="9">
        <f t="shared" si="8"/>
        <v>6.079564705882353</v>
      </c>
      <c r="E80" s="9">
        <f t="shared" si="9"/>
        <v>11.026692894431044</v>
      </c>
      <c r="F80" s="9">
        <f t="shared" si="11"/>
        <v>-4.3015647058823525</v>
      </c>
      <c r="G80" s="6">
        <f t="shared" si="7"/>
        <v>-0.39010469839554784</v>
      </c>
      <c r="I80" s="5"/>
      <c r="J80" s="5"/>
      <c r="K80" s="5"/>
      <c r="L80" s="5"/>
      <c r="M80" s="5"/>
      <c r="N80" s="5"/>
    </row>
    <row r="81" spans="1:14" x14ac:dyDescent="0.3">
      <c r="A81" s="13">
        <v>43000</v>
      </c>
      <c r="B81" s="7">
        <v>0.02</v>
      </c>
      <c r="C81" s="8">
        <f t="shared" si="10"/>
        <v>0.50800000000000001</v>
      </c>
      <c r="D81" s="9">
        <f t="shared" si="8"/>
        <v>6.079564705882353</v>
      </c>
      <c r="E81" s="9">
        <f t="shared" si="9"/>
        <v>11.026692894431044</v>
      </c>
      <c r="F81" s="9">
        <f t="shared" si="11"/>
        <v>-5.571564705882353</v>
      </c>
      <c r="G81" s="6">
        <f t="shared" si="7"/>
        <v>-0.50527975697012784</v>
      </c>
      <c r="I81" s="5"/>
      <c r="J81" s="5"/>
      <c r="K81" s="5"/>
      <c r="L81" s="5"/>
      <c r="M81" s="5"/>
      <c r="N81" s="5"/>
    </row>
    <row r="82" spans="1:14" x14ac:dyDescent="0.3">
      <c r="A82" s="13">
        <v>43030</v>
      </c>
      <c r="B82" s="7">
        <v>0</v>
      </c>
      <c r="C82" s="8">
        <f t="shared" si="10"/>
        <v>0</v>
      </c>
      <c r="D82" s="9">
        <f t="shared" si="8"/>
        <v>6.079564705882353</v>
      </c>
      <c r="E82" s="9">
        <f t="shared" si="9"/>
        <v>11.026692894431044</v>
      </c>
      <c r="F82" s="9">
        <f t="shared" si="11"/>
        <v>-6.079564705882353</v>
      </c>
      <c r="G82" s="6">
        <f t="shared" si="7"/>
        <v>-0.55134978039995974</v>
      </c>
      <c r="I82" s="5"/>
      <c r="J82" s="5"/>
      <c r="K82" s="5"/>
      <c r="L82" s="5"/>
      <c r="M82" s="5"/>
      <c r="N82" s="5"/>
    </row>
    <row r="83" spans="1:14" x14ac:dyDescent="0.3">
      <c r="A83" s="13">
        <v>43061</v>
      </c>
      <c r="B83" s="7">
        <v>0.02</v>
      </c>
      <c r="C83" s="8">
        <f t="shared" si="10"/>
        <v>0.50800000000000001</v>
      </c>
      <c r="D83" s="9">
        <f t="shared" si="8"/>
        <v>6.079564705882353</v>
      </c>
      <c r="E83" s="9">
        <f t="shared" si="9"/>
        <v>11.026692894431044</v>
      </c>
      <c r="F83" s="9">
        <f t="shared" si="11"/>
        <v>-5.571564705882353</v>
      </c>
      <c r="G83" s="6">
        <f t="shared" si="7"/>
        <v>-0.50527975697012784</v>
      </c>
      <c r="I83" s="5"/>
      <c r="J83" s="5"/>
      <c r="K83" s="5"/>
      <c r="L83" s="5"/>
      <c r="M83" s="5"/>
      <c r="N83" s="5"/>
    </row>
    <row r="84" spans="1:14" x14ac:dyDescent="0.3">
      <c r="A84" s="13">
        <v>43091</v>
      </c>
      <c r="B84" s="7">
        <v>0.09</v>
      </c>
      <c r="C84" s="8">
        <f t="shared" si="10"/>
        <v>2.2859999999999996</v>
      </c>
      <c r="D84" s="9">
        <f t="shared" si="8"/>
        <v>6.079564705882353</v>
      </c>
      <c r="E84" s="9">
        <f t="shared" si="9"/>
        <v>11.026692894431044</v>
      </c>
      <c r="F84" s="9">
        <f t="shared" si="11"/>
        <v>-3.7935647058823534</v>
      </c>
      <c r="G84" s="6">
        <f t="shared" si="7"/>
        <v>-0.34403467496571594</v>
      </c>
      <c r="I84" s="5"/>
      <c r="J84" s="5"/>
      <c r="K84" s="5"/>
      <c r="L84" s="5"/>
      <c r="M84" s="5"/>
      <c r="N84" s="5"/>
    </row>
    <row r="85" spans="1:14" x14ac:dyDescent="0.3">
      <c r="A85" s="13">
        <v>43122</v>
      </c>
      <c r="B85" s="7">
        <v>0.01</v>
      </c>
      <c r="C85" s="8">
        <f t="shared" si="10"/>
        <v>0.254</v>
      </c>
      <c r="D85" s="9">
        <f t="shared" si="8"/>
        <v>6.079564705882353</v>
      </c>
      <c r="E85" s="9">
        <f t="shared" si="9"/>
        <v>11.026692894431044</v>
      </c>
      <c r="F85" s="9">
        <f t="shared" si="11"/>
        <v>-5.8255647058823534</v>
      </c>
      <c r="G85" s="6">
        <f t="shared" si="7"/>
        <v>-0.5283147686850439</v>
      </c>
      <c r="I85" s="5"/>
      <c r="J85" s="5"/>
      <c r="K85" s="5"/>
      <c r="L85" s="5"/>
      <c r="M85" s="5"/>
      <c r="N85" s="5"/>
    </row>
    <row r="86" spans="1:14" x14ac:dyDescent="0.3">
      <c r="A86" s="13">
        <v>43153</v>
      </c>
      <c r="B86" s="7">
        <v>0.09</v>
      </c>
      <c r="C86" s="8">
        <f t="shared" si="10"/>
        <v>2.2859999999999996</v>
      </c>
      <c r="D86" s="9">
        <f t="shared" si="8"/>
        <v>6.079564705882353</v>
      </c>
      <c r="E86" s="9">
        <f t="shared" si="9"/>
        <v>11.026692894431044</v>
      </c>
      <c r="F86" s="9">
        <f t="shared" si="11"/>
        <v>-3.7935647058823534</v>
      </c>
      <c r="G86" s="6">
        <f t="shared" si="7"/>
        <v>-0.34403467496571594</v>
      </c>
      <c r="I86" s="5"/>
      <c r="J86" s="5"/>
      <c r="K86" s="5"/>
      <c r="L86" s="5"/>
      <c r="M86" s="5"/>
      <c r="N86" s="5"/>
    </row>
    <row r="87" spans="1:14" x14ac:dyDescent="0.3">
      <c r="A87" s="13">
        <v>43181</v>
      </c>
      <c r="B87" s="7">
        <v>0.09</v>
      </c>
      <c r="C87" s="8">
        <f t="shared" si="10"/>
        <v>2.2859999999999996</v>
      </c>
      <c r="D87" s="9">
        <f t="shared" si="8"/>
        <v>6.079564705882353</v>
      </c>
      <c r="E87" s="9">
        <f t="shared" si="9"/>
        <v>11.026692894431044</v>
      </c>
      <c r="F87" s="9">
        <f t="shared" si="11"/>
        <v>-3.7935647058823534</v>
      </c>
      <c r="G87" s="6">
        <f t="shared" si="7"/>
        <v>-0.34403467496571594</v>
      </c>
      <c r="I87" s="5"/>
      <c r="J87" s="5"/>
      <c r="K87" s="5"/>
      <c r="L87" s="5"/>
      <c r="M87" s="5"/>
      <c r="N87" s="5"/>
    </row>
    <row r="88" spans="1:14" x14ac:dyDescent="0.3">
      <c r="A88" s="13">
        <v>43212</v>
      </c>
      <c r="B88" s="7">
        <v>0.16</v>
      </c>
      <c r="C88" s="8">
        <f t="shared" si="10"/>
        <v>4.0640000000000001</v>
      </c>
      <c r="D88" s="9">
        <f t="shared" si="8"/>
        <v>6.079564705882353</v>
      </c>
      <c r="E88" s="9">
        <f t="shared" si="9"/>
        <v>11.026692894431044</v>
      </c>
      <c r="F88" s="9">
        <f t="shared" si="11"/>
        <v>-2.0155647058823529</v>
      </c>
      <c r="G88" s="6">
        <f t="shared" si="7"/>
        <v>-0.18278959296130395</v>
      </c>
      <c r="I88" s="5"/>
      <c r="J88" s="5"/>
      <c r="K88" s="5"/>
      <c r="L88" s="5"/>
      <c r="M88" s="5"/>
      <c r="N88" s="5"/>
    </row>
    <row r="89" spans="1:14" x14ac:dyDescent="0.3">
      <c r="A89" s="13">
        <v>43242</v>
      </c>
      <c r="B89" s="7">
        <v>7.0000000000000007E-2</v>
      </c>
      <c r="C89" s="8">
        <f t="shared" si="10"/>
        <v>1.778</v>
      </c>
      <c r="D89" s="9">
        <f t="shared" si="8"/>
        <v>6.079564705882353</v>
      </c>
      <c r="E89" s="9">
        <f t="shared" si="9"/>
        <v>11.026692894431044</v>
      </c>
      <c r="F89" s="9">
        <f t="shared" si="11"/>
        <v>-4.3015647058823525</v>
      </c>
      <c r="G89" s="6">
        <f t="shared" si="7"/>
        <v>-0.39010469839554784</v>
      </c>
      <c r="I89" s="5"/>
      <c r="J89" s="5"/>
      <c r="K89" s="5"/>
      <c r="L89" s="5"/>
      <c r="M89" s="5"/>
      <c r="N89" s="5"/>
    </row>
    <row r="90" spans="1:14" x14ac:dyDescent="0.3">
      <c r="A90" s="13">
        <v>43273</v>
      </c>
      <c r="B90" s="7">
        <v>0.02</v>
      </c>
      <c r="C90" s="8">
        <f t="shared" si="10"/>
        <v>0.50800000000000001</v>
      </c>
      <c r="D90" s="9">
        <f t="shared" si="8"/>
        <v>6.079564705882353</v>
      </c>
      <c r="E90" s="9">
        <f t="shared" si="9"/>
        <v>11.026692894431044</v>
      </c>
      <c r="F90" s="9">
        <f t="shared" si="11"/>
        <v>-5.571564705882353</v>
      </c>
      <c r="G90" s="6">
        <f t="shared" si="7"/>
        <v>-0.50527975697012784</v>
      </c>
      <c r="I90" s="5"/>
      <c r="J90" s="5"/>
      <c r="K90" s="5"/>
      <c r="L90" s="5"/>
      <c r="M90" s="5"/>
      <c r="N90" s="5"/>
    </row>
    <row r="91" spans="1:14" x14ac:dyDescent="0.3">
      <c r="A91" s="13">
        <v>43303</v>
      </c>
      <c r="B91" s="7">
        <v>0.02</v>
      </c>
      <c r="C91" s="8">
        <f t="shared" si="10"/>
        <v>0.50800000000000001</v>
      </c>
      <c r="D91" s="9">
        <f t="shared" si="8"/>
        <v>6.079564705882353</v>
      </c>
      <c r="E91" s="9">
        <f t="shared" si="9"/>
        <v>11.026692894431044</v>
      </c>
      <c r="F91" s="9">
        <f t="shared" si="11"/>
        <v>-5.571564705882353</v>
      </c>
      <c r="G91" s="6">
        <f t="shared" si="7"/>
        <v>-0.50527975697012784</v>
      </c>
      <c r="I91" s="5"/>
      <c r="J91" s="5"/>
      <c r="K91" s="5"/>
      <c r="L91" s="5"/>
      <c r="M91" s="5"/>
      <c r="N91" s="5"/>
    </row>
    <row r="92" spans="1:14" x14ac:dyDescent="0.3">
      <c r="A92" s="13">
        <v>43334</v>
      </c>
      <c r="B92" s="7">
        <v>0.01</v>
      </c>
      <c r="C92" s="8">
        <f t="shared" si="10"/>
        <v>0.254</v>
      </c>
      <c r="D92" s="9">
        <f t="shared" si="8"/>
        <v>6.079564705882353</v>
      </c>
      <c r="E92" s="9">
        <f t="shared" si="9"/>
        <v>11.026692894431044</v>
      </c>
      <c r="F92" s="9">
        <f t="shared" si="11"/>
        <v>-5.8255647058823534</v>
      </c>
      <c r="G92" s="6">
        <f t="shared" si="7"/>
        <v>-0.5283147686850439</v>
      </c>
      <c r="I92" s="5"/>
      <c r="J92" s="5"/>
      <c r="K92" s="5"/>
      <c r="L92" s="5"/>
      <c r="M92" s="5"/>
      <c r="N92" s="5"/>
    </row>
    <row r="93" spans="1:14" x14ac:dyDescent="0.3">
      <c r="A93" s="13">
        <v>43365</v>
      </c>
      <c r="B93" s="7">
        <v>0</v>
      </c>
      <c r="C93" s="8">
        <f t="shared" si="10"/>
        <v>0</v>
      </c>
      <c r="D93" s="9">
        <f t="shared" si="8"/>
        <v>6.079564705882353</v>
      </c>
      <c r="E93" s="9">
        <f t="shared" si="9"/>
        <v>11.026692894431044</v>
      </c>
      <c r="F93" s="9">
        <f t="shared" si="11"/>
        <v>-6.079564705882353</v>
      </c>
      <c r="G93" s="6">
        <f t="shared" si="7"/>
        <v>-0.55134978039995974</v>
      </c>
      <c r="I93" s="5"/>
      <c r="J93" s="5"/>
      <c r="K93" s="5"/>
      <c r="L93" s="5"/>
      <c r="M93" s="5"/>
      <c r="N93" s="5"/>
    </row>
    <row r="94" spans="1:14" x14ac:dyDescent="0.3">
      <c r="A94" s="13">
        <v>43395</v>
      </c>
      <c r="B94" s="7">
        <v>0</v>
      </c>
      <c r="C94" s="8">
        <f t="shared" si="10"/>
        <v>0</v>
      </c>
      <c r="D94" s="9">
        <f t="shared" si="8"/>
        <v>6.079564705882353</v>
      </c>
      <c r="E94" s="9">
        <f t="shared" si="9"/>
        <v>11.026692894431044</v>
      </c>
      <c r="F94" s="9">
        <f t="shared" si="11"/>
        <v>-6.079564705882353</v>
      </c>
      <c r="G94" s="6">
        <f t="shared" si="7"/>
        <v>-0.55134978039995974</v>
      </c>
      <c r="I94" s="5"/>
      <c r="J94" s="5"/>
      <c r="K94" s="5"/>
      <c r="L94" s="5"/>
      <c r="M94" s="5"/>
      <c r="N94" s="5"/>
    </row>
    <row r="95" spans="1:14" x14ac:dyDescent="0.3">
      <c r="A95" s="13">
        <v>43426</v>
      </c>
      <c r="B95" s="7">
        <v>0.02</v>
      </c>
      <c r="C95" s="8">
        <f t="shared" si="10"/>
        <v>0.50800000000000001</v>
      </c>
      <c r="D95" s="9">
        <f t="shared" si="8"/>
        <v>6.079564705882353</v>
      </c>
      <c r="E95" s="9">
        <f t="shared" si="9"/>
        <v>11.026692894431044</v>
      </c>
      <c r="F95" s="9">
        <f t="shared" si="11"/>
        <v>-5.571564705882353</v>
      </c>
      <c r="G95" s="6">
        <f t="shared" si="7"/>
        <v>-0.50527975697012784</v>
      </c>
      <c r="I95" s="5"/>
      <c r="J95" s="5"/>
      <c r="K95" s="5"/>
      <c r="L95" s="5"/>
      <c r="M95" s="5"/>
      <c r="N95" s="5"/>
    </row>
    <row r="96" spans="1:14" x14ac:dyDescent="0.3">
      <c r="A96" s="13">
        <v>43456</v>
      </c>
      <c r="B96" s="7">
        <v>0.03</v>
      </c>
      <c r="C96" s="8">
        <f t="shared" si="10"/>
        <v>0.7619999999999999</v>
      </c>
      <c r="D96" s="9">
        <f t="shared" si="8"/>
        <v>6.079564705882353</v>
      </c>
      <c r="E96" s="9">
        <f t="shared" si="9"/>
        <v>11.026692894431044</v>
      </c>
      <c r="F96" s="9">
        <f t="shared" si="11"/>
        <v>-5.3175647058823534</v>
      </c>
      <c r="G96" s="6">
        <f t="shared" si="7"/>
        <v>-0.48224474525521188</v>
      </c>
      <c r="I96" s="5"/>
      <c r="J96" s="5"/>
      <c r="K96" s="5"/>
      <c r="L96" s="5"/>
      <c r="M96" s="5"/>
      <c r="N96" s="5"/>
    </row>
    <row r="97" spans="1:14" x14ac:dyDescent="0.3">
      <c r="A97" s="13">
        <v>43487</v>
      </c>
      <c r="B97" s="7">
        <v>0.24</v>
      </c>
      <c r="C97" s="8">
        <f t="shared" si="10"/>
        <v>6.0959999999999992</v>
      </c>
      <c r="D97" s="9">
        <f t="shared" si="8"/>
        <v>6.079564705882353</v>
      </c>
      <c r="E97" s="9">
        <f t="shared" si="9"/>
        <v>11.026692894431044</v>
      </c>
      <c r="F97" s="9">
        <f t="shared" si="11"/>
        <v>1.6435294117646215E-2</v>
      </c>
      <c r="G97" s="6">
        <f t="shared" si="7"/>
        <v>1.4905007580238994E-3</v>
      </c>
      <c r="I97" s="5"/>
      <c r="J97" s="5"/>
      <c r="K97" s="5"/>
      <c r="L97" s="5"/>
      <c r="M97" s="5"/>
      <c r="N97" s="5"/>
    </row>
    <row r="98" spans="1:14" x14ac:dyDescent="0.3">
      <c r="A98" s="13">
        <v>43518</v>
      </c>
      <c r="B98" s="7">
        <v>0.22</v>
      </c>
      <c r="C98" s="8">
        <f t="shared" si="10"/>
        <v>5.5880000000000001</v>
      </c>
      <c r="D98" s="9">
        <f t="shared" si="8"/>
        <v>6.079564705882353</v>
      </c>
      <c r="E98" s="9">
        <f t="shared" si="9"/>
        <v>11.026692894431044</v>
      </c>
      <c r="F98" s="9">
        <f t="shared" si="11"/>
        <v>-0.4915647058823529</v>
      </c>
      <c r="G98" s="6">
        <f t="shared" si="7"/>
        <v>-4.4579522671808001E-2</v>
      </c>
      <c r="I98" s="5"/>
      <c r="J98" s="5"/>
      <c r="K98" s="5"/>
      <c r="L98" s="5"/>
      <c r="M98" s="5"/>
      <c r="N98" s="5"/>
    </row>
    <row r="99" spans="1:14" x14ac:dyDescent="0.3">
      <c r="A99" s="13">
        <v>43546</v>
      </c>
      <c r="B99" s="7">
        <v>0.2</v>
      </c>
      <c r="C99" s="8">
        <f t="shared" si="10"/>
        <v>5.08</v>
      </c>
      <c r="D99" s="9">
        <f t="shared" si="8"/>
        <v>6.079564705882353</v>
      </c>
      <c r="E99" s="9">
        <f t="shared" si="9"/>
        <v>11.026692894431044</v>
      </c>
      <c r="F99" s="9">
        <f t="shared" si="11"/>
        <v>-0.99956470588235291</v>
      </c>
      <c r="G99" s="6">
        <f t="shared" si="7"/>
        <v>-9.0649546101639986E-2</v>
      </c>
      <c r="I99" s="5"/>
      <c r="J99" s="5"/>
      <c r="K99" s="5"/>
      <c r="L99" s="5"/>
      <c r="M99" s="5"/>
      <c r="N99" s="5"/>
    </row>
    <row r="100" spans="1:14" x14ac:dyDescent="0.3">
      <c r="A100" s="13">
        <v>43577</v>
      </c>
      <c r="B100" s="7">
        <v>0.28000000000000003</v>
      </c>
      <c r="C100" s="8">
        <f t="shared" si="10"/>
        <v>7.1120000000000001</v>
      </c>
      <c r="D100" s="9">
        <f t="shared" si="8"/>
        <v>6.079564705882353</v>
      </c>
      <c r="E100" s="9">
        <f t="shared" si="9"/>
        <v>11.026692894431044</v>
      </c>
      <c r="F100" s="9">
        <f t="shared" si="11"/>
        <v>1.0324352941176471</v>
      </c>
      <c r="G100" s="6">
        <f t="shared" si="7"/>
        <v>9.3630547617687937E-2</v>
      </c>
      <c r="I100" s="5"/>
      <c r="J100" s="5"/>
      <c r="K100" s="5"/>
      <c r="L100" s="5"/>
      <c r="M100" s="5"/>
      <c r="N100" s="5"/>
    </row>
    <row r="101" spans="1:14" x14ac:dyDescent="0.3">
      <c r="A101" s="13">
        <v>43607</v>
      </c>
      <c r="B101" s="7">
        <v>0.03</v>
      </c>
      <c r="C101" s="8">
        <f t="shared" si="10"/>
        <v>0.7619999999999999</v>
      </c>
      <c r="D101" s="9">
        <f t="shared" si="8"/>
        <v>6.079564705882353</v>
      </c>
      <c r="E101" s="9">
        <f t="shared" si="9"/>
        <v>11.026692894431044</v>
      </c>
      <c r="F101" s="9">
        <f t="shared" si="11"/>
        <v>-5.3175647058823534</v>
      </c>
      <c r="G101" s="6">
        <f t="shared" si="7"/>
        <v>-0.48224474525521188</v>
      </c>
      <c r="I101" s="5"/>
      <c r="J101" s="5"/>
      <c r="K101" s="5"/>
      <c r="L101" s="5"/>
      <c r="M101" s="5"/>
      <c r="N101" s="5"/>
    </row>
    <row r="102" spans="1:14" x14ac:dyDescent="0.3">
      <c r="A102" s="13">
        <v>43638</v>
      </c>
      <c r="B102" s="7">
        <v>0.05</v>
      </c>
      <c r="C102" s="8">
        <f t="shared" si="10"/>
        <v>1.27</v>
      </c>
      <c r="D102" s="9">
        <f t="shared" si="8"/>
        <v>6.079564705882353</v>
      </c>
      <c r="E102" s="9">
        <f t="shared" si="9"/>
        <v>11.026692894431044</v>
      </c>
      <c r="F102" s="9">
        <f t="shared" si="11"/>
        <v>-4.8095647058823534</v>
      </c>
      <c r="G102" s="6">
        <f t="shared" si="7"/>
        <v>-0.43617472182537986</v>
      </c>
      <c r="I102" s="5"/>
      <c r="J102" s="5"/>
      <c r="K102" s="5"/>
      <c r="L102" s="5"/>
      <c r="M102" s="5"/>
      <c r="N102" s="5"/>
    </row>
    <row r="103" spans="1:14" x14ac:dyDescent="0.3">
      <c r="A103" s="13">
        <v>43668</v>
      </c>
      <c r="B103" s="7">
        <v>0.01</v>
      </c>
      <c r="C103" s="8">
        <f t="shared" si="10"/>
        <v>0.254</v>
      </c>
      <c r="D103" s="9">
        <f t="shared" si="8"/>
        <v>6.079564705882353</v>
      </c>
      <c r="E103" s="9">
        <f t="shared" si="9"/>
        <v>11.026692894431044</v>
      </c>
      <c r="F103" s="9">
        <f t="shared" si="11"/>
        <v>-5.8255647058823534</v>
      </c>
      <c r="G103" s="6">
        <f t="shared" si="7"/>
        <v>-0.5283147686850439</v>
      </c>
      <c r="I103" s="5"/>
      <c r="J103" s="5"/>
      <c r="K103" s="5"/>
      <c r="L103" s="5"/>
      <c r="M103" s="5"/>
      <c r="N103" s="5"/>
    </row>
    <row r="104" spans="1:14" x14ac:dyDescent="0.3">
      <c r="A104" s="13">
        <v>43699</v>
      </c>
      <c r="B104" s="7">
        <v>0.01</v>
      </c>
      <c r="C104" s="8">
        <f t="shared" si="10"/>
        <v>0.254</v>
      </c>
      <c r="D104" s="9">
        <f t="shared" si="8"/>
        <v>6.079564705882353</v>
      </c>
      <c r="E104" s="9">
        <f t="shared" si="9"/>
        <v>11.026692894431044</v>
      </c>
      <c r="F104" s="9">
        <f t="shared" si="11"/>
        <v>-5.8255647058823534</v>
      </c>
      <c r="G104" s="6">
        <f t="shared" si="7"/>
        <v>-0.5283147686850439</v>
      </c>
      <c r="I104" s="5"/>
      <c r="J104" s="5"/>
      <c r="K104" s="5"/>
      <c r="L104" s="5"/>
      <c r="M104" s="5"/>
      <c r="N104" s="5"/>
    </row>
    <row r="105" spans="1:14" x14ac:dyDescent="0.3">
      <c r="A105" s="13">
        <v>43730</v>
      </c>
      <c r="B105" s="7">
        <v>0</v>
      </c>
      <c r="C105" s="8">
        <f t="shared" si="10"/>
        <v>0</v>
      </c>
      <c r="D105" s="9">
        <f t="shared" si="8"/>
        <v>6.079564705882353</v>
      </c>
      <c r="E105" s="9">
        <f t="shared" si="9"/>
        <v>11.026692894431044</v>
      </c>
      <c r="F105" s="9">
        <f t="shared" si="11"/>
        <v>-6.079564705882353</v>
      </c>
      <c r="G105" s="6">
        <f t="shared" si="7"/>
        <v>-0.55134978039995974</v>
      </c>
      <c r="I105" s="5"/>
      <c r="J105" s="5"/>
      <c r="K105" s="5"/>
      <c r="L105" s="5"/>
      <c r="M105" s="5"/>
      <c r="N105" s="5"/>
    </row>
    <row r="106" spans="1:14" x14ac:dyDescent="0.3">
      <c r="A106" s="13">
        <v>43760</v>
      </c>
      <c r="B106" s="7">
        <v>0</v>
      </c>
      <c r="C106" s="8">
        <f t="shared" si="10"/>
        <v>0</v>
      </c>
      <c r="D106" s="9">
        <f t="shared" si="8"/>
        <v>6.079564705882353</v>
      </c>
      <c r="E106" s="9">
        <f t="shared" si="9"/>
        <v>11.026692894431044</v>
      </c>
      <c r="F106" s="9">
        <f t="shared" si="11"/>
        <v>-6.079564705882353</v>
      </c>
      <c r="G106" s="6">
        <f t="shared" si="7"/>
        <v>-0.55134978039995974</v>
      </c>
      <c r="I106" s="5"/>
      <c r="J106" s="5"/>
      <c r="K106" s="5"/>
      <c r="L106" s="5"/>
      <c r="M106" s="5"/>
      <c r="N106" s="5"/>
    </row>
    <row r="107" spans="1:14" x14ac:dyDescent="0.3">
      <c r="A107" s="13">
        <v>43791</v>
      </c>
      <c r="B107" s="7">
        <v>7.0000000000000007E-2</v>
      </c>
      <c r="C107" s="8">
        <f t="shared" si="10"/>
        <v>1.778</v>
      </c>
      <c r="D107" s="9">
        <f t="shared" si="8"/>
        <v>6.079564705882353</v>
      </c>
      <c r="E107" s="9">
        <f t="shared" si="9"/>
        <v>11.026692894431044</v>
      </c>
      <c r="F107" s="9">
        <f t="shared" ref="F107:F138" si="12">C107-D107</f>
        <v>-4.3015647058823525</v>
      </c>
      <c r="G107" s="6">
        <f t="shared" si="7"/>
        <v>-0.39010469839554784</v>
      </c>
      <c r="I107" s="5"/>
      <c r="J107" s="5"/>
      <c r="K107" s="5"/>
      <c r="L107" s="5"/>
      <c r="M107" s="5"/>
      <c r="N107" s="5"/>
    </row>
    <row r="108" spans="1:14" x14ac:dyDescent="0.3">
      <c r="A108" s="13">
        <v>43821</v>
      </c>
      <c r="B108" s="7">
        <v>0.06</v>
      </c>
      <c r="C108" s="8">
        <f t="shared" si="10"/>
        <v>1.5239999999999998</v>
      </c>
      <c r="D108" s="9">
        <f t="shared" si="8"/>
        <v>6.079564705882353</v>
      </c>
      <c r="E108" s="9">
        <f t="shared" si="9"/>
        <v>11.026692894431044</v>
      </c>
      <c r="F108" s="9">
        <f t="shared" si="12"/>
        <v>-4.555564705882353</v>
      </c>
      <c r="G108" s="6">
        <f t="shared" si="7"/>
        <v>-0.41313971011046385</v>
      </c>
      <c r="I108" s="5"/>
      <c r="J108" s="5"/>
      <c r="K108" s="5"/>
      <c r="L108" s="5"/>
      <c r="M108" s="5"/>
      <c r="N108" s="5"/>
    </row>
    <row r="109" spans="1:14" x14ac:dyDescent="0.3">
      <c r="A109" s="13">
        <v>43852</v>
      </c>
      <c r="B109" s="7">
        <v>0.54</v>
      </c>
      <c r="C109" s="8">
        <f t="shared" si="10"/>
        <v>13.715999999999999</v>
      </c>
      <c r="D109" s="9">
        <f t="shared" si="8"/>
        <v>6.079564705882353</v>
      </c>
      <c r="E109" s="9">
        <f t="shared" si="9"/>
        <v>11.026692894431044</v>
      </c>
      <c r="F109" s="9">
        <f t="shared" si="12"/>
        <v>7.6364352941176463</v>
      </c>
      <c r="G109" s="6">
        <f t="shared" si="7"/>
        <v>0.69254085220550365</v>
      </c>
      <c r="I109" s="5"/>
      <c r="J109" s="5"/>
      <c r="K109" s="5"/>
      <c r="L109" s="5"/>
      <c r="M109" s="5"/>
      <c r="N109" s="5"/>
    </row>
    <row r="110" spans="1:14" x14ac:dyDescent="0.3">
      <c r="A110" s="13">
        <v>43883</v>
      </c>
      <c r="B110" s="7">
        <v>0.54</v>
      </c>
      <c r="C110" s="8">
        <f t="shared" si="10"/>
        <v>13.715999999999999</v>
      </c>
      <c r="D110" s="9">
        <f t="shared" si="8"/>
        <v>6.079564705882353</v>
      </c>
      <c r="E110" s="9">
        <f t="shared" si="9"/>
        <v>11.026692894431044</v>
      </c>
      <c r="F110" s="9">
        <f t="shared" si="12"/>
        <v>7.6364352941176463</v>
      </c>
      <c r="G110" s="6">
        <f t="shared" si="7"/>
        <v>0.69254085220550365</v>
      </c>
      <c r="I110" s="5"/>
      <c r="J110" s="5"/>
      <c r="K110" s="5"/>
      <c r="L110" s="5"/>
      <c r="M110" s="5"/>
      <c r="N110" s="5"/>
    </row>
    <row r="111" spans="1:14" x14ac:dyDescent="0.3">
      <c r="A111" s="13">
        <v>43912</v>
      </c>
      <c r="B111" s="7">
        <v>0.09</v>
      </c>
      <c r="C111" s="8">
        <f t="shared" si="10"/>
        <v>2.2859999999999996</v>
      </c>
      <c r="D111" s="9">
        <f t="shared" si="8"/>
        <v>6.079564705882353</v>
      </c>
      <c r="E111" s="9">
        <f t="shared" si="9"/>
        <v>11.026692894431044</v>
      </c>
      <c r="F111" s="9">
        <f t="shared" si="12"/>
        <v>-3.7935647058823534</v>
      </c>
      <c r="G111" s="6">
        <f t="shared" si="7"/>
        <v>-0.34403467496571594</v>
      </c>
      <c r="I111" s="5"/>
      <c r="J111" s="5"/>
      <c r="K111" s="5"/>
      <c r="L111" s="5"/>
      <c r="M111" s="5"/>
      <c r="N111" s="5"/>
    </row>
    <row r="112" spans="1:14" x14ac:dyDescent="0.3">
      <c r="A112" s="13">
        <v>43943</v>
      </c>
      <c r="B112" s="7">
        <v>0.28000000000000003</v>
      </c>
      <c r="C112" s="8">
        <f t="shared" si="10"/>
        <v>7.1120000000000001</v>
      </c>
      <c r="D112" s="9">
        <f t="shared" si="8"/>
        <v>6.079564705882353</v>
      </c>
      <c r="E112" s="9">
        <f t="shared" si="9"/>
        <v>11.026692894431044</v>
      </c>
      <c r="F112" s="9">
        <f t="shared" si="12"/>
        <v>1.0324352941176471</v>
      </c>
      <c r="G112" s="6">
        <f t="shared" si="7"/>
        <v>9.3630547617687937E-2</v>
      </c>
      <c r="I112" s="5"/>
      <c r="J112" s="5"/>
      <c r="K112" s="5"/>
      <c r="L112" s="5"/>
      <c r="M112" s="5"/>
      <c r="N112" s="5"/>
    </row>
    <row r="113" spans="1:14" x14ac:dyDescent="0.3">
      <c r="A113" s="13">
        <v>43973</v>
      </c>
      <c r="B113" s="7">
        <v>0.03</v>
      </c>
      <c r="C113" s="8">
        <f t="shared" si="10"/>
        <v>0.7619999999999999</v>
      </c>
      <c r="D113" s="9">
        <f t="shared" si="8"/>
        <v>6.079564705882353</v>
      </c>
      <c r="E113" s="9">
        <f t="shared" si="9"/>
        <v>11.026692894431044</v>
      </c>
      <c r="F113" s="9">
        <f t="shared" si="12"/>
        <v>-5.3175647058823534</v>
      </c>
      <c r="G113" s="6">
        <f t="shared" si="7"/>
        <v>-0.48224474525521188</v>
      </c>
      <c r="I113" s="5"/>
      <c r="J113" s="5"/>
      <c r="K113" s="5"/>
      <c r="L113" s="5"/>
      <c r="M113" s="5"/>
      <c r="N113" s="5"/>
    </row>
    <row r="114" spans="1:14" x14ac:dyDescent="0.3">
      <c r="A114" s="13">
        <v>44004</v>
      </c>
      <c r="B114" s="7">
        <v>0.02</v>
      </c>
      <c r="C114" s="8">
        <f t="shared" si="10"/>
        <v>0.50800000000000001</v>
      </c>
      <c r="D114" s="9">
        <f t="shared" si="8"/>
        <v>6.079564705882353</v>
      </c>
      <c r="E114" s="9">
        <f t="shared" si="9"/>
        <v>11.026692894431044</v>
      </c>
      <c r="F114" s="9">
        <f t="shared" si="12"/>
        <v>-5.571564705882353</v>
      </c>
      <c r="G114" s="6">
        <f t="shared" si="7"/>
        <v>-0.50527975697012784</v>
      </c>
      <c r="I114" s="5"/>
      <c r="J114" s="5"/>
      <c r="K114" s="5"/>
      <c r="L114" s="5"/>
      <c r="M114" s="5"/>
      <c r="N114" s="5"/>
    </row>
    <row r="115" spans="1:14" x14ac:dyDescent="0.3">
      <c r="A115" s="13">
        <v>44034</v>
      </c>
      <c r="B115" s="7">
        <v>0.01</v>
      </c>
      <c r="C115" s="8">
        <f t="shared" si="10"/>
        <v>0.254</v>
      </c>
      <c r="D115" s="9">
        <f t="shared" si="8"/>
        <v>6.079564705882353</v>
      </c>
      <c r="E115" s="9">
        <f t="shared" si="9"/>
        <v>11.026692894431044</v>
      </c>
      <c r="F115" s="9">
        <f t="shared" si="12"/>
        <v>-5.8255647058823534</v>
      </c>
      <c r="G115" s="6">
        <f t="shared" si="7"/>
        <v>-0.5283147686850439</v>
      </c>
      <c r="I115" s="5"/>
      <c r="J115" s="5"/>
      <c r="K115" s="5"/>
      <c r="L115" s="5"/>
      <c r="M115" s="5"/>
      <c r="N115" s="5"/>
    </row>
    <row r="116" spans="1:14" x14ac:dyDescent="0.3">
      <c r="A116" s="13">
        <v>44065</v>
      </c>
      <c r="B116" s="7">
        <v>0</v>
      </c>
      <c r="C116" s="8">
        <f t="shared" si="10"/>
        <v>0</v>
      </c>
      <c r="D116" s="9">
        <f t="shared" si="8"/>
        <v>6.079564705882353</v>
      </c>
      <c r="E116" s="9">
        <f t="shared" si="9"/>
        <v>11.026692894431044</v>
      </c>
      <c r="F116" s="9">
        <f t="shared" si="12"/>
        <v>-6.079564705882353</v>
      </c>
      <c r="G116" s="6">
        <f t="shared" si="7"/>
        <v>-0.55134978039995974</v>
      </c>
      <c r="I116" s="5"/>
      <c r="J116" s="5"/>
      <c r="K116" s="5"/>
      <c r="L116" s="5"/>
      <c r="M116" s="5"/>
      <c r="N116" s="5"/>
    </row>
    <row r="117" spans="1:14" x14ac:dyDescent="0.3">
      <c r="A117" s="13">
        <v>44096</v>
      </c>
      <c r="B117" s="7">
        <v>0.02</v>
      </c>
      <c r="C117" s="8">
        <f t="shared" si="10"/>
        <v>0.50800000000000001</v>
      </c>
      <c r="D117" s="9">
        <f t="shared" si="8"/>
        <v>6.079564705882353</v>
      </c>
      <c r="E117" s="9">
        <f t="shared" si="9"/>
        <v>11.026692894431044</v>
      </c>
      <c r="F117" s="9">
        <f t="shared" si="12"/>
        <v>-5.571564705882353</v>
      </c>
      <c r="G117" s="6">
        <f t="shared" si="7"/>
        <v>-0.50527975697012784</v>
      </c>
      <c r="I117" s="5"/>
      <c r="J117" s="5"/>
      <c r="K117" s="5"/>
      <c r="L117" s="5"/>
      <c r="M117" s="5"/>
      <c r="N117" s="5"/>
    </row>
    <row r="118" spans="1:14" x14ac:dyDescent="0.3">
      <c r="A118" s="13">
        <v>44126</v>
      </c>
      <c r="B118" s="7">
        <v>0.15</v>
      </c>
      <c r="C118" s="8">
        <f t="shared" si="10"/>
        <v>3.8099999999999996</v>
      </c>
      <c r="D118" s="9">
        <f t="shared" si="8"/>
        <v>6.079564705882353</v>
      </c>
      <c r="E118" s="9">
        <f t="shared" si="9"/>
        <v>11.026692894431044</v>
      </c>
      <c r="F118" s="9">
        <f t="shared" si="12"/>
        <v>-2.2695647058823534</v>
      </c>
      <c r="G118" s="6">
        <f t="shared" si="7"/>
        <v>-0.20582460467621996</v>
      </c>
      <c r="I118" s="5"/>
      <c r="J118" s="5"/>
      <c r="K118" s="5"/>
      <c r="L118" s="5"/>
      <c r="M118" s="5"/>
      <c r="N118" s="5"/>
    </row>
    <row r="119" spans="1:14" x14ac:dyDescent="0.3">
      <c r="A119" s="13">
        <v>44157</v>
      </c>
      <c r="B119" s="7">
        <v>0.01</v>
      </c>
      <c r="C119" s="8">
        <f t="shared" si="10"/>
        <v>0.254</v>
      </c>
      <c r="D119" s="9">
        <f t="shared" si="8"/>
        <v>6.079564705882353</v>
      </c>
      <c r="E119" s="9">
        <f t="shared" si="9"/>
        <v>11.026692894431044</v>
      </c>
      <c r="F119" s="9">
        <f t="shared" si="12"/>
        <v>-5.8255647058823534</v>
      </c>
      <c r="G119" s="6">
        <f t="shared" si="7"/>
        <v>-0.5283147686850439</v>
      </c>
      <c r="I119" s="5"/>
      <c r="J119" s="5"/>
      <c r="K119" s="5"/>
      <c r="L119" s="5"/>
      <c r="M119" s="5"/>
      <c r="N119" s="5"/>
    </row>
    <row r="120" spans="1:14" x14ac:dyDescent="0.3">
      <c r="A120" s="13">
        <v>44187</v>
      </c>
      <c r="B120" s="7">
        <v>0.42</v>
      </c>
      <c r="C120" s="8">
        <f t="shared" si="10"/>
        <v>10.667999999999999</v>
      </c>
      <c r="D120" s="9">
        <f t="shared" si="8"/>
        <v>6.079564705882353</v>
      </c>
      <c r="E120" s="9">
        <f t="shared" si="9"/>
        <v>11.026692894431044</v>
      </c>
      <c r="F120" s="9">
        <f t="shared" si="12"/>
        <v>4.5884352941176463</v>
      </c>
      <c r="G120" s="6">
        <f t="shared" si="7"/>
        <v>0.41612071162651171</v>
      </c>
      <c r="I120" s="5"/>
      <c r="J120" s="5"/>
      <c r="K120" s="5"/>
      <c r="L120" s="5"/>
      <c r="M120" s="5"/>
      <c r="N120" s="5"/>
    </row>
    <row r="121" spans="1:14" x14ac:dyDescent="0.3">
      <c r="A121" s="13">
        <v>44218</v>
      </c>
      <c r="B121" s="7">
        <v>2</v>
      </c>
      <c r="C121" s="8">
        <f t="shared" si="10"/>
        <v>50.8</v>
      </c>
      <c r="D121" s="9">
        <f t="shared" si="8"/>
        <v>6.079564705882353</v>
      </c>
      <c r="E121" s="9">
        <f t="shared" si="9"/>
        <v>11.026692894431044</v>
      </c>
      <c r="F121" s="9">
        <f t="shared" si="12"/>
        <v>44.720435294117642</v>
      </c>
      <c r="G121" s="6">
        <f t="shared" si="7"/>
        <v>4.055652562583238</v>
      </c>
      <c r="I121" s="5"/>
      <c r="J121" s="5"/>
      <c r="K121" s="5"/>
      <c r="L121" s="5"/>
      <c r="M121" s="5"/>
      <c r="N121" s="5"/>
    </row>
    <row r="122" spans="1:14" x14ac:dyDescent="0.3">
      <c r="A122" s="13">
        <v>44249</v>
      </c>
      <c r="B122" s="7">
        <v>0.44</v>
      </c>
      <c r="C122" s="8">
        <f t="shared" si="10"/>
        <v>11.176</v>
      </c>
      <c r="D122" s="9">
        <f t="shared" si="8"/>
        <v>6.079564705882353</v>
      </c>
      <c r="E122" s="9">
        <f t="shared" si="9"/>
        <v>11.026692894431044</v>
      </c>
      <c r="F122" s="9">
        <f t="shared" si="12"/>
        <v>5.0964352941176472</v>
      </c>
      <c r="G122" s="6">
        <f t="shared" si="7"/>
        <v>0.46219073505634378</v>
      </c>
      <c r="I122" s="5"/>
      <c r="J122" s="5"/>
      <c r="K122" s="5"/>
      <c r="L122" s="5"/>
      <c r="M122" s="5"/>
      <c r="N122" s="5"/>
    </row>
    <row r="123" spans="1:14" x14ac:dyDescent="0.3">
      <c r="A123" s="13">
        <v>44277</v>
      </c>
      <c r="B123" s="7">
        <v>0.2</v>
      </c>
      <c r="C123" s="8">
        <f t="shared" si="10"/>
        <v>5.08</v>
      </c>
      <c r="D123" s="9">
        <f t="shared" si="8"/>
        <v>6.079564705882353</v>
      </c>
      <c r="E123" s="9">
        <f t="shared" si="9"/>
        <v>11.026692894431044</v>
      </c>
      <c r="F123" s="9">
        <f t="shared" si="12"/>
        <v>-0.99956470588235291</v>
      </c>
      <c r="G123" s="6">
        <f t="shared" si="7"/>
        <v>-9.0649546101639986E-2</v>
      </c>
      <c r="I123" s="5"/>
      <c r="J123" s="5"/>
      <c r="K123" s="5"/>
      <c r="L123" s="5"/>
      <c r="M123" s="5"/>
      <c r="N123" s="5"/>
    </row>
    <row r="124" spans="1:14" x14ac:dyDescent="0.3">
      <c r="A124" s="13">
        <v>44308</v>
      </c>
      <c r="B124" s="7">
        <v>0.18</v>
      </c>
      <c r="C124" s="8">
        <f t="shared" si="10"/>
        <v>4.5719999999999992</v>
      </c>
      <c r="D124" s="9">
        <f t="shared" si="8"/>
        <v>6.079564705882353</v>
      </c>
      <c r="E124" s="9">
        <f t="shared" si="9"/>
        <v>11.026692894431044</v>
      </c>
      <c r="F124" s="9">
        <f t="shared" si="12"/>
        <v>-1.5075647058823538</v>
      </c>
      <c r="G124" s="6">
        <f t="shared" si="7"/>
        <v>-0.13671956953147205</v>
      </c>
      <c r="I124" s="5"/>
      <c r="J124" s="5"/>
      <c r="K124" s="5"/>
      <c r="L124" s="5"/>
      <c r="M124" s="5"/>
      <c r="N124" s="5"/>
    </row>
    <row r="125" spans="1:14" x14ac:dyDescent="0.3">
      <c r="A125" s="13">
        <v>44338</v>
      </c>
      <c r="B125" s="7">
        <v>0.11</v>
      </c>
      <c r="C125" s="8">
        <f t="shared" si="10"/>
        <v>2.794</v>
      </c>
      <c r="D125" s="9">
        <f t="shared" si="8"/>
        <v>6.079564705882353</v>
      </c>
      <c r="E125" s="9">
        <f t="shared" si="9"/>
        <v>11.026692894431044</v>
      </c>
      <c r="F125" s="9">
        <f t="shared" si="12"/>
        <v>-3.2855647058823529</v>
      </c>
      <c r="G125" s="6">
        <f t="shared" si="7"/>
        <v>-0.29796465153588392</v>
      </c>
      <c r="I125" s="5"/>
      <c r="J125" s="5"/>
      <c r="K125" s="5"/>
      <c r="L125" s="5"/>
      <c r="M125" s="5"/>
      <c r="N125" s="5"/>
    </row>
    <row r="126" spans="1:14" x14ac:dyDescent="0.3">
      <c r="A126" s="13">
        <v>44369</v>
      </c>
      <c r="B126" s="7">
        <v>0.09</v>
      </c>
      <c r="C126" s="8">
        <f t="shared" si="10"/>
        <v>2.2859999999999996</v>
      </c>
      <c r="D126" s="9">
        <f t="shared" si="8"/>
        <v>6.079564705882353</v>
      </c>
      <c r="E126" s="9">
        <f t="shared" si="9"/>
        <v>11.026692894431044</v>
      </c>
      <c r="F126" s="9">
        <f t="shared" si="12"/>
        <v>-3.7935647058823534</v>
      </c>
      <c r="G126" s="6">
        <f t="shared" si="7"/>
        <v>-0.34403467496571594</v>
      </c>
      <c r="I126" s="5"/>
      <c r="J126" s="5"/>
      <c r="K126" s="5"/>
      <c r="L126" s="5"/>
      <c r="M126" s="5"/>
      <c r="N126" s="5"/>
    </row>
    <row r="127" spans="1:14" x14ac:dyDescent="0.3">
      <c r="A127" s="13">
        <v>44399</v>
      </c>
      <c r="B127" s="7">
        <v>0.08</v>
      </c>
      <c r="C127" s="8">
        <f t="shared" si="10"/>
        <v>2.032</v>
      </c>
      <c r="D127" s="9">
        <f t="shared" si="8"/>
        <v>6.079564705882353</v>
      </c>
      <c r="E127" s="9">
        <f t="shared" si="9"/>
        <v>11.026692894431044</v>
      </c>
      <c r="F127" s="9">
        <f t="shared" si="12"/>
        <v>-4.047564705882353</v>
      </c>
      <c r="G127" s="6">
        <f t="shared" si="7"/>
        <v>-0.36706968668063189</v>
      </c>
      <c r="I127" s="5"/>
      <c r="J127" s="5"/>
      <c r="K127" s="5"/>
      <c r="L127" s="5"/>
      <c r="M127" s="5"/>
      <c r="N127" s="5"/>
    </row>
    <row r="128" spans="1:14" x14ac:dyDescent="0.3">
      <c r="A128" s="13">
        <v>44430</v>
      </c>
      <c r="B128" s="7">
        <v>0.04</v>
      </c>
      <c r="C128" s="8">
        <f t="shared" si="10"/>
        <v>1.016</v>
      </c>
      <c r="D128" s="9">
        <f t="shared" si="8"/>
        <v>6.079564705882353</v>
      </c>
      <c r="E128" s="9">
        <f t="shared" si="9"/>
        <v>11.026692894431044</v>
      </c>
      <c r="F128" s="9">
        <f t="shared" si="12"/>
        <v>-5.063564705882353</v>
      </c>
      <c r="G128" s="6">
        <f t="shared" si="7"/>
        <v>-0.45920973354029582</v>
      </c>
      <c r="I128" s="5"/>
      <c r="J128" s="5"/>
      <c r="K128" s="5"/>
      <c r="L128" s="5"/>
      <c r="M128" s="5"/>
      <c r="N128" s="5"/>
    </row>
    <row r="129" spans="1:14" x14ac:dyDescent="0.3">
      <c r="A129" s="13">
        <v>44461</v>
      </c>
      <c r="B129" s="7">
        <v>0.03</v>
      </c>
      <c r="C129" s="8">
        <f t="shared" si="10"/>
        <v>0.7619999999999999</v>
      </c>
      <c r="D129" s="9">
        <f t="shared" si="8"/>
        <v>6.079564705882353</v>
      </c>
      <c r="E129" s="9">
        <f t="shared" si="9"/>
        <v>11.026692894431044</v>
      </c>
      <c r="F129" s="9">
        <f t="shared" si="12"/>
        <v>-5.3175647058823534</v>
      </c>
      <c r="G129" s="6">
        <f t="shared" si="7"/>
        <v>-0.48224474525521188</v>
      </c>
      <c r="I129" s="5"/>
      <c r="J129" s="5"/>
      <c r="K129" s="5"/>
      <c r="L129" s="5"/>
      <c r="M129" s="5"/>
      <c r="N129" s="5"/>
    </row>
    <row r="130" spans="1:14" x14ac:dyDescent="0.3">
      <c r="A130" s="13">
        <v>44491</v>
      </c>
      <c r="B130" s="7">
        <v>0.05</v>
      </c>
      <c r="C130" s="8">
        <f t="shared" si="10"/>
        <v>1.27</v>
      </c>
      <c r="D130" s="9">
        <f t="shared" si="8"/>
        <v>6.079564705882353</v>
      </c>
      <c r="E130" s="9">
        <f t="shared" si="9"/>
        <v>11.026692894431044</v>
      </c>
      <c r="F130" s="9">
        <f t="shared" si="12"/>
        <v>-4.8095647058823534</v>
      </c>
      <c r="G130" s="6">
        <f t="shared" ref="G130:G141" si="13">F130/E130</f>
        <v>-0.43617472182537986</v>
      </c>
      <c r="I130" s="5"/>
      <c r="J130" s="5"/>
      <c r="K130" s="5"/>
      <c r="L130" s="5"/>
      <c r="M130" s="5"/>
      <c r="N130" s="5"/>
    </row>
    <row r="131" spans="1:14" x14ac:dyDescent="0.3">
      <c r="A131" s="13">
        <v>44522</v>
      </c>
      <c r="B131" s="7">
        <v>0.14000000000000001</v>
      </c>
      <c r="C131" s="8">
        <f t="shared" si="10"/>
        <v>3.556</v>
      </c>
      <c r="D131" s="9">
        <f t="shared" ref="D131:D171" si="14">AVERAGE($C$2:$C$171)</f>
        <v>6.079564705882353</v>
      </c>
      <c r="E131" s="9">
        <f t="shared" ref="E131:E171" si="15">_xlfn.STDEV.S($C$2:$C$171)</f>
        <v>11.026692894431044</v>
      </c>
      <c r="F131" s="9">
        <f t="shared" si="12"/>
        <v>-2.5235647058823529</v>
      </c>
      <c r="G131" s="6">
        <f t="shared" si="13"/>
        <v>-0.22885961639113592</v>
      </c>
      <c r="I131" s="5"/>
      <c r="J131" s="5"/>
      <c r="K131" s="5"/>
      <c r="L131" s="5"/>
      <c r="M131" s="5"/>
      <c r="N131" s="5"/>
    </row>
    <row r="132" spans="1:14" x14ac:dyDescent="0.3">
      <c r="A132" s="13">
        <v>44552</v>
      </c>
      <c r="B132" s="7">
        <v>0.17</v>
      </c>
      <c r="C132" s="8">
        <f t="shared" ref="C132:C171" si="16">25.4*B132</f>
        <v>4.3180000000000005</v>
      </c>
      <c r="D132" s="9">
        <f t="shared" si="14"/>
        <v>6.079564705882353</v>
      </c>
      <c r="E132" s="9">
        <f t="shared" si="15"/>
        <v>11.026692894431044</v>
      </c>
      <c r="F132" s="9">
        <f t="shared" si="12"/>
        <v>-1.7615647058823525</v>
      </c>
      <c r="G132" s="6">
        <f t="shared" si="13"/>
        <v>-0.15975458124638792</v>
      </c>
      <c r="I132" s="5"/>
      <c r="J132" s="5"/>
      <c r="K132" s="5"/>
      <c r="L132" s="5"/>
      <c r="M132" s="5"/>
      <c r="N132" s="5"/>
    </row>
    <row r="133" spans="1:14" x14ac:dyDescent="0.3">
      <c r="A133" s="13">
        <v>44583</v>
      </c>
      <c r="B133" s="7">
        <v>0.64</v>
      </c>
      <c r="C133" s="8">
        <f t="shared" si="16"/>
        <v>16.256</v>
      </c>
      <c r="D133" s="9">
        <f t="shared" si="14"/>
        <v>6.079564705882353</v>
      </c>
      <c r="E133" s="9">
        <f t="shared" si="15"/>
        <v>11.026692894431044</v>
      </c>
      <c r="F133" s="9">
        <f t="shared" si="12"/>
        <v>10.176435294117647</v>
      </c>
      <c r="G133" s="6">
        <f t="shared" si="13"/>
        <v>0.92289096935466364</v>
      </c>
      <c r="I133" s="5"/>
      <c r="J133" s="5"/>
      <c r="K133" s="5"/>
      <c r="L133" s="5"/>
      <c r="M133" s="5"/>
      <c r="N133" s="5"/>
    </row>
    <row r="134" spans="1:14" x14ac:dyDescent="0.3">
      <c r="A134" s="13">
        <v>44614</v>
      </c>
      <c r="B134" s="7">
        <v>0.01</v>
      </c>
      <c r="C134" s="8">
        <f t="shared" si="16"/>
        <v>0.254</v>
      </c>
      <c r="D134" s="9">
        <f t="shared" si="14"/>
        <v>6.079564705882353</v>
      </c>
      <c r="E134" s="9">
        <f t="shared" si="15"/>
        <v>11.026692894431044</v>
      </c>
      <c r="F134" s="9">
        <f t="shared" si="12"/>
        <v>-5.8255647058823534</v>
      </c>
      <c r="G134" s="6">
        <f t="shared" si="13"/>
        <v>-0.5283147686850439</v>
      </c>
      <c r="I134" s="5"/>
      <c r="J134" s="5"/>
      <c r="K134" s="5"/>
      <c r="L134" s="5"/>
      <c r="M134" s="5"/>
      <c r="N134" s="5"/>
    </row>
    <row r="135" spans="1:14" x14ac:dyDescent="0.3">
      <c r="A135" s="13">
        <v>44642</v>
      </c>
      <c r="B135" s="7">
        <v>0.14000000000000001</v>
      </c>
      <c r="C135" s="8">
        <f t="shared" si="16"/>
        <v>3.556</v>
      </c>
      <c r="D135" s="9">
        <f t="shared" si="14"/>
        <v>6.079564705882353</v>
      </c>
      <c r="E135" s="9">
        <f t="shared" si="15"/>
        <v>11.026692894431044</v>
      </c>
      <c r="F135" s="9">
        <f t="shared" si="12"/>
        <v>-2.5235647058823529</v>
      </c>
      <c r="G135" s="6">
        <f t="shared" si="13"/>
        <v>-0.22885961639113592</v>
      </c>
      <c r="I135" s="5"/>
      <c r="J135" s="5"/>
      <c r="K135" s="5"/>
      <c r="L135" s="5"/>
      <c r="M135" s="5"/>
      <c r="N135" s="5"/>
    </row>
    <row r="136" spans="1:14" x14ac:dyDescent="0.3">
      <c r="A136" s="13">
        <v>44673</v>
      </c>
      <c r="B136" s="7">
        <v>0.26</v>
      </c>
      <c r="C136" s="8">
        <f t="shared" si="16"/>
        <v>6.6040000000000001</v>
      </c>
      <c r="D136" s="9">
        <f t="shared" si="14"/>
        <v>6.079564705882353</v>
      </c>
      <c r="E136" s="9">
        <f t="shared" si="15"/>
        <v>11.026692894431044</v>
      </c>
      <c r="F136" s="9">
        <f t="shared" si="12"/>
        <v>0.52443529411764711</v>
      </c>
      <c r="G136" s="6">
        <f t="shared" si="13"/>
        <v>4.756052418785596E-2</v>
      </c>
      <c r="I136" s="5"/>
      <c r="J136" s="5"/>
      <c r="K136" s="5"/>
      <c r="L136" s="5"/>
      <c r="M136" s="5"/>
      <c r="N136" s="5"/>
    </row>
    <row r="137" spans="1:14" x14ac:dyDescent="0.3">
      <c r="A137" s="13">
        <v>44703</v>
      </c>
      <c r="B137" s="7">
        <v>0.03</v>
      </c>
      <c r="C137" s="8">
        <f t="shared" si="16"/>
        <v>0.7619999999999999</v>
      </c>
      <c r="D137" s="9">
        <f t="shared" si="14"/>
        <v>6.079564705882353</v>
      </c>
      <c r="E137" s="9">
        <f t="shared" si="15"/>
        <v>11.026692894431044</v>
      </c>
      <c r="F137" s="9">
        <f t="shared" si="12"/>
        <v>-5.3175647058823534</v>
      </c>
      <c r="G137" s="6">
        <f t="shared" si="13"/>
        <v>-0.48224474525521188</v>
      </c>
      <c r="I137" s="5"/>
      <c r="J137" s="5"/>
      <c r="K137" s="5"/>
      <c r="L137" s="5"/>
      <c r="M137" s="5"/>
      <c r="N137" s="5"/>
    </row>
    <row r="138" spans="1:14" x14ac:dyDescent="0.3">
      <c r="A138" s="13">
        <v>44734</v>
      </c>
      <c r="B138" s="7">
        <v>0.02</v>
      </c>
      <c r="C138" s="8">
        <f t="shared" si="16"/>
        <v>0.50800000000000001</v>
      </c>
      <c r="D138" s="9">
        <f t="shared" si="14"/>
        <v>6.079564705882353</v>
      </c>
      <c r="E138" s="9">
        <f t="shared" si="15"/>
        <v>11.026692894431044</v>
      </c>
      <c r="F138" s="9">
        <f t="shared" si="12"/>
        <v>-5.571564705882353</v>
      </c>
      <c r="G138" s="6">
        <f t="shared" si="13"/>
        <v>-0.50527975697012784</v>
      </c>
      <c r="I138" s="5"/>
      <c r="J138" s="5"/>
      <c r="K138" s="5"/>
      <c r="L138" s="5"/>
      <c r="M138" s="5"/>
      <c r="N138" s="5"/>
    </row>
    <row r="139" spans="1:14" x14ac:dyDescent="0.3">
      <c r="A139" s="13">
        <v>44764</v>
      </c>
      <c r="B139" s="7">
        <v>0.01</v>
      </c>
      <c r="C139" s="8">
        <f t="shared" si="16"/>
        <v>0.254</v>
      </c>
      <c r="D139" s="9">
        <f t="shared" si="14"/>
        <v>6.079564705882353</v>
      </c>
      <c r="E139" s="9">
        <f t="shared" si="15"/>
        <v>11.026692894431044</v>
      </c>
      <c r="F139" s="9">
        <f t="shared" ref="F139:F163" si="17">C139-D139</f>
        <v>-5.8255647058823534</v>
      </c>
      <c r="G139" s="6">
        <f t="shared" si="13"/>
        <v>-0.5283147686850439</v>
      </c>
      <c r="I139" s="5"/>
      <c r="J139" s="5"/>
      <c r="K139" s="5"/>
      <c r="L139" s="5"/>
      <c r="M139" s="5"/>
      <c r="N139" s="5"/>
    </row>
    <row r="140" spans="1:14" x14ac:dyDescent="0.3">
      <c r="A140" s="13">
        <v>44795</v>
      </c>
      <c r="B140" s="7">
        <v>0</v>
      </c>
      <c r="C140" s="8">
        <f t="shared" si="16"/>
        <v>0</v>
      </c>
      <c r="D140" s="9">
        <f t="shared" si="14"/>
        <v>6.079564705882353</v>
      </c>
      <c r="E140" s="9">
        <f t="shared" si="15"/>
        <v>11.026692894431044</v>
      </c>
      <c r="F140" s="9">
        <f t="shared" si="17"/>
        <v>-6.079564705882353</v>
      </c>
      <c r="G140" s="6">
        <f t="shared" si="13"/>
        <v>-0.55134978039995974</v>
      </c>
      <c r="I140" s="5"/>
      <c r="J140" s="5"/>
      <c r="K140" s="5"/>
      <c r="L140" s="5"/>
      <c r="M140" s="5"/>
      <c r="N140" s="5"/>
    </row>
    <row r="141" spans="1:14" x14ac:dyDescent="0.3">
      <c r="A141" s="13">
        <v>44826</v>
      </c>
      <c r="B141" s="7">
        <v>0.02</v>
      </c>
      <c r="C141" s="8">
        <f t="shared" si="16"/>
        <v>0.50800000000000001</v>
      </c>
      <c r="D141" s="9">
        <f t="shared" si="14"/>
        <v>6.079564705882353</v>
      </c>
      <c r="E141" s="9">
        <f t="shared" si="15"/>
        <v>11.026692894431044</v>
      </c>
      <c r="F141" s="9">
        <f t="shared" si="17"/>
        <v>-5.571564705882353</v>
      </c>
      <c r="G141" s="6">
        <f t="shared" si="13"/>
        <v>-0.50527975697012784</v>
      </c>
      <c r="I141" s="5"/>
      <c r="J141" s="5"/>
      <c r="K141" s="5"/>
      <c r="L141" s="5"/>
      <c r="M141" s="5"/>
      <c r="N141" s="5"/>
    </row>
    <row r="142" spans="1:14" x14ac:dyDescent="0.3">
      <c r="A142" s="13">
        <v>44856</v>
      </c>
      <c r="B142" s="7">
        <v>0.04</v>
      </c>
      <c r="C142" s="8">
        <f t="shared" si="16"/>
        <v>1.016</v>
      </c>
      <c r="D142" s="9">
        <f t="shared" si="14"/>
        <v>6.079564705882353</v>
      </c>
      <c r="E142" s="9">
        <f t="shared" si="15"/>
        <v>11.026692894431044</v>
      </c>
      <c r="F142" s="9">
        <f t="shared" si="17"/>
        <v>-5.063564705882353</v>
      </c>
      <c r="G142" s="6">
        <f>F142/E142</f>
        <v>-0.45920973354029582</v>
      </c>
      <c r="I142" s="5"/>
      <c r="J142" s="5"/>
      <c r="K142" s="5"/>
      <c r="L142" s="5"/>
      <c r="M142" s="5"/>
      <c r="N142" s="5"/>
    </row>
    <row r="143" spans="1:14" x14ac:dyDescent="0.3">
      <c r="A143" s="13">
        <v>44887</v>
      </c>
      <c r="B143" s="7">
        <v>7.0000000000000007E-2</v>
      </c>
      <c r="C143" s="8">
        <f t="shared" si="16"/>
        <v>1.778</v>
      </c>
      <c r="D143" s="9">
        <f t="shared" si="14"/>
        <v>6.079564705882353</v>
      </c>
      <c r="E143" s="9">
        <f t="shared" si="15"/>
        <v>11.026692894431044</v>
      </c>
      <c r="F143" s="9">
        <f t="shared" si="17"/>
        <v>-4.3015647058823525</v>
      </c>
      <c r="G143" s="6">
        <f t="shared" ref="G143:G163" si="18">F143/E143</f>
        <v>-0.39010469839554784</v>
      </c>
      <c r="I143" s="5"/>
      <c r="J143" s="5"/>
      <c r="K143" s="5"/>
      <c r="L143" s="5"/>
      <c r="M143" s="5"/>
      <c r="N143" s="5"/>
    </row>
    <row r="144" spans="1:14" x14ac:dyDescent="0.3">
      <c r="A144" s="13">
        <v>44917</v>
      </c>
      <c r="B144" s="7">
        <v>0.37</v>
      </c>
      <c r="C144" s="8">
        <f t="shared" si="16"/>
        <v>9.3979999999999997</v>
      </c>
      <c r="D144" s="9">
        <f t="shared" si="14"/>
        <v>6.079564705882353</v>
      </c>
      <c r="E144" s="9">
        <f t="shared" si="15"/>
        <v>11.026692894431044</v>
      </c>
      <c r="F144" s="9">
        <f t="shared" si="17"/>
        <v>3.3184352941176467</v>
      </c>
      <c r="G144" s="6">
        <f t="shared" si="18"/>
        <v>0.30094565305193183</v>
      </c>
      <c r="I144" s="5"/>
      <c r="J144" s="5"/>
      <c r="K144" s="5"/>
      <c r="L144" s="5"/>
      <c r="M144" s="5"/>
      <c r="N144" s="5"/>
    </row>
    <row r="145" spans="1:14" x14ac:dyDescent="0.3">
      <c r="A145" s="13">
        <v>44949</v>
      </c>
      <c r="B145" s="7">
        <v>0.21</v>
      </c>
      <c r="C145" s="8">
        <f t="shared" si="16"/>
        <v>5.3339999999999996</v>
      </c>
      <c r="D145" s="9">
        <f t="shared" si="14"/>
        <v>6.079564705882353</v>
      </c>
      <c r="E145" s="9">
        <f t="shared" si="15"/>
        <v>11.026692894431044</v>
      </c>
      <c r="F145" s="9">
        <f t="shared" si="17"/>
        <v>-0.74556470588235335</v>
      </c>
      <c r="G145" s="6">
        <f t="shared" si="18"/>
        <v>-6.7614534386724032E-2</v>
      </c>
      <c r="I145" s="5"/>
      <c r="J145" s="5"/>
      <c r="K145" s="5"/>
      <c r="L145" s="5"/>
      <c r="M145" s="5"/>
      <c r="N145" s="5"/>
    </row>
    <row r="146" spans="1:14" x14ac:dyDescent="0.3">
      <c r="A146" s="13">
        <v>44980</v>
      </c>
      <c r="B146" s="7">
        <v>3.11</v>
      </c>
      <c r="C146" s="8">
        <f t="shared" si="16"/>
        <v>78.993999999999986</v>
      </c>
      <c r="D146" s="9">
        <f t="shared" si="14"/>
        <v>6.079564705882353</v>
      </c>
      <c r="E146" s="9">
        <f t="shared" si="15"/>
        <v>11.026692894431044</v>
      </c>
      <c r="F146" s="9">
        <f t="shared" si="17"/>
        <v>72.914435294117638</v>
      </c>
      <c r="G146" s="6">
        <f t="shared" si="18"/>
        <v>6.6125388629389121</v>
      </c>
      <c r="I146" s="5"/>
      <c r="J146" s="5"/>
      <c r="K146" s="5"/>
      <c r="L146" s="5"/>
      <c r="M146" s="5"/>
      <c r="N146" s="5"/>
    </row>
    <row r="147" spans="1:14" x14ac:dyDescent="0.3">
      <c r="A147" s="13">
        <v>45008</v>
      </c>
      <c r="B147" s="7">
        <v>0.1</v>
      </c>
      <c r="C147" s="8">
        <f t="shared" si="16"/>
        <v>2.54</v>
      </c>
      <c r="D147" s="9">
        <f t="shared" si="14"/>
        <v>6.079564705882353</v>
      </c>
      <c r="E147" s="9">
        <f t="shared" si="15"/>
        <v>11.026692894431044</v>
      </c>
      <c r="F147" s="9">
        <f t="shared" si="17"/>
        <v>-3.5395647058823529</v>
      </c>
      <c r="G147" s="6">
        <f t="shared" si="18"/>
        <v>-0.32099966325079987</v>
      </c>
      <c r="I147" s="5"/>
      <c r="J147" s="5"/>
      <c r="K147" s="5"/>
      <c r="L147" s="5"/>
      <c r="M147" s="5"/>
      <c r="N147" s="5"/>
    </row>
    <row r="148" spans="1:14" x14ac:dyDescent="0.3">
      <c r="A148" s="13">
        <v>45039</v>
      </c>
      <c r="B148" s="7">
        <v>0.38</v>
      </c>
      <c r="C148" s="8">
        <f t="shared" si="16"/>
        <v>9.6519999999999992</v>
      </c>
      <c r="D148" s="9">
        <f t="shared" si="14"/>
        <v>6.079564705882353</v>
      </c>
      <c r="E148" s="9">
        <f t="shared" si="15"/>
        <v>11.026692894431044</v>
      </c>
      <c r="F148" s="9">
        <f t="shared" si="17"/>
        <v>3.5724352941176463</v>
      </c>
      <c r="G148" s="6">
        <f t="shared" si="18"/>
        <v>0.32398066476684778</v>
      </c>
      <c r="I148" s="5"/>
      <c r="J148" s="5"/>
      <c r="K148" s="5"/>
      <c r="L148" s="5"/>
      <c r="M148" s="5"/>
      <c r="N148" s="5"/>
    </row>
    <row r="149" spans="1:14" x14ac:dyDescent="0.3">
      <c r="A149" s="13">
        <v>45069</v>
      </c>
      <c r="B149" s="7">
        <v>0.38</v>
      </c>
      <c r="C149" s="8">
        <f t="shared" si="16"/>
        <v>9.6519999999999992</v>
      </c>
      <c r="D149" s="9">
        <f t="shared" si="14"/>
        <v>6.079564705882353</v>
      </c>
      <c r="E149" s="9">
        <f t="shared" si="15"/>
        <v>11.026692894431044</v>
      </c>
      <c r="F149" s="9">
        <f t="shared" si="17"/>
        <v>3.5724352941176463</v>
      </c>
      <c r="G149" s="6">
        <f t="shared" si="18"/>
        <v>0.32398066476684778</v>
      </c>
      <c r="I149" s="5"/>
      <c r="J149" s="5"/>
      <c r="K149" s="5"/>
      <c r="L149" s="5"/>
      <c r="M149" s="5"/>
      <c r="N149" s="5"/>
    </row>
    <row r="150" spans="1:14" x14ac:dyDescent="0.3">
      <c r="A150" s="13">
        <v>45100</v>
      </c>
      <c r="B150" s="7">
        <v>0.22</v>
      </c>
      <c r="C150" s="8">
        <f t="shared" si="16"/>
        <v>5.5880000000000001</v>
      </c>
      <c r="D150" s="9">
        <f t="shared" si="14"/>
        <v>6.079564705882353</v>
      </c>
      <c r="E150" s="9">
        <f t="shared" si="15"/>
        <v>11.026692894431044</v>
      </c>
      <c r="F150" s="9">
        <f t="shared" si="17"/>
        <v>-0.4915647058823529</v>
      </c>
      <c r="G150" s="6">
        <f t="shared" si="18"/>
        <v>-4.4579522671808001E-2</v>
      </c>
      <c r="I150" s="5"/>
      <c r="J150" s="5"/>
      <c r="K150" s="5"/>
      <c r="L150" s="5"/>
      <c r="M150" s="5"/>
      <c r="N150" s="5"/>
    </row>
    <row r="151" spans="1:14" x14ac:dyDescent="0.3">
      <c r="A151" s="13">
        <v>45130</v>
      </c>
      <c r="B151" s="7">
        <v>0.16</v>
      </c>
      <c r="C151" s="8">
        <f t="shared" si="16"/>
        <v>4.0640000000000001</v>
      </c>
      <c r="D151" s="9">
        <f t="shared" si="14"/>
        <v>6.079564705882353</v>
      </c>
      <c r="E151" s="9">
        <f t="shared" si="15"/>
        <v>11.026692894431044</v>
      </c>
      <c r="F151" s="9">
        <f t="shared" si="17"/>
        <v>-2.0155647058823529</v>
      </c>
      <c r="G151" s="6">
        <f t="shared" si="18"/>
        <v>-0.18278959296130395</v>
      </c>
      <c r="I151" s="5"/>
      <c r="J151" s="5"/>
      <c r="K151" s="5"/>
      <c r="L151" s="5"/>
      <c r="M151" s="5"/>
      <c r="N151" s="5"/>
    </row>
    <row r="152" spans="1:14" x14ac:dyDescent="0.3">
      <c r="A152" s="13">
        <v>45161</v>
      </c>
      <c r="B152" s="7">
        <v>0.1</v>
      </c>
      <c r="C152" s="8">
        <f t="shared" si="16"/>
        <v>2.54</v>
      </c>
      <c r="D152" s="9">
        <f t="shared" si="14"/>
        <v>6.079564705882353</v>
      </c>
      <c r="E152" s="9">
        <f t="shared" si="15"/>
        <v>11.026692894431044</v>
      </c>
      <c r="F152" s="9">
        <f t="shared" si="17"/>
        <v>-3.5395647058823529</v>
      </c>
      <c r="G152" s="6">
        <f t="shared" si="18"/>
        <v>-0.32099966325079987</v>
      </c>
      <c r="I152" s="5"/>
      <c r="J152" s="5"/>
      <c r="K152" s="5"/>
      <c r="L152" s="5"/>
      <c r="M152" s="5"/>
      <c r="N152" s="5"/>
    </row>
    <row r="153" spans="1:14" x14ac:dyDescent="0.3">
      <c r="A153" s="13">
        <v>45192</v>
      </c>
      <c r="B153" s="7">
        <v>7.0000000000000007E-2</v>
      </c>
      <c r="C153" s="8">
        <f t="shared" si="16"/>
        <v>1.778</v>
      </c>
      <c r="D153" s="9">
        <f t="shared" si="14"/>
        <v>6.079564705882353</v>
      </c>
      <c r="E153" s="9">
        <f t="shared" si="15"/>
        <v>11.026692894431044</v>
      </c>
      <c r="F153" s="9">
        <f t="shared" si="17"/>
        <v>-4.3015647058823525</v>
      </c>
      <c r="G153" s="6">
        <f t="shared" si="18"/>
        <v>-0.39010469839554784</v>
      </c>
      <c r="I153" s="5"/>
      <c r="J153" s="5"/>
      <c r="K153" s="5"/>
      <c r="L153" s="5"/>
      <c r="M153" s="5"/>
      <c r="N153" s="5"/>
    </row>
    <row r="154" spans="1:14" x14ac:dyDescent="0.3">
      <c r="A154" s="13">
        <v>45222</v>
      </c>
      <c r="B154" s="7">
        <v>0.03</v>
      </c>
      <c r="C154" s="8">
        <f t="shared" si="16"/>
        <v>0.7619999999999999</v>
      </c>
      <c r="D154" s="9">
        <f t="shared" si="14"/>
        <v>6.079564705882353</v>
      </c>
      <c r="E154" s="9">
        <f t="shared" si="15"/>
        <v>11.026692894431044</v>
      </c>
      <c r="F154" s="9">
        <f t="shared" si="17"/>
        <v>-5.3175647058823534</v>
      </c>
      <c r="G154" s="6">
        <f t="shared" si="18"/>
        <v>-0.48224474525521188</v>
      </c>
      <c r="I154" s="5"/>
      <c r="J154" s="5"/>
      <c r="K154" s="5"/>
      <c r="L154" s="5"/>
      <c r="M154" s="5"/>
      <c r="N154" s="5"/>
    </row>
    <row r="155" spans="1:14" x14ac:dyDescent="0.3">
      <c r="A155" s="13">
        <v>45253</v>
      </c>
      <c r="B155" s="7">
        <v>0.08</v>
      </c>
      <c r="C155" s="8">
        <f t="shared" si="16"/>
        <v>2.032</v>
      </c>
      <c r="D155" s="9">
        <f t="shared" si="14"/>
        <v>6.079564705882353</v>
      </c>
      <c r="E155" s="9">
        <f t="shared" si="15"/>
        <v>11.026692894431044</v>
      </c>
      <c r="F155" s="9">
        <f t="shared" si="17"/>
        <v>-4.047564705882353</v>
      </c>
      <c r="G155" s="6">
        <f t="shared" si="18"/>
        <v>-0.36706968668063189</v>
      </c>
      <c r="I155" s="5"/>
      <c r="J155" s="5"/>
      <c r="K155" s="5"/>
      <c r="L155" s="5"/>
      <c r="M155" s="5"/>
      <c r="N155" s="5"/>
    </row>
    <row r="156" spans="1:14" x14ac:dyDescent="0.3">
      <c r="A156" s="13">
        <v>45283</v>
      </c>
      <c r="B156" s="7">
        <v>0.66</v>
      </c>
      <c r="C156" s="8">
        <f t="shared" si="16"/>
        <v>16.763999999999999</v>
      </c>
      <c r="D156" s="9">
        <f t="shared" si="14"/>
        <v>6.079564705882353</v>
      </c>
      <c r="E156" s="9">
        <f t="shared" si="15"/>
        <v>11.026692894431044</v>
      </c>
      <c r="F156" s="9">
        <f t="shared" si="17"/>
        <v>10.684435294117646</v>
      </c>
      <c r="G156" s="6">
        <f t="shared" si="18"/>
        <v>0.96896099278449555</v>
      </c>
      <c r="I156" s="5"/>
      <c r="J156" s="5"/>
      <c r="K156" s="5"/>
      <c r="L156" s="5"/>
      <c r="M156" s="5"/>
      <c r="N156" s="5"/>
    </row>
    <row r="157" spans="1:14" x14ac:dyDescent="0.3">
      <c r="A157" s="13">
        <v>45315</v>
      </c>
      <c r="B157" s="8">
        <v>0.49</v>
      </c>
      <c r="C157" s="8">
        <f t="shared" si="16"/>
        <v>12.446</v>
      </c>
      <c r="D157" s="9">
        <f t="shared" si="14"/>
        <v>6.079564705882353</v>
      </c>
      <c r="E157" s="9">
        <f t="shared" si="15"/>
        <v>11.026692894431044</v>
      </c>
      <c r="F157" s="9">
        <f t="shared" si="17"/>
        <v>6.3664352941176467</v>
      </c>
      <c r="G157" s="6">
        <f t="shared" si="18"/>
        <v>0.57736579363092366</v>
      </c>
      <c r="I157" s="5"/>
      <c r="J157" s="5"/>
      <c r="K157" s="5"/>
      <c r="L157" s="5"/>
      <c r="M157" s="5"/>
      <c r="N157" s="5"/>
    </row>
    <row r="158" spans="1:14" x14ac:dyDescent="0.3">
      <c r="A158" s="13">
        <v>45346</v>
      </c>
      <c r="B158" s="8">
        <v>0.31</v>
      </c>
      <c r="C158" s="8">
        <f t="shared" si="16"/>
        <v>7.8739999999999997</v>
      </c>
      <c r="D158" s="9">
        <f t="shared" si="14"/>
        <v>6.079564705882353</v>
      </c>
      <c r="E158" s="9">
        <f t="shared" si="15"/>
        <v>11.026692894431044</v>
      </c>
      <c r="F158" s="9">
        <f t="shared" si="17"/>
        <v>1.7944352941176467</v>
      </c>
      <c r="G158" s="6">
        <f t="shared" si="18"/>
        <v>0.16273558276243588</v>
      </c>
      <c r="I158" s="5"/>
      <c r="J158" s="5"/>
      <c r="K158" s="5"/>
      <c r="L158" s="5"/>
      <c r="M158" s="5"/>
      <c r="N158" s="5"/>
    </row>
    <row r="159" spans="1:14" x14ac:dyDescent="0.3">
      <c r="A159" s="13">
        <v>45375</v>
      </c>
      <c r="B159" s="8">
        <v>0.34</v>
      </c>
      <c r="C159" s="8">
        <f t="shared" si="16"/>
        <v>8.636000000000001</v>
      </c>
      <c r="D159" s="9">
        <f t="shared" si="14"/>
        <v>6.079564705882353</v>
      </c>
      <c r="E159" s="9">
        <f t="shared" si="15"/>
        <v>11.026692894431044</v>
      </c>
      <c r="F159" s="9">
        <f t="shared" si="17"/>
        <v>2.556435294117648</v>
      </c>
      <c r="G159" s="6">
        <f t="shared" si="18"/>
        <v>0.23184061790718397</v>
      </c>
      <c r="I159" s="5"/>
      <c r="J159" s="5"/>
      <c r="K159" s="5"/>
      <c r="L159" s="5"/>
      <c r="M159" s="5"/>
      <c r="N159" s="5"/>
    </row>
    <row r="160" spans="1:14" x14ac:dyDescent="0.3">
      <c r="A160" s="13">
        <v>45406</v>
      </c>
      <c r="B160" s="8">
        <v>0.25</v>
      </c>
      <c r="C160" s="8">
        <f t="shared" si="16"/>
        <v>6.35</v>
      </c>
      <c r="D160" s="9">
        <f t="shared" si="14"/>
        <v>6.079564705882353</v>
      </c>
      <c r="E160" s="9">
        <f t="shared" si="15"/>
        <v>11.026692894431044</v>
      </c>
      <c r="F160" s="9">
        <f t="shared" si="17"/>
        <v>0.27043529411764666</v>
      </c>
      <c r="G160" s="6">
        <f t="shared" si="18"/>
        <v>2.452551247293993E-2</v>
      </c>
      <c r="I160" s="5"/>
      <c r="J160" s="5"/>
      <c r="K160" s="5"/>
      <c r="L160" s="5"/>
      <c r="M160" s="5"/>
      <c r="N160" s="5"/>
    </row>
    <row r="161" spans="1:14" x14ac:dyDescent="0.3">
      <c r="A161" s="13">
        <v>45436</v>
      </c>
      <c r="B161" s="8">
        <v>0.11</v>
      </c>
      <c r="C161" s="8">
        <f t="shared" si="16"/>
        <v>2.794</v>
      </c>
      <c r="D161" s="9">
        <f t="shared" si="14"/>
        <v>6.079564705882353</v>
      </c>
      <c r="E161" s="9">
        <f t="shared" si="15"/>
        <v>11.026692894431044</v>
      </c>
      <c r="F161" s="9">
        <f t="shared" si="17"/>
        <v>-3.2855647058823529</v>
      </c>
      <c r="G161" s="6">
        <f t="shared" si="18"/>
        <v>-0.29796465153588392</v>
      </c>
      <c r="I161" s="5"/>
      <c r="J161" s="5"/>
      <c r="K161" s="5"/>
      <c r="L161" s="5"/>
      <c r="M161" s="5"/>
      <c r="N161" s="5"/>
    </row>
    <row r="162" spans="1:14" x14ac:dyDescent="0.3">
      <c r="A162" s="13">
        <v>45468</v>
      </c>
      <c r="B162" s="7">
        <v>7.0000000000000007E-2</v>
      </c>
      <c r="C162" s="8">
        <f t="shared" si="16"/>
        <v>1.778</v>
      </c>
      <c r="D162" s="9">
        <f t="shared" si="14"/>
        <v>6.079564705882353</v>
      </c>
      <c r="E162" s="9">
        <f t="shared" si="15"/>
        <v>11.026692894431044</v>
      </c>
      <c r="F162" s="9">
        <f t="shared" si="17"/>
        <v>-4.3015647058823525</v>
      </c>
      <c r="G162" s="6">
        <f t="shared" si="18"/>
        <v>-0.39010469839554784</v>
      </c>
      <c r="I162" s="5"/>
      <c r="J162" s="5"/>
      <c r="K162" s="5"/>
      <c r="L162" s="5"/>
      <c r="M162" s="5"/>
      <c r="N162" s="5"/>
    </row>
    <row r="163" spans="1:14" x14ac:dyDescent="0.3">
      <c r="A163" s="13">
        <v>45500</v>
      </c>
      <c r="B163" s="1">
        <v>0.06</v>
      </c>
      <c r="C163" s="8">
        <f t="shared" si="16"/>
        <v>1.5239999999999998</v>
      </c>
      <c r="D163" s="9">
        <f t="shared" si="14"/>
        <v>6.079564705882353</v>
      </c>
      <c r="E163" s="9">
        <f t="shared" si="15"/>
        <v>11.026692894431044</v>
      </c>
      <c r="F163" s="9">
        <f t="shared" si="17"/>
        <v>-4.555564705882353</v>
      </c>
      <c r="G163" s="6">
        <f t="shared" si="18"/>
        <v>-0.41313971011046385</v>
      </c>
      <c r="I163" s="5"/>
      <c r="J163" s="5"/>
      <c r="K163" s="5"/>
      <c r="L163" s="5"/>
      <c r="M163" s="5"/>
      <c r="N163" s="5"/>
    </row>
    <row r="164" spans="1:14" x14ac:dyDescent="0.3">
      <c r="A164" s="14">
        <v>45514</v>
      </c>
      <c r="B164" s="1">
        <v>0.02</v>
      </c>
      <c r="C164" s="8">
        <f t="shared" si="16"/>
        <v>0.50800000000000001</v>
      </c>
      <c r="D164" s="9">
        <f t="shared" si="14"/>
        <v>6.079564705882353</v>
      </c>
      <c r="E164" s="9">
        <f t="shared" si="15"/>
        <v>11.026692894431044</v>
      </c>
      <c r="F164" s="9">
        <f t="shared" ref="F164:F170" si="19">C164-D164</f>
        <v>-5.571564705882353</v>
      </c>
      <c r="G164" s="6">
        <f t="shared" ref="G164:G170" si="20">F164/E164</f>
        <v>-0.50527975697012784</v>
      </c>
      <c r="I164" s="5"/>
      <c r="J164" s="5"/>
      <c r="K164" s="5"/>
      <c r="L164" s="5"/>
      <c r="M164" s="5"/>
      <c r="N164" s="5"/>
    </row>
    <row r="165" spans="1:14" x14ac:dyDescent="0.3">
      <c r="A165" s="14">
        <v>45545</v>
      </c>
      <c r="B165" s="1">
        <v>0.06</v>
      </c>
      <c r="C165" s="8">
        <f t="shared" si="16"/>
        <v>1.5239999999999998</v>
      </c>
      <c r="D165" s="9">
        <f t="shared" si="14"/>
        <v>6.079564705882353</v>
      </c>
      <c r="E165" s="9">
        <f t="shared" si="15"/>
        <v>11.026692894431044</v>
      </c>
      <c r="F165" s="9">
        <f t="shared" si="19"/>
        <v>-4.555564705882353</v>
      </c>
      <c r="G165" s="6">
        <f t="shared" si="20"/>
        <v>-0.41313971011046385</v>
      </c>
      <c r="I165" s="5"/>
      <c r="J165" s="5"/>
      <c r="K165" s="5"/>
      <c r="L165" s="5"/>
      <c r="M165" s="5"/>
      <c r="N165" s="5"/>
    </row>
    <row r="166" spans="1:14" x14ac:dyDescent="0.3">
      <c r="A166" s="14">
        <v>45575</v>
      </c>
      <c r="B166" s="1">
        <v>0.02</v>
      </c>
      <c r="C166" s="8">
        <f t="shared" si="16"/>
        <v>0.50800000000000001</v>
      </c>
      <c r="D166" s="9">
        <f t="shared" si="14"/>
        <v>6.079564705882353</v>
      </c>
      <c r="E166" s="9">
        <f t="shared" si="15"/>
        <v>11.026692894431044</v>
      </c>
      <c r="F166" s="9">
        <f t="shared" si="19"/>
        <v>-5.571564705882353</v>
      </c>
      <c r="G166" s="6">
        <f t="shared" si="20"/>
        <v>-0.50527975697012784</v>
      </c>
      <c r="I166" s="5"/>
      <c r="J166" s="5"/>
      <c r="K166" s="5"/>
      <c r="L166" s="5"/>
      <c r="M166" s="5"/>
      <c r="N166" s="5"/>
    </row>
    <row r="167" spans="1:14" x14ac:dyDescent="0.3">
      <c r="A167" s="14">
        <v>45606</v>
      </c>
      <c r="B167" s="1">
        <v>0.02</v>
      </c>
      <c r="C167" s="8">
        <f t="shared" si="16"/>
        <v>0.50800000000000001</v>
      </c>
      <c r="D167" s="9">
        <f t="shared" si="14"/>
        <v>6.079564705882353</v>
      </c>
      <c r="E167" s="9">
        <f t="shared" si="15"/>
        <v>11.026692894431044</v>
      </c>
      <c r="F167" s="9">
        <f t="shared" si="19"/>
        <v>-5.571564705882353</v>
      </c>
      <c r="G167" s="6">
        <f t="shared" si="20"/>
        <v>-0.50527975697012784</v>
      </c>
      <c r="I167" s="5"/>
      <c r="J167" s="5"/>
      <c r="K167" s="5"/>
      <c r="L167" s="5"/>
      <c r="M167" s="5"/>
      <c r="N167" s="5"/>
    </row>
    <row r="168" spans="1:14" x14ac:dyDescent="0.3">
      <c r="A168" s="14">
        <v>45636</v>
      </c>
      <c r="B168" s="1">
        <v>0.03</v>
      </c>
      <c r="C168" s="8">
        <f t="shared" si="16"/>
        <v>0.7619999999999999</v>
      </c>
      <c r="D168" s="9">
        <f t="shared" si="14"/>
        <v>6.079564705882353</v>
      </c>
      <c r="E168" s="9">
        <f t="shared" si="15"/>
        <v>11.026692894431044</v>
      </c>
      <c r="F168" s="9">
        <f t="shared" si="19"/>
        <v>-5.3175647058823534</v>
      </c>
      <c r="G168" s="6">
        <f t="shared" si="20"/>
        <v>-0.48224474525521188</v>
      </c>
      <c r="I168" s="5"/>
      <c r="J168" s="5"/>
      <c r="K168" s="5"/>
      <c r="L168" s="5"/>
      <c r="M168" s="5"/>
      <c r="N168" s="5"/>
    </row>
    <row r="169" spans="1:14" x14ac:dyDescent="0.3">
      <c r="A169" s="14">
        <v>45667</v>
      </c>
      <c r="B169" s="1">
        <v>0.4</v>
      </c>
      <c r="C169" s="8">
        <f t="shared" si="16"/>
        <v>10.16</v>
      </c>
      <c r="D169" s="9">
        <f t="shared" si="14"/>
        <v>6.079564705882353</v>
      </c>
      <c r="E169" s="9">
        <f t="shared" si="15"/>
        <v>11.026692894431044</v>
      </c>
      <c r="F169" s="9">
        <f t="shared" si="19"/>
        <v>4.0804352941176472</v>
      </c>
      <c r="G169" s="6">
        <f t="shared" si="20"/>
        <v>0.37005068819667986</v>
      </c>
      <c r="I169" s="5"/>
      <c r="J169" s="5"/>
      <c r="K169" s="5"/>
      <c r="L169" s="5"/>
      <c r="M169" s="5"/>
      <c r="N169" s="5"/>
    </row>
    <row r="170" spans="1:14" x14ac:dyDescent="0.3">
      <c r="A170" s="14">
        <v>45698</v>
      </c>
      <c r="B170" s="1">
        <v>0.28999999999999998</v>
      </c>
      <c r="C170" s="8">
        <f t="shared" si="16"/>
        <v>7.3659999999999988</v>
      </c>
      <c r="D170" s="9">
        <f t="shared" si="14"/>
        <v>6.079564705882353</v>
      </c>
      <c r="E170" s="9">
        <f t="shared" si="15"/>
        <v>11.026692894431044</v>
      </c>
      <c r="F170" s="9">
        <f t="shared" si="19"/>
        <v>1.2864352941176458</v>
      </c>
      <c r="G170" s="6">
        <f t="shared" si="20"/>
        <v>0.11666555933260381</v>
      </c>
      <c r="I170" s="5"/>
      <c r="J170" s="5"/>
      <c r="K170" s="5"/>
      <c r="L170" s="5"/>
      <c r="M170" s="5"/>
      <c r="N170" s="5"/>
    </row>
    <row r="171" spans="1:14" x14ac:dyDescent="0.3">
      <c r="A171" s="15">
        <v>45720</v>
      </c>
      <c r="B171" s="1">
        <v>0.53</v>
      </c>
      <c r="C171" s="8">
        <f t="shared" si="16"/>
        <v>13.462</v>
      </c>
      <c r="D171" s="9">
        <f t="shared" si="14"/>
        <v>6.079564705882353</v>
      </c>
      <c r="E171" s="9">
        <f t="shared" si="15"/>
        <v>11.026692894431044</v>
      </c>
      <c r="F171" s="9">
        <f t="shared" ref="F171" si="21">C171-D171</f>
        <v>7.3824352941176468</v>
      </c>
      <c r="G171" s="6">
        <f t="shared" ref="G171" si="22">F171/E171</f>
        <v>0.6695058404905877</v>
      </c>
      <c r="I171" s="5"/>
      <c r="J171" s="5"/>
      <c r="K171" s="5"/>
      <c r="L171" s="5"/>
      <c r="M171" s="5"/>
      <c r="N171" s="5"/>
    </row>
    <row r="172" spans="1:14" x14ac:dyDescent="0.3">
      <c r="I172" s="5"/>
      <c r="J172" s="5"/>
      <c r="K172" s="5"/>
      <c r="L172" s="5"/>
      <c r="M172" s="5"/>
      <c r="N172" s="5"/>
    </row>
    <row r="173" spans="1:14" x14ac:dyDescent="0.3">
      <c r="I173" s="5"/>
      <c r="J173" s="5"/>
      <c r="K173" s="5"/>
      <c r="L173" s="5"/>
      <c r="M173" s="5"/>
      <c r="N173" s="5"/>
    </row>
    <row r="174" spans="1:14" x14ac:dyDescent="0.3">
      <c r="I174" s="5"/>
      <c r="J174" s="5"/>
      <c r="K174" s="5"/>
      <c r="L174" s="5"/>
      <c r="M174" s="5"/>
      <c r="N174" s="5"/>
    </row>
  </sheetData>
  <phoneticPr fontId="2" type="noConversion"/>
  <pageMargins left="0.7" right="0.7" top="0.75" bottom="0.75" header="0.3" footer="0.3"/>
  <pageSetup orientation="portrait" horizontalDpi="200" verticalDpi="200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DF787B78BADE49A4F802AF803BF942" ma:contentTypeVersion="18" ma:contentTypeDescription="Create a new document." ma:contentTypeScope="" ma:versionID="89341bf27214a69b85155e9f41cffaa3">
  <xsd:schema xmlns:xsd="http://www.w3.org/2001/XMLSchema" xmlns:xs="http://www.w3.org/2001/XMLSchema" xmlns:p="http://schemas.microsoft.com/office/2006/metadata/properties" xmlns:ns2="7d297967-3957-47c4-b77d-75b12fad423d" xmlns:ns3="d5b8b9a1-cb52-44e3-8b4c-48902e4d881c" targetNamespace="http://schemas.microsoft.com/office/2006/metadata/properties" ma:root="true" ma:fieldsID="b9d320029fc5519ada1863f46eb7d034" ns2:_="" ns3:_="">
    <xsd:import namespace="7d297967-3957-47c4-b77d-75b12fad423d"/>
    <xsd:import namespace="d5b8b9a1-cb52-44e3-8b4c-48902e4d881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97967-3957-47c4-b77d-75b12fad423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14c1e67-865c-45ce-ab49-20f801497314}" ma:internalName="TaxCatchAll" ma:showField="CatchAllData" ma:web="7d297967-3957-47c4-b77d-75b12fad4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b8b9a1-cb52-44e3-8b4c-48902e4d8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bdc2a0f-6c65-40d7-879f-f01f3c5463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2DDA33-5878-4FDE-A630-FF4302DC74F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7FBE0FF-7514-4FF8-88FF-5A07B51E32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97967-3957-47c4-b77d-75b12fad423d"/>
    <ds:schemaRef ds:uri="d5b8b9a1-cb52-44e3-8b4c-48902e4d88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53033D-7A2D-4AAF-9428-A8C2D77EF3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Londeka Ntshangase;Bokang Nkadimeng</dc:creator>
  <cp:keywords/>
  <dc:description/>
  <cp:lastModifiedBy>S Mathonsi (22008826)</cp:lastModifiedBy>
  <cp:revision/>
  <dcterms:created xsi:type="dcterms:W3CDTF">2024-06-21T06:56:18Z</dcterms:created>
  <dcterms:modified xsi:type="dcterms:W3CDTF">2025-10-01T02:22:19Z</dcterms:modified>
  <cp:category/>
  <cp:contentStatus/>
</cp:coreProperties>
</file>