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khanet\Desktop\T Shakhane\Publications\Drought\data\Recharge\"/>
    </mc:Choice>
  </mc:AlternateContent>
  <xr:revisionPtr revIDLastSave="0" documentId="8_{9E31FF3A-8C55-4443-872D-9FE7CFA60D6A}" xr6:coauthVersionLast="47" xr6:coauthVersionMax="47" xr10:uidLastSave="{00000000-0000-0000-0000-000000000000}"/>
  <bookViews>
    <workbookView xWindow="-120" yWindow="-120" windowWidth="20730" windowHeight="11160" tabRatio="820" xr2:uid="{90F097EB-96DA-4E0B-8542-98E5AF2D4EEF}"/>
  </bookViews>
  <sheets>
    <sheet name="Crocodile workbook" sheetId="3" r:id="rId1"/>
    <sheet name="Sabie workbook" sheetId="7" r:id="rId2"/>
    <sheet name="Sand workbook" sheetId="8" r:id="rId3"/>
    <sheet name=" Upper Komati" sheetId="12" r:id="rId4"/>
    <sheet name=" Lower Komati" sheetId="13" r:id="rId5"/>
    <sheet name="Ngwempisi" sheetId="14" r:id="rId6"/>
    <sheet name="Assegai" sheetId="1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6" i="14" l="1"/>
  <c r="C4" i="3" l="1"/>
  <c r="C5" i="13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175" i="12"/>
  <c r="D10" i="15" l="1"/>
  <c r="F10" i="15" s="1"/>
  <c r="D165" i="15"/>
  <c r="F165" i="15" s="1"/>
  <c r="D172" i="15"/>
  <c r="F172" i="15" s="1"/>
  <c r="D156" i="15"/>
  <c r="F156" i="15" s="1"/>
  <c r="D148" i="15"/>
  <c r="F148" i="15" s="1"/>
  <c r="E142" i="15"/>
  <c r="D132" i="15"/>
  <c r="F132" i="15" s="1"/>
  <c r="E126" i="15"/>
  <c r="E110" i="15"/>
  <c r="E102" i="15"/>
  <c r="E89" i="15"/>
  <c r="E78" i="15"/>
  <c r="E65" i="15"/>
  <c r="D58" i="15"/>
  <c r="F58" i="15" s="1"/>
  <c r="E37" i="15"/>
  <c r="E33" i="15"/>
  <c r="E158" i="15"/>
  <c r="E81" i="15"/>
  <c r="D42" i="15"/>
  <c r="F42" i="15" s="1"/>
  <c r="E161" i="15"/>
  <c r="E150" i="15"/>
  <c r="D140" i="15"/>
  <c r="F140" i="15" s="1"/>
  <c r="E134" i="15"/>
  <c r="D124" i="15"/>
  <c r="F124" i="15" s="1"/>
  <c r="E113" i="15"/>
  <c r="E105" i="15"/>
  <c r="D92" i="15"/>
  <c r="F92" i="15" s="1"/>
  <c r="D84" i="15"/>
  <c r="F84" i="15" s="1"/>
  <c r="D76" i="15"/>
  <c r="F76" i="15" s="1"/>
  <c r="E62" i="15"/>
  <c r="E30" i="15"/>
  <c r="E21" i="15"/>
  <c r="E169" i="15"/>
  <c r="E153" i="15"/>
  <c r="E145" i="15"/>
  <c r="E137" i="15"/>
  <c r="E129" i="15"/>
  <c r="D116" i="15"/>
  <c r="F116" i="15" s="1"/>
  <c r="D108" i="15"/>
  <c r="F108" i="15" s="1"/>
  <c r="D100" i="15"/>
  <c r="F100" i="15" s="1"/>
  <c r="E86" i="15"/>
  <c r="D68" i="15"/>
  <c r="F68" i="15" s="1"/>
  <c r="E53" i="15"/>
  <c r="D26" i="15"/>
  <c r="F26" i="15" s="1"/>
  <c r="E166" i="15"/>
  <c r="E118" i="15"/>
  <c r="E97" i="15"/>
  <c r="E73" i="15"/>
  <c r="E46" i="15"/>
  <c r="D164" i="15"/>
  <c r="F164" i="15" s="1"/>
  <c r="E121" i="15"/>
  <c r="E94" i="15"/>
  <c r="E70" i="15"/>
  <c r="E49" i="15"/>
  <c r="E14" i="15"/>
  <c r="E8" i="15"/>
  <c r="E24" i="15"/>
  <c r="E40" i="15"/>
  <c r="E56" i="15"/>
  <c r="D6" i="15"/>
  <c r="F6" i="15" s="1"/>
  <c r="D11" i="15"/>
  <c r="F11" i="15" s="1"/>
  <c r="D13" i="15"/>
  <c r="F13" i="15" s="1"/>
  <c r="E15" i="15"/>
  <c r="D20" i="15"/>
  <c r="F20" i="15" s="1"/>
  <c r="D22" i="15"/>
  <c r="F22" i="15" s="1"/>
  <c r="D27" i="15"/>
  <c r="F27" i="15" s="1"/>
  <c r="D29" i="15"/>
  <c r="F29" i="15" s="1"/>
  <c r="E31" i="15"/>
  <c r="D36" i="15"/>
  <c r="F36" i="15" s="1"/>
  <c r="D38" i="15"/>
  <c r="F38" i="15" s="1"/>
  <c r="D43" i="15"/>
  <c r="F43" i="15" s="1"/>
  <c r="D45" i="15"/>
  <c r="F45" i="15" s="1"/>
  <c r="E47" i="15"/>
  <c r="D52" i="15"/>
  <c r="F52" i="15" s="1"/>
  <c r="D54" i="15"/>
  <c r="F54" i="15" s="1"/>
  <c r="D59" i="15"/>
  <c r="F59" i="15" s="1"/>
  <c r="D61" i="15"/>
  <c r="F61" i="15" s="1"/>
  <c r="E63" i="15"/>
  <c r="E71" i="15"/>
  <c r="E79" i="15"/>
  <c r="E87" i="15"/>
  <c r="E95" i="15"/>
  <c r="E103" i="15"/>
  <c r="E111" i="15"/>
  <c r="E119" i="15"/>
  <c r="E127" i="15"/>
  <c r="E135" i="15"/>
  <c r="E143" i="15"/>
  <c r="E151" i="15"/>
  <c r="E159" i="15"/>
  <c r="E167" i="15"/>
  <c r="E6" i="15"/>
  <c r="E13" i="15"/>
  <c r="D18" i="15"/>
  <c r="F18" i="15" s="1"/>
  <c r="E22" i="15"/>
  <c r="E29" i="15"/>
  <c r="D34" i="15"/>
  <c r="F34" i="15" s="1"/>
  <c r="E38" i="15"/>
  <c r="E45" i="15"/>
  <c r="D50" i="15"/>
  <c r="F50" i="15" s="1"/>
  <c r="E54" i="15"/>
  <c r="E61" i="15"/>
  <c r="D69" i="15"/>
  <c r="F69" i="15" s="1"/>
  <c r="D77" i="15"/>
  <c r="F77" i="15" s="1"/>
  <c r="D85" i="15"/>
  <c r="F85" i="15" s="1"/>
  <c r="D93" i="15"/>
  <c r="F93" i="15" s="1"/>
  <c r="D101" i="15"/>
  <c r="F101" i="15" s="1"/>
  <c r="D109" i="15"/>
  <c r="F109" i="15" s="1"/>
  <c r="D117" i="15"/>
  <c r="F117" i="15" s="1"/>
  <c r="D125" i="15"/>
  <c r="F125" i="15" s="1"/>
  <c r="D133" i="15"/>
  <c r="F133" i="15" s="1"/>
  <c r="D141" i="15"/>
  <c r="F141" i="15" s="1"/>
  <c r="D149" i="15"/>
  <c r="F149" i="15" s="1"/>
  <c r="D157" i="15"/>
  <c r="F157" i="15" s="1"/>
  <c r="E172" i="15"/>
  <c r="D169" i="15"/>
  <c r="F169" i="15" s="1"/>
  <c r="E164" i="15"/>
  <c r="D161" i="15"/>
  <c r="F161" i="15" s="1"/>
  <c r="G161" i="15" s="1"/>
  <c r="E156" i="15"/>
  <c r="D153" i="15"/>
  <c r="F153" i="15" s="1"/>
  <c r="G153" i="15" s="1"/>
  <c r="E148" i="15"/>
  <c r="D145" i="15"/>
  <c r="F145" i="15" s="1"/>
  <c r="G145" i="15" s="1"/>
  <c r="E140" i="15"/>
  <c r="D137" i="15"/>
  <c r="F137" i="15" s="1"/>
  <c r="G137" i="15" s="1"/>
  <c r="E132" i="15"/>
  <c r="D129" i="15"/>
  <c r="F129" i="15" s="1"/>
  <c r="G129" i="15" s="1"/>
  <c r="E124" i="15"/>
  <c r="D121" i="15"/>
  <c r="F121" i="15" s="1"/>
  <c r="G121" i="15" s="1"/>
  <c r="E116" i="15"/>
  <c r="D113" i="15"/>
  <c r="F113" i="15" s="1"/>
  <c r="E108" i="15"/>
  <c r="D105" i="15"/>
  <c r="F105" i="15" s="1"/>
  <c r="G105" i="15" s="1"/>
  <c r="E100" i="15"/>
  <c r="D97" i="15"/>
  <c r="F97" i="15" s="1"/>
  <c r="E92" i="15"/>
  <c r="D89" i="15"/>
  <c r="F89" i="15" s="1"/>
  <c r="G89" i="15" s="1"/>
  <c r="E84" i="15"/>
  <c r="D81" i="15"/>
  <c r="F81" i="15" s="1"/>
  <c r="G81" i="15" s="1"/>
  <c r="E76" i="15"/>
  <c r="D73" i="15"/>
  <c r="F73" i="15" s="1"/>
  <c r="E68" i="15"/>
  <c r="D65" i="15"/>
  <c r="F65" i="15" s="1"/>
  <c r="G65" i="15" s="1"/>
  <c r="E60" i="15"/>
  <c r="D57" i="15"/>
  <c r="F57" i="15" s="1"/>
  <c r="E52" i="15"/>
  <c r="D49" i="15"/>
  <c r="F49" i="15" s="1"/>
  <c r="E44" i="15"/>
  <c r="D41" i="15"/>
  <c r="F41" i="15" s="1"/>
  <c r="E36" i="15"/>
  <c r="D33" i="15"/>
  <c r="F33" i="15" s="1"/>
  <c r="E28" i="15"/>
  <c r="D25" i="15"/>
  <c r="F25" i="15" s="1"/>
  <c r="E20" i="15"/>
  <c r="D17" i="15"/>
  <c r="F17" i="15" s="1"/>
  <c r="E12" i="15"/>
  <c r="D9" i="15"/>
  <c r="F9" i="15" s="1"/>
  <c r="E175" i="15"/>
  <c r="D175" i="15"/>
  <c r="F175" i="15" s="1"/>
  <c r="E170" i="15"/>
  <c r="D167" i="15"/>
  <c r="F167" i="15" s="1"/>
  <c r="G167" i="15" s="1"/>
  <c r="E162" i="15"/>
  <c r="D159" i="15"/>
  <c r="F159" i="15" s="1"/>
  <c r="G159" i="15" s="1"/>
  <c r="E154" i="15"/>
  <c r="D151" i="15"/>
  <c r="F151" i="15" s="1"/>
  <c r="E146" i="15"/>
  <c r="D143" i="15"/>
  <c r="F143" i="15" s="1"/>
  <c r="G143" i="15" s="1"/>
  <c r="E138" i="15"/>
  <c r="D135" i="15"/>
  <c r="F135" i="15" s="1"/>
  <c r="E130" i="15"/>
  <c r="D127" i="15"/>
  <c r="F127" i="15" s="1"/>
  <c r="E122" i="15"/>
  <c r="D119" i="15"/>
  <c r="F119" i="15" s="1"/>
  <c r="E114" i="15"/>
  <c r="D111" i="15"/>
  <c r="F111" i="15" s="1"/>
  <c r="E106" i="15"/>
  <c r="D103" i="15"/>
  <c r="F103" i="15" s="1"/>
  <c r="G103" i="15" s="1"/>
  <c r="E98" i="15"/>
  <c r="D95" i="15"/>
  <c r="F95" i="15" s="1"/>
  <c r="G95" i="15" s="1"/>
  <c r="E90" i="15"/>
  <c r="D87" i="15"/>
  <c r="F87" i="15" s="1"/>
  <c r="E82" i="15"/>
  <c r="D79" i="15"/>
  <c r="F79" i="15" s="1"/>
  <c r="G79" i="15" s="1"/>
  <c r="E74" i="15"/>
  <c r="D71" i="15"/>
  <c r="F71" i="15" s="1"/>
  <c r="E66" i="15"/>
  <c r="D63" i="15"/>
  <c r="F63" i="15" s="1"/>
  <c r="E58" i="15"/>
  <c r="D55" i="15"/>
  <c r="E50" i="15"/>
  <c r="D47" i="15"/>
  <c r="F47" i="15" s="1"/>
  <c r="G47" i="15" s="1"/>
  <c r="E42" i="15"/>
  <c r="D39" i="15"/>
  <c r="F39" i="15" s="1"/>
  <c r="E34" i="15"/>
  <c r="D31" i="15"/>
  <c r="F31" i="15" s="1"/>
  <c r="E26" i="15"/>
  <c r="D23" i="15"/>
  <c r="F23" i="15" s="1"/>
  <c r="E18" i="15"/>
  <c r="D15" i="15"/>
  <c r="F15" i="15" s="1"/>
  <c r="E10" i="15"/>
  <c r="G10" i="15" s="1"/>
  <c r="D7" i="15"/>
  <c r="F7" i="15" s="1"/>
  <c r="E173" i="15"/>
  <c r="D170" i="15"/>
  <c r="F170" i="15" s="1"/>
  <c r="E165" i="15"/>
  <c r="G165" i="15" s="1"/>
  <c r="D162" i="15"/>
  <c r="F162" i="15" s="1"/>
  <c r="G162" i="15" s="1"/>
  <c r="E157" i="15"/>
  <c r="D154" i="15"/>
  <c r="F154" i="15" s="1"/>
  <c r="E149" i="15"/>
  <c r="D146" i="15"/>
  <c r="F146" i="15" s="1"/>
  <c r="E141" i="15"/>
  <c r="D138" i="15"/>
  <c r="F138" i="15" s="1"/>
  <c r="E133" i="15"/>
  <c r="D130" i="15"/>
  <c r="F130" i="15" s="1"/>
  <c r="G130" i="15" s="1"/>
  <c r="E125" i="15"/>
  <c r="D122" i="15"/>
  <c r="F122" i="15" s="1"/>
  <c r="E117" i="15"/>
  <c r="D114" i="15"/>
  <c r="F114" i="15" s="1"/>
  <c r="E109" i="15"/>
  <c r="D106" i="15"/>
  <c r="F106" i="15" s="1"/>
  <c r="E101" i="15"/>
  <c r="D98" i="15"/>
  <c r="F98" i="15" s="1"/>
  <c r="G98" i="15" s="1"/>
  <c r="E93" i="15"/>
  <c r="D90" i="15"/>
  <c r="F90" i="15" s="1"/>
  <c r="E85" i="15"/>
  <c r="D82" i="15"/>
  <c r="F82" i="15" s="1"/>
  <c r="E77" i="15"/>
  <c r="D74" i="15"/>
  <c r="F74" i="15" s="1"/>
  <c r="E69" i="15"/>
  <c r="D66" i="15"/>
  <c r="F66" i="15" s="1"/>
  <c r="G66" i="15" s="1"/>
  <c r="D173" i="15"/>
  <c r="F173" i="15" s="1"/>
  <c r="G173" i="15" s="1"/>
  <c r="E171" i="15"/>
  <c r="D168" i="15"/>
  <c r="F168" i="15" s="1"/>
  <c r="E163" i="15"/>
  <c r="D160" i="15"/>
  <c r="F160" i="15" s="1"/>
  <c r="E155" i="15"/>
  <c r="D152" i="15"/>
  <c r="F152" i="15" s="1"/>
  <c r="E147" i="15"/>
  <c r="D144" i="15"/>
  <c r="F144" i="15" s="1"/>
  <c r="E139" i="15"/>
  <c r="D136" i="15"/>
  <c r="F136" i="15" s="1"/>
  <c r="E131" i="15"/>
  <c r="D128" i="15"/>
  <c r="F128" i="15" s="1"/>
  <c r="E123" i="15"/>
  <c r="D120" i="15"/>
  <c r="F120" i="15" s="1"/>
  <c r="E115" i="15"/>
  <c r="D112" i="15"/>
  <c r="F112" i="15" s="1"/>
  <c r="E107" i="15"/>
  <c r="D104" i="15"/>
  <c r="F104" i="15" s="1"/>
  <c r="E99" i="15"/>
  <c r="D96" i="15"/>
  <c r="F96" i="15" s="1"/>
  <c r="E91" i="15"/>
  <c r="D88" i="15"/>
  <c r="F88" i="15" s="1"/>
  <c r="E83" i="15"/>
  <c r="D80" i="15"/>
  <c r="F80" i="15" s="1"/>
  <c r="E75" i="15"/>
  <c r="D72" i="15"/>
  <c r="F72" i="15" s="1"/>
  <c r="G72" i="15" s="1"/>
  <c r="E67" i="15"/>
  <c r="D64" i="15"/>
  <c r="F64" i="15" s="1"/>
  <c r="E59" i="15"/>
  <c r="D56" i="15"/>
  <c r="F56" i="15" s="1"/>
  <c r="G56" i="15" s="1"/>
  <c r="E51" i="15"/>
  <c r="D48" i="15"/>
  <c r="F48" i="15" s="1"/>
  <c r="E43" i="15"/>
  <c r="D40" i="15"/>
  <c r="F40" i="15" s="1"/>
  <c r="E35" i="15"/>
  <c r="D32" i="15"/>
  <c r="F32" i="15" s="1"/>
  <c r="E27" i="15"/>
  <c r="D24" i="15"/>
  <c r="F24" i="15" s="1"/>
  <c r="G24" i="15" s="1"/>
  <c r="E19" i="15"/>
  <c r="D16" i="15"/>
  <c r="F16" i="15" s="1"/>
  <c r="E11" i="15"/>
  <c r="D8" i="15"/>
  <c r="F8" i="15" s="1"/>
  <c r="G8" i="15" s="1"/>
  <c r="E9" i="15"/>
  <c r="E25" i="15"/>
  <c r="E41" i="15"/>
  <c r="E57" i="15"/>
  <c r="D67" i="15"/>
  <c r="F67" i="15" s="1"/>
  <c r="D75" i="15"/>
  <c r="F75" i="15" s="1"/>
  <c r="D83" i="15"/>
  <c r="F83" i="15" s="1"/>
  <c r="D91" i="15"/>
  <c r="F91" i="15" s="1"/>
  <c r="G91" i="15" s="1"/>
  <c r="D99" i="15"/>
  <c r="F99" i="15" s="1"/>
  <c r="D107" i="15"/>
  <c r="F107" i="15" s="1"/>
  <c r="D115" i="15"/>
  <c r="F115" i="15" s="1"/>
  <c r="G115" i="15" s="1"/>
  <c r="D123" i="15"/>
  <c r="F123" i="15" s="1"/>
  <c r="G123" i="15" s="1"/>
  <c r="D131" i="15"/>
  <c r="F131" i="15" s="1"/>
  <c r="D139" i="15"/>
  <c r="F139" i="15" s="1"/>
  <c r="D147" i="15"/>
  <c r="F147" i="15" s="1"/>
  <c r="D155" i="15"/>
  <c r="F155" i="15" s="1"/>
  <c r="G155" i="15" s="1"/>
  <c r="D163" i="15"/>
  <c r="F163" i="15" s="1"/>
  <c r="D171" i="15"/>
  <c r="F171" i="15" s="1"/>
  <c r="D5" i="15"/>
  <c r="F5" i="15" s="1"/>
  <c r="E16" i="15"/>
  <c r="E32" i="15"/>
  <c r="E48" i="15"/>
  <c r="F55" i="15"/>
  <c r="E64" i="15"/>
  <c r="E72" i="15"/>
  <c r="E80" i="15"/>
  <c r="E88" i="15"/>
  <c r="E96" i="15"/>
  <c r="E104" i="15"/>
  <c r="E112" i="15"/>
  <c r="E120" i="15"/>
  <c r="E128" i="15"/>
  <c r="E136" i="15"/>
  <c r="E144" i="15"/>
  <c r="E152" i="15"/>
  <c r="E160" i="15"/>
  <c r="E168" i="15"/>
  <c r="D174" i="15"/>
  <c r="F174" i="15" s="1"/>
  <c r="E17" i="15"/>
  <c r="E5" i="15"/>
  <c r="E7" i="15"/>
  <c r="D12" i="15"/>
  <c r="F12" i="15" s="1"/>
  <c r="D14" i="15"/>
  <c r="F14" i="15" s="1"/>
  <c r="D19" i="15"/>
  <c r="F19" i="15" s="1"/>
  <c r="D21" i="15"/>
  <c r="F21" i="15" s="1"/>
  <c r="E23" i="15"/>
  <c r="D28" i="15"/>
  <c r="F28" i="15" s="1"/>
  <c r="D30" i="15"/>
  <c r="F30" i="15" s="1"/>
  <c r="D35" i="15"/>
  <c r="F35" i="15" s="1"/>
  <c r="D37" i="15"/>
  <c r="F37" i="15" s="1"/>
  <c r="E39" i="15"/>
  <c r="D44" i="15"/>
  <c r="F44" i="15" s="1"/>
  <c r="G44" i="15" s="1"/>
  <c r="D46" i="15"/>
  <c r="F46" i="15" s="1"/>
  <c r="G46" i="15" s="1"/>
  <c r="D51" i="15"/>
  <c r="F51" i="15" s="1"/>
  <c r="G51" i="15" s="1"/>
  <c r="D53" i="15"/>
  <c r="F53" i="15" s="1"/>
  <c r="G53" i="15" s="1"/>
  <c r="E55" i="15"/>
  <c r="D60" i="15"/>
  <c r="F60" i="15" s="1"/>
  <c r="D62" i="15"/>
  <c r="F62" i="15" s="1"/>
  <c r="G62" i="15" s="1"/>
  <c r="D70" i="15"/>
  <c r="F70" i="15" s="1"/>
  <c r="G70" i="15" s="1"/>
  <c r="D78" i="15"/>
  <c r="F78" i="15" s="1"/>
  <c r="G78" i="15" s="1"/>
  <c r="D86" i="15"/>
  <c r="F86" i="15" s="1"/>
  <c r="G86" i="15" s="1"/>
  <c r="D94" i="15"/>
  <c r="F94" i="15" s="1"/>
  <c r="G94" i="15" s="1"/>
  <c r="D102" i="15"/>
  <c r="F102" i="15" s="1"/>
  <c r="G102" i="15" s="1"/>
  <c r="D110" i="15"/>
  <c r="F110" i="15" s="1"/>
  <c r="G110" i="15" s="1"/>
  <c r="D118" i="15"/>
  <c r="F118" i="15" s="1"/>
  <c r="G118" i="15" s="1"/>
  <c r="D126" i="15"/>
  <c r="F126" i="15" s="1"/>
  <c r="D134" i="15"/>
  <c r="F134" i="15" s="1"/>
  <c r="D142" i="15"/>
  <c r="F142" i="15" s="1"/>
  <c r="G142" i="15" s="1"/>
  <c r="D150" i="15"/>
  <c r="F150" i="15" s="1"/>
  <c r="G150" i="15" s="1"/>
  <c r="D158" i="15"/>
  <c r="F158" i="15" s="1"/>
  <c r="D166" i="15"/>
  <c r="F166" i="15" s="1"/>
  <c r="G166" i="15" s="1"/>
  <c r="E174" i="15"/>
  <c r="E168" i="14"/>
  <c r="E70" i="14"/>
  <c r="E134" i="14"/>
  <c r="D7" i="14"/>
  <c r="D77" i="14"/>
  <c r="F77" i="14" s="1"/>
  <c r="E112" i="14"/>
  <c r="E128" i="14"/>
  <c r="E144" i="14"/>
  <c r="D173" i="14"/>
  <c r="F173" i="14" s="1"/>
  <c r="E7" i="14"/>
  <c r="E10" i="14"/>
  <c r="E26" i="14"/>
  <c r="E42" i="14"/>
  <c r="E58" i="14"/>
  <c r="E74" i="14"/>
  <c r="E90" i="14"/>
  <c r="E106" i="14"/>
  <c r="E122" i="14"/>
  <c r="E138" i="14"/>
  <c r="E154" i="14"/>
  <c r="E170" i="14"/>
  <c r="D19" i="14"/>
  <c r="F19" i="14" s="1"/>
  <c r="E38" i="14"/>
  <c r="E86" i="14"/>
  <c r="D147" i="14"/>
  <c r="F147" i="14" s="1"/>
  <c r="D163" i="14"/>
  <c r="F163" i="14" s="1"/>
  <c r="D5" i="14"/>
  <c r="F5" i="14" s="1"/>
  <c r="D45" i="14"/>
  <c r="F45" i="14" s="1"/>
  <c r="E64" i="14"/>
  <c r="D109" i="14"/>
  <c r="F109" i="14" s="1"/>
  <c r="D23" i="14"/>
  <c r="F23" i="14" s="1"/>
  <c r="D39" i="14"/>
  <c r="F39" i="14" s="1"/>
  <c r="D55" i="14"/>
  <c r="F55" i="14" s="1"/>
  <c r="D71" i="14"/>
  <c r="F71" i="14" s="1"/>
  <c r="D87" i="14"/>
  <c r="F87" i="14" s="1"/>
  <c r="D103" i="14"/>
  <c r="F103" i="14" s="1"/>
  <c r="D119" i="14"/>
  <c r="F119" i="14" s="1"/>
  <c r="D135" i="14"/>
  <c r="F135" i="14" s="1"/>
  <c r="D151" i="14"/>
  <c r="F151" i="14" s="1"/>
  <c r="D167" i="14"/>
  <c r="F167" i="14" s="1"/>
  <c r="E22" i="14"/>
  <c r="D35" i="14"/>
  <c r="F35" i="14" s="1"/>
  <c r="D131" i="14"/>
  <c r="F131" i="14" s="1"/>
  <c r="D13" i="14"/>
  <c r="F13" i="14" s="1"/>
  <c r="E32" i="14"/>
  <c r="E96" i="14"/>
  <c r="D125" i="14"/>
  <c r="F125" i="14" s="1"/>
  <c r="D11" i="14"/>
  <c r="F11" i="14" s="1"/>
  <c r="E14" i="14"/>
  <c r="D27" i="14"/>
  <c r="F27" i="14" s="1"/>
  <c r="E30" i="14"/>
  <c r="D43" i="14"/>
  <c r="F43" i="14" s="1"/>
  <c r="E46" i="14"/>
  <c r="D59" i="14"/>
  <c r="F59" i="14" s="1"/>
  <c r="E62" i="14"/>
  <c r="D75" i="14"/>
  <c r="F75" i="14" s="1"/>
  <c r="E78" i="14"/>
  <c r="D91" i="14"/>
  <c r="F91" i="14" s="1"/>
  <c r="E94" i="14"/>
  <c r="D107" i="14"/>
  <c r="F107" i="14" s="1"/>
  <c r="E110" i="14"/>
  <c r="D123" i="14"/>
  <c r="F123" i="14" s="1"/>
  <c r="E126" i="14"/>
  <c r="D139" i="14"/>
  <c r="F139" i="14" s="1"/>
  <c r="E142" i="14"/>
  <c r="D155" i="14"/>
  <c r="F155" i="14" s="1"/>
  <c r="E158" i="14"/>
  <c r="D171" i="14"/>
  <c r="F171" i="14" s="1"/>
  <c r="E174" i="14"/>
  <c r="E54" i="14"/>
  <c r="D83" i="14"/>
  <c r="F83" i="14" s="1"/>
  <c r="D115" i="14"/>
  <c r="F115" i="14" s="1"/>
  <c r="E166" i="14"/>
  <c r="E16" i="14"/>
  <c r="D61" i="14"/>
  <c r="F61" i="14" s="1"/>
  <c r="E80" i="14"/>
  <c r="D6" i="14"/>
  <c r="F6" i="14" s="1"/>
  <c r="E8" i="14"/>
  <c r="D21" i="14"/>
  <c r="F21" i="14" s="1"/>
  <c r="E24" i="14"/>
  <c r="D37" i="14"/>
  <c r="F37" i="14" s="1"/>
  <c r="E40" i="14"/>
  <c r="D53" i="14"/>
  <c r="F53" i="14" s="1"/>
  <c r="E56" i="14"/>
  <c r="D69" i="14"/>
  <c r="F69" i="14" s="1"/>
  <c r="E72" i="14"/>
  <c r="D85" i="14"/>
  <c r="F85" i="14" s="1"/>
  <c r="E88" i="14"/>
  <c r="D101" i="14"/>
  <c r="F101" i="14" s="1"/>
  <c r="E104" i="14"/>
  <c r="D117" i="14"/>
  <c r="F117" i="14" s="1"/>
  <c r="E120" i="14"/>
  <c r="D133" i="14"/>
  <c r="F133" i="14" s="1"/>
  <c r="E136" i="14"/>
  <c r="D149" i="14"/>
  <c r="F149" i="14" s="1"/>
  <c r="E152" i="14"/>
  <c r="D165" i="14"/>
  <c r="F165" i="14" s="1"/>
  <c r="D174" i="14"/>
  <c r="F174" i="14" s="1"/>
  <c r="E169" i="14"/>
  <c r="D166" i="14"/>
  <c r="F166" i="14" s="1"/>
  <c r="E161" i="14"/>
  <c r="D158" i="14"/>
  <c r="F158" i="14" s="1"/>
  <c r="G158" i="14" s="1"/>
  <c r="E153" i="14"/>
  <c r="D150" i="14"/>
  <c r="E145" i="14"/>
  <c r="D142" i="14"/>
  <c r="F142" i="14" s="1"/>
  <c r="E137" i="14"/>
  <c r="D134" i="14"/>
  <c r="F134" i="14" s="1"/>
  <c r="G134" i="14" s="1"/>
  <c r="E129" i="14"/>
  <c r="D126" i="14"/>
  <c r="F126" i="14" s="1"/>
  <c r="E121" i="14"/>
  <c r="D118" i="14"/>
  <c r="F118" i="14" s="1"/>
  <c r="E113" i="14"/>
  <c r="D110" i="14"/>
  <c r="F110" i="14" s="1"/>
  <c r="G110" i="14" s="1"/>
  <c r="E105" i="14"/>
  <c r="D102" i="14"/>
  <c r="F102" i="14" s="1"/>
  <c r="E97" i="14"/>
  <c r="D94" i="14"/>
  <c r="F94" i="14" s="1"/>
  <c r="G94" i="14" s="1"/>
  <c r="E89" i="14"/>
  <c r="D86" i="14"/>
  <c r="F86" i="14" s="1"/>
  <c r="E81" i="14"/>
  <c r="D78" i="14"/>
  <c r="F78" i="14" s="1"/>
  <c r="E73" i="14"/>
  <c r="D70" i="14"/>
  <c r="F70" i="14" s="1"/>
  <c r="G70" i="14" s="1"/>
  <c r="E65" i="14"/>
  <c r="D62" i="14"/>
  <c r="F62" i="14" s="1"/>
  <c r="E57" i="14"/>
  <c r="D54" i="14"/>
  <c r="F54" i="14" s="1"/>
  <c r="E49" i="14"/>
  <c r="D46" i="14"/>
  <c r="F46" i="14" s="1"/>
  <c r="E41" i="14"/>
  <c r="D38" i="14"/>
  <c r="F38" i="14" s="1"/>
  <c r="G38" i="14" s="1"/>
  <c r="E33" i="14"/>
  <c r="D30" i="14"/>
  <c r="F30" i="14" s="1"/>
  <c r="E25" i="14"/>
  <c r="D22" i="14"/>
  <c r="F22" i="14" s="1"/>
  <c r="E17" i="14"/>
  <c r="D14" i="14"/>
  <c r="F14" i="14" s="1"/>
  <c r="E9" i="14"/>
  <c r="E172" i="14"/>
  <c r="D169" i="14"/>
  <c r="F169" i="14" s="1"/>
  <c r="G169" i="14" s="1"/>
  <c r="E164" i="14"/>
  <c r="D161" i="14"/>
  <c r="F161" i="14" s="1"/>
  <c r="G161" i="14" s="1"/>
  <c r="E156" i="14"/>
  <c r="D153" i="14"/>
  <c r="F153" i="14" s="1"/>
  <c r="E148" i="14"/>
  <c r="D145" i="14"/>
  <c r="F145" i="14" s="1"/>
  <c r="E140" i="14"/>
  <c r="D137" i="14"/>
  <c r="F137" i="14" s="1"/>
  <c r="G137" i="14" s="1"/>
  <c r="E132" i="14"/>
  <c r="D129" i="14"/>
  <c r="F129" i="14" s="1"/>
  <c r="G129" i="14" s="1"/>
  <c r="E124" i="14"/>
  <c r="D121" i="14"/>
  <c r="F121" i="14" s="1"/>
  <c r="E116" i="14"/>
  <c r="D113" i="14"/>
  <c r="F113" i="14" s="1"/>
  <c r="E108" i="14"/>
  <c r="D105" i="14"/>
  <c r="F105" i="14" s="1"/>
  <c r="G105" i="14" s="1"/>
  <c r="E100" i="14"/>
  <c r="D97" i="14"/>
  <c r="F97" i="14" s="1"/>
  <c r="G97" i="14" s="1"/>
  <c r="E92" i="14"/>
  <c r="D89" i="14"/>
  <c r="F89" i="14" s="1"/>
  <c r="E84" i="14"/>
  <c r="D81" i="14"/>
  <c r="F81" i="14" s="1"/>
  <c r="E76" i="14"/>
  <c r="D73" i="14"/>
  <c r="F73" i="14" s="1"/>
  <c r="G73" i="14" s="1"/>
  <c r="E68" i="14"/>
  <c r="D65" i="14"/>
  <c r="F65" i="14" s="1"/>
  <c r="G65" i="14" s="1"/>
  <c r="E60" i="14"/>
  <c r="D57" i="14"/>
  <c r="F57" i="14" s="1"/>
  <c r="E52" i="14"/>
  <c r="D49" i="14"/>
  <c r="F49" i="14" s="1"/>
  <c r="E44" i="14"/>
  <c r="D41" i="14"/>
  <c r="F41" i="14" s="1"/>
  <c r="G41" i="14" s="1"/>
  <c r="E36" i="14"/>
  <c r="D33" i="14"/>
  <c r="F33" i="14" s="1"/>
  <c r="G33" i="14" s="1"/>
  <c r="E28" i="14"/>
  <c r="D25" i="14"/>
  <c r="F25" i="14" s="1"/>
  <c r="E20" i="14"/>
  <c r="D17" i="14"/>
  <c r="F17" i="14" s="1"/>
  <c r="E12" i="14"/>
  <c r="D9" i="14"/>
  <c r="F9" i="14" s="1"/>
  <c r="G9" i="14" s="1"/>
  <c r="E175" i="14"/>
  <c r="D172" i="14"/>
  <c r="F172" i="14" s="1"/>
  <c r="G172" i="14" s="1"/>
  <c r="E167" i="14"/>
  <c r="D164" i="14"/>
  <c r="F164" i="14" s="1"/>
  <c r="G164" i="14" s="1"/>
  <c r="E159" i="14"/>
  <c r="D156" i="14"/>
  <c r="E151" i="14"/>
  <c r="D148" i="14"/>
  <c r="F148" i="14" s="1"/>
  <c r="G148" i="14" s="1"/>
  <c r="E143" i="14"/>
  <c r="D140" i="14"/>
  <c r="F140" i="14" s="1"/>
  <c r="G140" i="14" s="1"/>
  <c r="E135" i="14"/>
  <c r="D132" i="14"/>
  <c r="F132" i="14" s="1"/>
  <c r="G132" i="14" s="1"/>
  <c r="E127" i="14"/>
  <c r="D124" i="14"/>
  <c r="E119" i="14"/>
  <c r="D116" i="14"/>
  <c r="F116" i="14" s="1"/>
  <c r="E111" i="14"/>
  <c r="D108" i="14"/>
  <c r="F108" i="14" s="1"/>
  <c r="G108" i="14" s="1"/>
  <c r="E103" i="14"/>
  <c r="D100" i="14"/>
  <c r="F100" i="14" s="1"/>
  <c r="G100" i="14" s="1"/>
  <c r="E95" i="14"/>
  <c r="D92" i="14"/>
  <c r="E87" i="14"/>
  <c r="D84" i="14"/>
  <c r="F84" i="14" s="1"/>
  <c r="G84" i="14" s="1"/>
  <c r="E79" i="14"/>
  <c r="D76" i="14"/>
  <c r="F76" i="14" s="1"/>
  <c r="G76" i="14" s="1"/>
  <c r="E71" i="14"/>
  <c r="D68" i="14"/>
  <c r="F68" i="14" s="1"/>
  <c r="G68" i="14" s="1"/>
  <c r="E63" i="14"/>
  <c r="D60" i="14"/>
  <c r="E55" i="14"/>
  <c r="D52" i="14"/>
  <c r="F52" i="14" s="1"/>
  <c r="G52" i="14" s="1"/>
  <c r="E47" i="14"/>
  <c r="D44" i="14"/>
  <c r="F44" i="14" s="1"/>
  <c r="G44" i="14" s="1"/>
  <c r="E39" i="14"/>
  <c r="D36" i="14"/>
  <c r="F36" i="14" s="1"/>
  <c r="G36" i="14" s="1"/>
  <c r="E31" i="14"/>
  <c r="D28" i="14"/>
  <c r="E23" i="14"/>
  <c r="D20" i="14"/>
  <c r="F20" i="14" s="1"/>
  <c r="E15" i="14"/>
  <c r="D12" i="14"/>
  <c r="F12" i="14" s="1"/>
  <c r="G12" i="14" s="1"/>
  <c r="E173" i="14"/>
  <c r="D170" i="14"/>
  <c r="F170" i="14" s="1"/>
  <c r="G170" i="14" s="1"/>
  <c r="E165" i="14"/>
  <c r="D162" i="14"/>
  <c r="F162" i="14" s="1"/>
  <c r="E157" i="14"/>
  <c r="D154" i="14"/>
  <c r="E149" i="14"/>
  <c r="D146" i="14"/>
  <c r="F146" i="14" s="1"/>
  <c r="E141" i="14"/>
  <c r="D138" i="14"/>
  <c r="F138" i="14" s="1"/>
  <c r="G138" i="14" s="1"/>
  <c r="E133" i="14"/>
  <c r="D130" i="14"/>
  <c r="F130" i="14" s="1"/>
  <c r="E125" i="14"/>
  <c r="D122" i="14"/>
  <c r="F122" i="14" s="1"/>
  <c r="E117" i="14"/>
  <c r="D114" i="14"/>
  <c r="F114" i="14" s="1"/>
  <c r="E109" i="14"/>
  <c r="D106" i="14"/>
  <c r="F106" i="14" s="1"/>
  <c r="G106" i="14" s="1"/>
  <c r="E101" i="14"/>
  <c r="D98" i="14"/>
  <c r="F98" i="14" s="1"/>
  <c r="E93" i="14"/>
  <c r="D90" i="14"/>
  <c r="E85" i="14"/>
  <c r="D82" i="14"/>
  <c r="F82" i="14" s="1"/>
  <c r="E77" i="14"/>
  <c r="D74" i="14"/>
  <c r="F74" i="14" s="1"/>
  <c r="G74" i="14" s="1"/>
  <c r="E69" i="14"/>
  <c r="D66" i="14"/>
  <c r="F66" i="14" s="1"/>
  <c r="E61" i="14"/>
  <c r="D58" i="14"/>
  <c r="F58" i="14" s="1"/>
  <c r="G58" i="14" s="1"/>
  <c r="E53" i="14"/>
  <c r="D50" i="14"/>
  <c r="F50" i="14" s="1"/>
  <c r="E45" i="14"/>
  <c r="D42" i="14"/>
  <c r="F42" i="14" s="1"/>
  <c r="G42" i="14" s="1"/>
  <c r="E37" i="14"/>
  <c r="D34" i="14"/>
  <c r="F34" i="14" s="1"/>
  <c r="E29" i="14"/>
  <c r="D26" i="14"/>
  <c r="F26" i="14" s="1"/>
  <c r="E21" i="14"/>
  <c r="D18" i="14"/>
  <c r="F18" i="14" s="1"/>
  <c r="E13" i="14"/>
  <c r="D10" i="14"/>
  <c r="F10" i="14" s="1"/>
  <c r="E5" i="14"/>
  <c r="E171" i="14"/>
  <c r="D168" i="14"/>
  <c r="F168" i="14" s="1"/>
  <c r="G168" i="14" s="1"/>
  <c r="E163" i="14"/>
  <c r="D160" i="14"/>
  <c r="E155" i="14"/>
  <c r="D152" i="14"/>
  <c r="F152" i="14" s="1"/>
  <c r="E147" i="14"/>
  <c r="D144" i="14"/>
  <c r="F144" i="14" s="1"/>
  <c r="E139" i="14"/>
  <c r="D136" i="14"/>
  <c r="F136" i="14" s="1"/>
  <c r="G136" i="14" s="1"/>
  <c r="E131" i="14"/>
  <c r="D128" i="14"/>
  <c r="F128" i="14" s="1"/>
  <c r="G128" i="14" s="1"/>
  <c r="E123" i="14"/>
  <c r="D120" i="14"/>
  <c r="F120" i="14" s="1"/>
  <c r="G120" i="14" s="1"/>
  <c r="E115" i="14"/>
  <c r="D112" i="14"/>
  <c r="F112" i="14" s="1"/>
  <c r="G112" i="14" s="1"/>
  <c r="E107" i="14"/>
  <c r="D104" i="14"/>
  <c r="F104" i="14" s="1"/>
  <c r="E99" i="14"/>
  <c r="D96" i="14"/>
  <c r="F96" i="14" s="1"/>
  <c r="E91" i="14"/>
  <c r="D88" i="14"/>
  <c r="F88" i="14" s="1"/>
  <c r="E83" i="14"/>
  <c r="D80" i="14"/>
  <c r="F80" i="14" s="1"/>
  <c r="G80" i="14" s="1"/>
  <c r="E75" i="14"/>
  <c r="D72" i="14"/>
  <c r="F72" i="14" s="1"/>
  <c r="G72" i="14" s="1"/>
  <c r="E67" i="14"/>
  <c r="D64" i="14"/>
  <c r="F64" i="14" s="1"/>
  <c r="G64" i="14" s="1"/>
  <c r="E59" i="14"/>
  <c r="D56" i="14"/>
  <c r="F56" i="14" s="1"/>
  <c r="E51" i="14"/>
  <c r="D48" i="14"/>
  <c r="F48" i="14" s="1"/>
  <c r="E43" i="14"/>
  <c r="D40" i="14"/>
  <c r="F40" i="14" s="1"/>
  <c r="E35" i="14"/>
  <c r="D32" i="14"/>
  <c r="F32" i="14" s="1"/>
  <c r="G32" i="14" s="1"/>
  <c r="E27" i="14"/>
  <c r="D24" i="14"/>
  <c r="F24" i="14" s="1"/>
  <c r="E19" i="14"/>
  <c r="D16" i="14"/>
  <c r="F16" i="14" s="1"/>
  <c r="G16" i="14" s="1"/>
  <c r="E11" i="14"/>
  <c r="D8" i="14"/>
  <c r="F8" i="14" s="1"/>
  <c r="G8" i="14" s="1"/>
  <c r="D51" i="14"/>
  <c r="F51" i="14" s="1"/>
  <c r="D67" i="14"/>
  <c r="F67" i="14" s="1"/>
  <c r="G67" i="14" s="1"/>
  <c r="E102" i="14"/>
  <c r="F160" i="14"/>
  <c r="D29" i="14"/>
  <c r="F29" i="14" s="1"/>
  <c r="F90" i="14"/>
  <c r="D141" i="14"/>
  <c r="F141" i="14" s="1"/>
  <c r="F154" i="14"/>
  <c r="G154" i="14" s="1"/>
  <c r="E160" i="14"/>
  <c r="E6" i="14"/>
  <c r="E18" i="14"/>
  <c r="F28" i="14"/>
  <c r="E34" i="14"/>
  <c r="E50" i="14"/>
  <c r="F60" i="14"/>
  <c r="E66" i="14"/>
  <c r="E82" i="14"/>
  <c r="F92" i="14"/>
  <c r="E98" i="14"/>
  <c r="E114" i="14"/>
  <c r="F124" i="14"/>
  <c r="E130" i="14"/>
  <c r="E146" i="14"/>
  <c r="F156" i="14"/>
  <c r="E162" i="14"/>
  <c r="F7" i="14"/>
  <c r="D99" i="14"/>
  <c r="F99" i="14" s="1"/>
  <c r="G99" i="14" s="1"/>
  <c r="E118" i="14"/>
  <c r="E150" i="14"/>
  <c r="E48" i="14"/>
  <c r="D93" i="14"/>
  <c r="F93" i="14" s="1"/>
  <c r="G93" i="14" s="1"/>
  <c r="D157" i="14"/>
  <c r="F157" i="14" s="1"/>
  <c r="D15" i="14"/>
  <c r="F15" i="14" s="1"/>
  <c r="G15" i="14" s="1"/>
  <c r="D31" i="14"/>
  <c r="F31" i="14" s="1"/>
  <c r="D47" i="14"/>
  <c r="F47" i="14" s="1"/>
  <c r="G47" i="14" s="1"/>
  <c r="D63" i="14"/>
  <c r="F63" i="14" s="1"/>
  <c r="G63" i="14" s="1"/>
  <c r="D79" i="14"/>
  <c r="F79" i="14" s="1"/>
  <c r="G79" i="14" s="1"/>
  <c r="D95" i="14"/>
  <c r="F95" i="14" s="1"/>
  <c r="D111" i="14"/>
  <c r="F111" i="14" s="1"/>
  <c r="G111" i="14" s="1"/>
  <c r="D127" i="14"/>
  <c r="F127" i="14" s="1"/>
  <c r="D143" i="14"/>
  <c r="F143" i="14" s="1"/>
  <c r="G143" i="14" s="1"/>
  <c r="F150" i="14"/>
  <c r="G150" i="14" s="1"/>
  <c r="D159" i="14"/>
  <c r="F159" i="14" s="1"/>
  <c r="G159" i="14" s="1"/>
  <c r="D175" i="14"/>
  <c r="F175" i="14" s="1"/>
  <c r="G175" i="14" s="1"/>
  <c r="E17" i="13"/>
  <c r="E45" i="13"/>
  <c r="E145" i="13"/>
  <c r="E136" i="13"/>
  <c r="D169" i="13"/>
  <c r="F169" i="13" s="1"/>
  <c r="E72" i="13"/>
  <c r="D105" i="13"/>
  <c r="F105" i="13" s="1"/>
  <c r="E109" i="13"/>
  <c r="E129" i="13"/>
  <c r="D162" i="13"/>
  <c r="D66" i="13"/>
  <c r="D6" i="13"/>
  <c r="F6" i="13" s="1"/>
  <c r="E97" i="13"/>
  <c r="D114" i="13"/>
  <c r="F114" i="13" s="1"/>
  <c r="E152" i="13"/>
  <c r="E56" i="13"/>
  <c r="E81" i="13"/>
  <c r="E40" i="13"/>
  <c r="E65" i="13"/>
  <c r="D89" i="13"/>
  <c r="F89" i="13" s="1"/>
  <c r="E93" i="13"/>
  <c r="D102" i="13"/>
  <c r="F102" i="13" s="1"/>
  <c r="E120" i="13"/>
  <c r="D153" i="13"/>
  <c r="F153" i="13" s="1"/>
  <c r="E157" i="13"/>
  <c r="D41" i="13"/>
  <c r="F41" i="13" s="1"/>
  <c r="E49" i="13"/>
  <c r="D73" i="13"/>
  <c r="F73" i="13" s="1"/>
  <c r="E77" i="13"/>
  <c r="D86" i="13"/>
  <c r="F86" i="13" s="1"/>
  <c r="D98" i="13"/>
  <c r="F98" i="13" s="1"/>
  <c r="D130" i="13"/>
  <c r="F130" i="13" s="1"/>
  <c r="E168" i="13"/>
  <c r="D18" i="13"/>
  <c r="E24" i="13"/>
  <c r="E8" i="13"/>
  <c r="E33" i="13"/>
  <c r="D57" i="13"/>
  <c r="F57" i="13" s="1"/>
  <c r="E61" i="13"/>
  <c r="D70" i="13"/>
  <c r="F70" i="13" s="1"/>
  <c r="D82" i="13"/>
  <c r="F82" i="13" s="1"/>
  <c r="D121" i="13"/>
  <c r="F121" i="13" s="1"/>
  <c r="E125" i="13"/>
  <c r="D54" i="13"/>
  <c r="F54" i="13" s="1"/>
  <c r="E173" i="13"/>
  <c r="E175" i="13"/>
  <c r="D172" i="13"/>
  <c r="F172" i="13" s="1"/>
  <c r="E167" i="13"/>
  <c r="D164" i="13"/>
  <c r="F164" i="13" s="1"/>
  <c r="E159" i="13"/>
  <c r="D156" i="13"/>
  <c r="F156" i="13" s="1"/>
  <c r="E151" i="13"/>
  <c r="D148" i="13"/>
  <c r="F148" i="13" s="1"/>
  <c r="E143" i="13"/>
  <c r="D140" i="13"/>
  <c r="F140" i="13" s="1"/>
  <c r="E135" i="13"/>
  <c r="D132" i="13"/>
  <c r="F132" i="13" s="1"/>
  <c r="E127" i="13"/>
  <c r="D124" i="13"/>
  <c r="F124" i="13" s="1"/>
  <c r="E119" i="13"/>
  <c r="D116" i="13"/>
  <c r="F116" i="13" s="1"/>
  <c r="E111" i="13"/>
  <c r="D108" i="13"/>
  <c r="F108" i="13" s="1"/>
  <c r="E103" i="13"/>
  <c r="D100" i="13"/>
  <c r="F100" i="13" s="1"/>
  <c r="E95" i="13"/>
  <c r="D92" i="13"/>
  <c r="F92" i="13" s="1"/>
  <c r="E87" i="13"/>
  <c r="D84" i="13"/>
  <c r="F84" i="13" s="1"/>
  <c r="E79" i="13"/>
  <c r="D76" i="13"/>
  <c r="F76" i="13" s="1"/>
  <c r="E71" i="13"/>
  <c r="D68" i="13"/>
  <c r="F68" i="13" s="1"/>
  <c r="E63" i="13"/>
  <c r="D60" i="13"/>
  <c r="F60" i="13" s="1"/>
  <c r="E55" i="13"/>
  <c r="D52" i="13"/>
  <c r="F52" i="13" s="1"/>
  <c r="E47" i="13"/>
  <c r="D44" i="13"/>
  <c r="F44" i="13" s="1"/>
  <c r="E39" i="13"/>
  <c r="D36" i="13"/>
  <c r="F36" i="13" s="1"/>
  <c r="E31" i="13"/>
  <c r="D28" i="13"/>
  <c r="F28" i="13" s="1"/>
  <c r="E23" i="13"/>
  <c r="D20" i="13"/>
  <c r="F20" i="13" s="1"/>
  <c r="E15" i="13"/>
  <c r="D12" i="13"/>
  <c r="F12" i="13" s="1"/>
  <c r="E7" i="13"/>
  <c r="D175" i="13"/>
  <c r="F175" i="13" s="1"/>
  <c r="E170" i="13"/>
  <c r="D167" i="13"/>
  <c r="F167" i="13" s="1"/>
  <c r="E162" i="13"/>
  <c r="D159" i="13"/>
  <c r="F159" i="13" s="1"/>
  <c r="E154" i="13"/>
  <c r="D151" i="13"/>
  <c r="E146" i="13"/>
  <c r="D143" i="13"/>
  <c r="F143" i="13" s="1"/>
  <c r="E138" i="13"/>
  <c r="D135" i="13"/>
  <c r="F135" i="13" s="1"/>
  <c r="E130" i="13"/>
  <c r="D127" i="13"/>
  <c r="E122" i="13"/>
  <c r="D119" i="13"/>
  <c r="F119" i="13" s="1"/>
  <c r="E114" i="13"/>
  <c r="D111" i="13"/>
  <c r="F111" i="13" s="1"/>
  <c r="E106" i="13"/>
  <c r="D103" i="13"/>
  <c r="F103" i="13" s="1"/>
  <c r="E98" i="13"/>
  <c r="D95" i="13"/>
  <c r="F95" i="13" s="1"/>
  <c r="E90" i="13"/>
  <c r="D87" i="13"/>
  <c r="F87" i="13" s="1"/>
  <c r="E82" i="13"/>
  <c r="D79" i="13"/>
  <c r="F79" i="13" s="1"/>
  <c r="E74" i="13"/>
  <c r="D71" i="13"/>
  <c r="F71" i="13" s="1"/>
  <c r="E66" i="13"/>
  <c r="D63" i="13"/>
  <c r="F63" i="13" s="1"/>
  <c r="E58" i="13"/>
  <c r="D55" i="13"/>
  <c r="E50" i="13"/>
  <c r="D47" i="13"/>
  <c r="F47" i="13" s="1"/>
  <c r="E42" i="13"/>
  <c r="D39" i="13"/>
  <c r="F39" i="13" s="1"/>
  <c r="E34" i="13"/>
  <c r="D31" i="13"/>
  <c r="F31" i="13" s="1"/>
  <c r="E26" i="13"/>
  <c r="D23" i="13"/>
  <c r="F23" i="13" s="1"/>
  <c r="E18" i="13"/>
  <c r="D15" i="13"/>
  <c r="F15" i="13" s="1"/>
  <c r="E10" i="13"/>
  <c r="D7" i="13"/>
  <c r="F7" i="13" s="1"/>
  <c r="E171" i="13"/>
  <c r="D168" i="13"/>
  <c r="F168" i="13" s="1"/>
  <c r="E163" i="13"/>
  <c r="D160" i="13"/>
  <c r="F160" i="13" s="1"/>
  <c r="E155" i="13"/>
  <c r="D152" i="13"/>
  <c r="F152" i="13" s="1"/>
  <c r="E147" i="13"/>
  <c r="D144" i="13"/>
  <c r="F144" i="13" s="1"/>
  <c r="E139" i="13"/>
  <c r="D136" i="13"/>
  <c r="F136" i="13" s="1"/>
  <c r="G136" i="13" s="1"/>
  <c r="E131" i="13"/>
  <c r="D128" i="13"/>
  <c r="F128" i="13" s="1"/>
  <c r="E123" i="13"/>
  <c r="D120" i="13"/>
  <c r="F120" i="13" s="1"/>
  <c r="E115" i="13"/>
  <c r="D112" i="13"/>
  <c r="F112" i="13" s="1"/>
  <c r="E107" i="13"/>
  <c r="D104" i="13"/>
  <c r="F104" i="13" s="1"/>
  <c r="E99" i="13"/>
  <c r="D96" i="13"/>
  <c r="F96" i="13" s="1"/>
  <c r="E91" i="13"/>
  <c r="D88" i="13"/>
  <c r="F88" i="13" s="1"/>
  <c r="E83" i="13"/>
  <c r="D80" i="13"/>
  <c r="E75" i="13"/>
  <c r="D72" i="13"/>
  <c r="F72" i="13" s="1"/>
  <c r="E67" i="13"/>
  <c r="D64" i="13"/>
  <c r="F64" i="13" s="1"/>
  <c r="E59" i="13"/>
  <c r="D56" i="13"/>
  <c r="F56" i="13" s="1"/>
  <c r="E51" i="13"/>
  <c r="D48" i="13"/>
  <c r="F48" i="13" s="1"/>
  <c r="E43" i="13"/>
  <c r="D40" i="13"/>
  <c r="F40" i="13" s="1"/>
  <c r="G40" i="13" s="1"/>
  <c r="E35" i="13"/>
  <c r="D32" i="13"/>
  <c r="F32" i="13" s="1"/>
  <c r="E27" i="13"/>
  <c r="D24" i="13"/>
  <c r="F24" i="13" s="1"/>
  <c r="E19" i="13"/>
  <c r="D16" i="13"/>
  <c r="F16" i="13" s="1"/>
  <c r="E11" i="13"/>
  <c r="D8" i="13"/>
  <c r="F8" i="13" s="1"/>
  <c r="G8" i="13" s="1"/>
  <c r="D173" i="13"/>
  <c r="F173" i="13" s="1"/>
  <c r="G173" i="13" s="1"/>
  <c r="D171" i="13"/>
  <c r="F171" i="13" s="1"/>
  <c r="E166" i="13"/>
  <c r="E164" i="13"/>
  <c r="D157" i="13"/>
  <c r="D155" i="13"/>
  <c r="F155" i="13" s="1"/>
  <c r="E150" i="13"/>
  <c r="E148" i="13"/>
  <c r="D141" i="13"/>
  <c r="F141" i="13" s="1"/>
  <c r="D139" i="13"/>
  <c r="F139" i="13" s="1"/>
  <c r="E134" i="13"/>
  <c r="E132" i="13"/>
  <c r="D125" i="13"/>
  <c r="D123" i="13"/>
  <c r="F123" i="13" s="1"/>
  <c r="E118" i="13"/>
  <c r="E116" i="13"/>
  <c r="D109" i="13"/>
  <c r="F109" i="13" s="1"/>
  <c r="D107" i="13"/>
  <c r="F107" i="13" s="1"/>
  <c r="E102" i="13"/>
  <c r="E100" i="13"/>
  <c r="D93" i="13"/>
  <c r="F93" i="13" s="1"/>
  <c r="D91" i="13"/>
  <c r="F91" i="13" s="1"/>
  <c r="E86" i="13"/>
  <c r="E84" i="13"/>
  <c r="D77" i="13"/>
  <c r="F77" i="13" s="1"/>
  <c r="G77" i="13" s="1"/>
  <c r="D75" i="13"/>
  <c r="F75" i="13" s="1"/>
  <c r="E70" i="13"/>
  <c r="E68" i="13"/>
  <c r="D61" i="13"/>
  <c r="F61" i="13" s="1"/>
  <c r="D59" i="13"/>
  <c r="F59" i="13" s="1"/>
  <c r="E54" i="13"/>
  <c r="E52" i="13"/>
  <c r="D45" i="13"/>
  <c r="F45" i="13" s="1"/>
  <c r="G45" i="13" s="1"/>
  <c r="D43" i="13"/>
  <c r="F43" i="13" s="1"/>
  <c r="E38" i="13"/>
  <c r="E36" i="13"/>
  <c r="D29" i="13"/>
  <c r="F29" i="13" s="1"/>
  <c r="D27" i="13"/>
  <c r="F27" i="13" s="1"/>
  <c r="E22" i="13"/>
  <c r="E20" i="13"/>
  <c r="D13" i="13"/>
  <c r="F13" i="13" s="1"/>
  <c r="D11" i="13"/>
  <c r="F11" i="13" s="1"/>
  <c r="E6" i="13"/>
  <c r="D166" i="13"/>
  <c r="F166" i="13" s="1"/>
  <c r="D150" i="13"/>
  <c r="F150" i="13" s="1"/>
  <c r="D134" i="13"/>
  <c r="F134" i="13" s="1"/>
  <c r="D118" i="13"/>
  <c r="F118" i="13" s="1"/>
  <c r="G118" i="13" s="1"/>
  <c r="D170" i="13"/>
  <c r="F170" i="13" s="1"/>
  <c r="G170" i="13" s="1"/>
  <c r="E165" i="13"/>
  <c r="D161" i="13"/>
  <c r="F161" i="13" s="1"/>
  <c r="D154" i="13"/>
  <c r="F154" i="13" s="1"/>
  <c r="E149" i="13"/>
  <c r="D145" i="13"/>
  <c r="F145" i="13" s="1"/>
  <c r="G145" i="13" s="1"/>
  <c r="D138" i="13"/>
  <c r="F138" i="13" s="1"/>
  <c r="G138" i="13" s="1"/>
  <c r="E133" i="13"/>
  <c r="D129" i="13"/>
  <c r="F129" i="13" s="1"/>
  <c r="G129" i="13" s="1"/>
  <c r="D122" i="13"/>
  <c r="F122" i="13" s="1"/>
  <c r="G122" i="13" s="1"/>
  <c r="E117" i="13"/>
  <c r="D113" i="13"/>
  <c r="F113" i="13" s="1"/>
  <c r="D106" i="13"/>
  <c r="F106" i="13" s="1"/>
  <c r="E101" i="13"/>
  <c r="D97" i="13"/>
  <c r="F97" i="13" s="1"/>
  <c r="D90" i="13"/>
  <c r="F90" i="13" s="1"/>
  <c r="E85" i="13"/>
  <c r="D81" i="13"/>
  <c r="F81" i="13" s="1"/>
  <c r="D74" i="13"/>
  <c r="E69" i="13"/>
  <c r="D65" i="13"/>
  <c r="F65" i="13" s="1"/>
  <c r="G65" i="13" s="1"/>
  <c r="D58" i="13"/>
  <c r="E53" i="13"/>
  <c r="D49" i="13"/>
  <c r="F49" i="13" s="1"/>
  <c r="G49" i="13" s="1"/>
  <c r="D42" i="13"/>
  <c r="F42" i="13" s="1"/>
  <c r="G42" i="13" s="1"/>
  <c r="E37" i="13"/>
  <c r="D33" i="13"/>
  <c r="F33" i="13" s="1"/>
  <c r="D26" i="13"/>
  <c r="F26" i="13" s="1"/>
  <c r="E21" i="13"/>
  <c r="D17" i="13"/>
  <c r="F17" i="13" s="1"/>
  <c r="G17" i="13" s="1"/>
  <c r="D10" i="13"/>
  <c r="D67" i="13"/>
  <c r="F67" i="13" s="1"/>
  <c r="D51" i="13"/>
  <c r="F51" i="13" s="1"/>
  <c r="G51" i="13" s="1"/>
  <c r="E46" i="13"/>
  <c r="D37" i="13"/>
  <c r="F37" i="13" s="1"/>
  <c r="E30" i="13"/>
  <c r="D21" i="13"/>
  <c r="F21" i="13" s="1"/>
  <c r="G21" i="13" s="1"/>
  <c r="E14" i="13"/>
  <c r="E12" i="13"/>
  <c r="E174" i="13"/>
  <c r="E172" i="13"/>
  <c r="D165" i="13"/>
  <c r="F165" i="13" s="1"/>
  <c r="D163" i="13"/>
  <c r="F163" i="13" s="1"/>
  <c r="E158" i="13"/>
  <c r="E156" i="13"/>
  <c r="D149" i="13"/>
  <c r="F149" i="13" s="1"/>
  <c r="D147" i="13"/>
  <c r="E142" i="13"/>
  <c r="E140" i="13"/>
  <c r="D133" i="13"/>
  <c r="F133" i="13" s="1"/>
  <c r="D131" i="13"/>
  <c r="F131" i="13" s="1"/>
  <c r="E126" i="13"/>
  <c r="E124" i="13"/>
  <c r="D117" i="13"/>
  <c r="F117" i="13" s="1"/>
  <c r="D115" i="13"/>
  <c r="F115" i="13" s="1"/>
  <c r="G115" i="13" s="1"/>
  <c r="E110" i="13"/>
  <c r="E108" i="13"/>
  <c r="D101" i="13"/>
  <c r="F101" i="13" s="1"/>
  <c r="G101" i="13" s="1"/>
  <c r="D99" i="13"/>
  <c r="F99" i="13" s="1"/>
  <c r="E94" i="13"/>
  <c r="E92" i="13"/>
  <c r="D85" i="13"/>
  <c r="F85" i="13" s="1"/>
  <c r="D83" i="13"/>
  <c r="F83" i="13" s="1"/>
  <c r="G83" i="13" s="1"/>
  <c r="E78" i="13"/>
  <c r="E76" i="13"/>
  <c r="D69" i="13"/>
  <c r="F69" i="13" s="1"/>
  <c r="E62" i="13"/>
  <c r="E60" i="13"/>
  <c r="D53" i="13"/>
  <c r="F53" i="13" s="1"/>
  <c r="E44" i="13"/>
  <c r="D35" i="13"/>
  <c r="F35" i="13" s="1"/>
  <c r="E28" i="13"/>
  <c r="D19" i="13"/>
  <c r="F19" i="13" s="1"/>
  <c r="G19" i="13" s="1"/>
  <c r="D174" i="13"/>
  <c r="F174" i="13" s="1"/>
  <c r="D158" i="13"/>
  <c r="F158" i="13" s="1"/>
  <c r="D142" i="13"/>
  <c r="D126" i="13"/>
  <c r="F126" i="13" s="1"/>
  <c r="D110" i="13"/>
  <c r="F110" i="13" s="1"/>
  <c r="D94" i="13"/>
  <c r="D78" i="13"/>
  <c r="F78" i="13" s="1"/>
  <c r="D62" i="13"/>
  <c r="F62" i="13" s="1"/>
  <c r="D46" i="13"/>
  <c r="F46" i="13" s="1"/>
  <c r="G46" i="13" s="1"/>
  <c r="D30" i="13"/>
  <c r="F30" i="13" s="1"/>
  <c r="D14" i="13"/>
  <c r="F14" i="13" s="1"/>
  <c r="E5" i="13"/>
  <c r="E73" i="13"/>
  <c r="E57" i="13"/>
  <c r="E25" i="13"/>
  <c r="E16" i="13"/>
  <c r="E9" i="13"/>
  <c r="D5" i="13"/>
  <c r="F5" i="13" s="1"/>
  <c r="E169" i="13"/>
  <c r="E160" i="13"/>
  <c r="E153" i="13"/>
  <c r="E144" i="13"/>
  <c r="E137" i="13"/>
  <c r="E128" i="13"/>
  <c r="E121" i="13"/>
  <c r="E112" i="13"/>
  <c r="E105" i="13"/>
  <c r="E96" i="13"/>
  <c r="E89" i="13"/>
  <c r="E80" i="13"/>
  <c r="E64" i="13"/>
  <c r="E48" i="13"/>
  <c r="E41" i="13"/>
  <c r="E32" i="13"/>
  <c r="D25" i="13"/>
  <c r="F25" i="13" s="1"/>
  <c r="E29" i="13"/>
  <c r="D38" i="13"/>
  <c r="F38" i="13" s="1"/>
  <c r="D50" i="13"/>
  <c r="F50" i="13" s="1"/>
  <c r="E104" i="13"/>
  <c r="E113" i="13"/>
  <c r="F127" i="13"/>
  <c r="G127" i="13" s="1"/>
  <c r="D146" i="13"/>
  <c r="F146" i="13" s="1"/>
  <c r="G146" i="13" s="1"/>
  <c r="F151" i="13"/>
  <c r="D9" i="13"/>
  <c r="F9" i="13" s="1"/>
  <c r="E13" i="13"/>
  <c r="D22" i="13"/>
  <c r="F22" i="13" s="1"/>
  <c r="D34" i="13"/>
  <c r="F34" i="13" s="1"/>
  <c r="F55" i="13"/>
  <c r="F80" i="13"/>
  <c r="E88" i="13"/>
  <c r="D137" i="13"/>
  <c r="F137" i="13" s="1"/>
  <c r="E141" i="13"/>
  <c r="F147" i="13"/>
  <c r="G147" i="13" s="1"/>
  <c r="E161" i="13"/>
  <c r="F94" i="13"/>
  <c r="F142" i="13"/>
  <c r="F10" i="13"/>
  <c r="G10" i="13" s="1"/>
  <c r="F74" i="13"/>
  <c r="G74" i="13" s="1"/>
  <c r="F58" i="13"/>
  <c r="F125" i="13"/>
  <c r="G125" i="13" s="1"/>
  <c r="F157" i="13"/>
  <c r="F18" i="13"/>
  <c r="G18" i="13" s="1"/>
  <c r="F66" i="13"/>
  <c r="G66" i="13" s="1"/>
  <c r="F162" i="13"/>
  <c r="G15" i="15" l="1"/>
  <c r="G80" i="15"/>
  <c r="G61" i="15"/>
  <c r="G60" i="15"/>
  <c r="G29" i="15"/>
  <c r="G28" i="15"/>
  <c r="G74" i="15"/>
  <c r="G106" i="15"/>
  <c r="G138" i="15"/>
  <c r="G170" i="15"/>
  <c r="G71" i="15"/>
  <c r="G135" i="15"/>
  <c r="G132" i="15"/>
  <c r="G21" i="15"/>
  <c r="G73" i="15"/>
  <c r="G19" i="15"/>
  <c r="G31" i="15"/>
  <c r="G49" i="15"/>
  <c r="G147" i="15"/>
  <c r="G126" i="15"/>
  <c r="G37" i="15"/>
  <c r="G82" i="15"/>
  <c r="G114" i="15"/>
  <c r="G146" i="15"/>
  <c r="G7" i="15"/>
  <c r="G119" i="15"/>
  <c r="G136" i="15"/>
  <c r="G83" i="15"/>
  <c r="G69" i="15"/>
  <c r="G5" i="15"/>
  <c r="G90" i="15"/>
  <c r="G122" i="15"/>
  <c r="G154" i="15"/>
  <c r="G111" i="15"/>
  <c r="G175" i="15"/>
  <c r="G33" i="15"/>
  <c r="G38" i="15"/>
  <c r="G162" i="14"/>
  <c r="G144" i="14"/>
  <c r="G86" i="14"/>
  <c r="G34" i="14"/>
  <c r="G98" i="14"/>
  <c r="G48" i="14"/>
  <c r="G14" i="14"/>
  <c r="G78" i="14"/>
  <c r="G142" i="14"/>
  <c r="G117" i="14"/>
  <c r="G53" i="14"/>
  <c r="G61" i="14"/>
  <c r="G10" i="14"/>
  <c r="G87" i="14"/>
  <c r="G24" i="14"/>
  <c r="G88" i="14"/>
  <c r="G152" i="14"/>
  <c r="G139" i="14"/>
  <c r="G75" i="14"/>
  <c r="G11" i="14"/>
  <c r="G55" i="14"/>
  <c r="G122" i="14"/>
  <c r="G166" i="14"/>
  <c r="G6" i="14"/>
  <c r="G97" i="13"/>
  <c r="G85" i="13"/>
  <c r="G93" i="13"/>
  <c r="G80" i="13"/>
  <c r="G119" i="13"/>
  <c r="G53" i="13"/>
  <c r="G106" i="13"/>
  <c r="G94" i="13"/>
  <c r="G72" i="13"/>
  <c r="G90" i="13"/>
  <c r="G58" i="13"/>
  <c r="G15" i="13"/>
  <c r="G175" i="13"/>
  <c r="G26" i="13"/>
  <c r="G154" i="13"/>
  <c r="G30" i="13"/>
  <c r="G158" i="13"/>
  <c r="G131" i="13"/>
  <c r="G163" i="13"/>
  <c r="G134" i="15"/>
  <c r="G14" i="15"/>
  <c r="G55" i="15"/>
  <c r="G40" i="15"/>
  <c r="G45" i="15"/>
  <c r="G124" i="15"/>
  <c r="G112" i="15"/>
  <c r="G67" i="15"/>
  <c r="G87" i="15"/>
  <c r="G151" i="15"/>
  <c r="G169" i="15"/>
  <c r="G117" i="15"/>
  <c r="G11" i="15"/>
  <c r="G16" i="15"/>
  <c r="G144" i="15"/>
  <c r="G163" i="15"/>
  <c r="G88" i="15"/>
  <c r="G120" i="15"/>
  <c r="G152" i="15"/>
  <c r="G109" i="15"/>
  <c r="G50" i="15"/>
  <c r="G59" i="15"/>
  <c r="G35" i="15"/>
  <c r="G158" i="15"/>
  <c r="G174" i="15"/>
  <c r="G104" i="15"/>
  <c r="G63" i="15"/>
  <c r="G127" i="15"/>
  <c r="G17" i="15"/>
  <c r="G113" i="15"/>
  <c r="G54" i="15"/>
  <c r="G92" i="15"/>
  <c r="G131" i="15"/>
  <c r="G43" i="15"/>
  <c r="G48" i="15"/>
  <c r="G99" i="15"/>
  <c r="G32" i="15"/>
  <c r="G64" i="15"/>
  <c r="G96" i="15"/>
  <c r="G128" i="15"/>
  <c r="G160" i="15"/>
  <c r="G157" i="15"/>
  <c r="G93" i="15"/>
  <c r="G116" i="15"/>
  <c r="G140" i="15"/>
  <c r="G58" i="15"/>
  <c r="G101" i="15"/>
  <c r="G25" i="15"/>
  <c r="G57" i="15"/>
  <c r="G149" i="15"/>
  <c r="G85" i="15"/>
  <c r="G34" i="15"/>
  <c r="G52" i="15"/>
  <c r="G22" i="15"/>
  <c r="G76" i="15"/>
  <c r="G148" i="15"/>
  <c r="G12" i="15"/>
  <c r="G39" i="15"/>
  <c r="G171" i="15"/>
  <c r="G139" i="15"/>
  <c r="G107" i="15"/>
  <c r="G75" i="15"/>
  <c r="G141" i="15"/>
  <c r="G77" i="15"/>
  <c r="G26" i="15"/>
  <c r="G84" i="15"/>
  <c r="G156" i="15"/>
  <c r="G108" i="15"/>
  <c r="G30" i="15"/>
  <c r="G168" i="15"/>
  <c r="G97" i="15"/>
  <c r="G133" i="15"/>
  <c r="G20" i="15"/>
  <c r="G164" i="15"/>
  <c r="G42" i="15"/>
  <c r="G172" i="15"/>
  <c r="G23" i="15"/>
  <c r="G125" i="15"/>
  <c r="G18" i="15"/>
  <c r="G6" i="15"/>
  <c r="G27" i="15"/>
  <c r="G68" i="15"/>
  <c r="G9" i="15"/>
  <c r="G41" i="15"/>
  <c r="G13" i="15"/>
  <c r="G36" i="15"/>
  <c r="G100" i="15"/>
  <c r="G31" i="14"/>
  <c r="G56" i="14"/>
  <c r="G118" i="14"/>
  <c r="G18" i="14"/>
  <c r="G50" i="14"/>
  <c r="G82" i="14"/>
  <c r="G114" i="14"/>
  <c r="G146" i="14"/>
  <c r="G151" i="14"/>
  <c r="G54" i="14"/>
  <c r="G5" i="14"/>
  <c r="G126" i="14"/>
  <c r="G39" i="14"/>
  <c r="G62" i="14"/>
  <c r="G95" i="14"/>
  <c r="G26" i="14"/>
  <c r="G20" i="14"/>
  <c r="G116" i="14"/>
  <c r="G131" i="14"/>
  <c r="G135" i="14"/>
  <c r="G40" i="14"/>
  <c r="G104" i="14"/>
  <c r="G102" i="14"/>
  <c r="G119" i="14"/>
  <c r="G23" i="14"/>
  <c r="G127" i="14"/>
  <c r="G22" i="14"/>
  <c r="G90" i="14"/>
  <c r="G66" i="14"/>
  <c r="G130" i="14"/>
  <c r="G17" i="14"/>
  <c r="G49" i="14"/>
  <c r="G81" i="14"/>
  <c r="G113" i="14"/>
  <c r="G145" i="14"/>
  <c r="G69" i="14"/>
  <c r="G77" i="14"/>
  <c r="G124" i="14"/>
  <c r="G141" i="14"/>
  <c r="G149" i="14"/>
  <c r="G21" i="14"/>
  <c r="G171" i="14"/>
  <c r="G43" i="14"/>
  <c r="G35" i="14"/>
  <c r="G45" i="14"/>
  <c r="G19" i="14"/>
  <c r="G109" i="14"/>
  <c r="G91" i="14"/>
  <c r="G156" i="14"/>
  <c r="G28" i="14"/>
  <c r="G51" i="14"/>
  <c r="G101" i="14"/>
  <c r="G123" i="14"/>
  <c r="G125" i="14"/>
  <c r="G173" i="14"/>
  <c r="G71" i="14"/>
  <c r="G103" i="14"/>
  <c r="G30" i="14"/>
  <c r="G96" i="14"/>
  <c r="G60" i="14"/>
  <c r="G133" i="14"/>
  <c r="G115" i="14"/>
  <c r="G155" i="14"/>
  <c r="G27" i="14"/>
  <c r="G163" i="14"/>
  <c r="G174" i="14"/>
  <c r="G167" i="14"/>
  <c r="G29" i="14"/>
  <c r="G7" i="14"/>
  <c r="G46" i="14"/>
  <c r="G85" i="14"/>
  <c r="G83" i="14"/>
  <c r="G107" i="14"/>
  <c r="G147" i="14"/>
  <c r="G157" i="14"/>
  <c r="G92" i="14"/>
  <c r="G160" i="14"/>
  <c r="G25" i="14"/>
  <c r="G57" i="14"/>
  <c r="G89" i="14"/>
  <c r="G121" i="14"/>
  <c r="G153" i="14"/>
  <c r="G165" i="14"/>
  <c r="G37" i="14"/>
  <c r="G59" i="14"/>
  <c r="G13" i="14"/>
  <c r="G62" i="13"/>
  <c r="G109" i="13"/>
  <c r="G114" i="13"/>
  <c r="G50" i="13"/>
  <c r="G39" i="13"/>
  <c r="G103" i="13"/>
  <c r="G135" i="13"/>
  <c r="G167" i="13"/>
  <c r="G38" i="13"/>
  <c r="G117" i="13"/>
  <c r="G149" i="13"/>
  <c r="G61" i="13"/>
  <c r="G166" i="13"/>
  <c r="G56" i="13"/>
  <c r="G152" i="13"/>
  <c r="G82" i="13"/>
  <c r="G157" i="13"/>
  <c r="G14" i="13"/>
  <c r="G168" i="13"/>
  <c r="G31" i="13"/>
  <c r="G63" i="13"/>
  <c r="G95" i="13"/>
  <c r="G159" i="13"/>
  <c r="G9" i="13"/>
  <c r="G134" i="13"/>
  <c r="G27" i="13"/>
  <c r="G59" i="13"/>
  <c r="G91" i="13"/>
  <c r="G123" i="13"/>
  <c r="G155" i="13"/>
  <c r="G7" i="13"/>
  <c r="G71" i="13"/>
  <c r="G16" i="13"/>
  <c r="G48" i="13"/>
  <c r="G112" i="13"/>
  <c r="G144" i="13"/>
  <c r="G60" i="13"/>
  <c r="G102" i="13"/>
  <c r="G110" i="13"/>
  <c r="G150" i="13"/>
  <c r="G29" i="13"/>
  <c r="G162" i="13"/>
  <c r="G126" i="13"/>
  <c r="G130" i="13"/>
  <c r="G70" i="13"/>
  <c r="G78" i="13"/>
  <c r="G151" i="13"/>
  <c r="G55" i="13"/>
  <c r="G133" i="13"/>
  <c r="G34" i="13"/>
  <c r="G5" i="13"/>
  <c r="G33" i="13"/>
  <c r="G11" i="13"/>
  <c r="G43" i="13"/>
  <c r="G75" i="13"/>
  <c r="G107" i="13"/>
  <c r="G139" i="13"/>
  <c r="G171" i="13"/>
  <c r="G64" i="13"/>
  <c r="G160" i="13"/>
  <c r="G23" i="13"/>
  <c r="G87" i="13"/>
  <c r="G22" i="13"/>
  <c r="G81" i="13"/>
  <c r="G13" i="13"/>
  <c r="G141" i="13"/>
  <c r="G98" i="13"/>
  <c r="G104" i="13"/>
  <c r="G28" i="13"/>
  <c r="G92" i="13"/>
  <c r="G124" i="13"/>
  <c r="G156" i="13"/>
  <c r="G41" i="13"/>
  <c r="G89" i="13"/>
  <c r="G79" i="13"/>
  <c r="G165" i="13"/>
  <c r="G37" i="13"/>
  <c r="G142" i="13"/>
  <c r="G73" i="13"/>
  <c r="G86" i="13"/>
  <c r="G25" i="13"/>
  <c r="G24" i="13"/>
  <c r="G88" i="13"/>
  <c r="G120" i="13"/>
  <c r="G47" i="13"/>
  <c r="G36" i="13"/>
  <c r="G68" i="13"/>
  <c r="G100" i="13"/>
  <c r="G132" i="13"/>
  <c r="G164" i="13"/>
  <c r="G105" i="13"/>
  <c r="G137" i="13"/>
  <c r="G96" i="13"/>
  <c r="G57" i="13"/>
  <c r="G153" i="13"/>
  <c r="G99" i="13"/>
  <c r="G113" i="13"/>
  <c r="G128" i="13"/>
  <c r="G6" i="13"/>
  <c r="G161" i="13"/>
  <c r="G12" i="13"/>
  <c r="G44" i="13"/>
  <c r="G76" i="13"/>
  <c r="G108" i="13"/>
  <c r="G140" i="13"/>
  <c r="G172" i="13"/>
  <c r="G54" i="13"/>
  <c r="G121" i="13"/>
  <c r="G111" i="13"/>
  <c r="G32" i="13"/>
  <c r="G169" i="13"/>
  <c r="G20" i="13"/>
  <c r="G52" i="13"/>
  <c r="G84" i="13"/>
  <c r="G116" i="13"/>
  <c r="G148" i="13"/>
  <c r="G143" i="13"/>
  <c r="G69" i="13"/>
  <c r="G174" i="13"/>
  <c r="G35" i="13"/>
  <c r="G67" i="13"/>
  <c r="C174" i="12" l="1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B170" i="3"/>
  <c r="C170" i="3" s="1"/>
  <c r="E135" i="3"/>
  <c r="E151" i="3"/>
  <c r="E159" i="3"/>
  <c r="E167" i="3"/>
  <c r="E4" i="3"/>
  <c r="D12" i="3"/>
  <c r="F12" i="3" s="1"/>
  <c r="D20" i="3"/>
  <c r="F20" i="3" s="1"/>
  <c r="D28" i="3"/>
  <c r="D36" i="3"/>
  <c r="F36" i="3" s="1"/>
  <c r="D44" i="3"/>
  <c r="F44" i="3" s="1"/>
  <c r="D52" i="3"/>
  <c r="F52" i="3" s="1"/>
  <c r="D60" i="3"/>
  <c r="F60" i="3" s="1"/>
  <c r="D68" i="3"/>
  <c r="F68" i="3" s="1"/>
  <c r="D76" i="3"/>
  <c r="F76" i="3" s="1"/>
  <c r="D84" i="3"/>
  <c r="F84" i="3" s="1"/>
  <c r="D92" i="3"/>
  <c r="F92" i="3" s="1"/>
  <c r="D100" i="3"/>
  <c r="F100" i="3" s="1"/>
  <c r="D108" i="3"/>
  <c r="F108" i="3" s="1"/>
  <c r="D116" i="3"/>
  <c r="F116" i="3" s="1"/>
  <c r="D124" i="3"/>
  <c r="F124" i="3" s="1"/>
  <c r="D132" i="3"/>
  <c r="F132" i="3" s="1"/>
  <c r="D140" i="3"/>
  <c r="F140" i="3" s="1"/>
  <c r="D148" i="3"/>
  <c r="F148" i="3" s="1"/>
  <c r="D156" i="3"/>
  <c r="F156" i="3" s="1"/>
  <c r="D164" i="3"/>
  <c r="F164" i="3" s="1"/>
  <c r="D172" i="3"/>
  <c r="F172" i="3" s="1"/>
  <c r="O174" i="3"/>
  <c r="C174" i="3"/>
  <c r="C175" i="7"/>
  <c r="C174" i="8"/>
  <c r="C167" i="8"/>
  <c r="C168" i="8"/>
  <c r="C169" i="8"/>
  <c r="C170" i="8"/>
  <c r="C171" i="8"/>
  <c r="C172" i="8"/>
  <c r="C173" i="8"/>
  <c r="O168" i="7"/>
  <c r="O169" i="7"/>
  <c r="O170" i="7"/>
  <c r="O171" i="7"/>
  <c r="O172" i="7"/>
  <c r="O173" i="7"/>
  <c r="O174" i="7"/>
  <c r="O175" i="7"/>
  <c r="C168" i="7"/>
  <c r="C169" i="7"/>
  <c r="C170" i="7"/>
  <c r="C171" i="7"/>
  <c r="C172" i="7"/>
  <c r="C173" i="7"/>
  <c r="C174" i="7"/>
  <c r="O167" i="3"/>
  <c r="O168" i="3"/>
  <c r="O169" i="3"/>
  <c r="O170" i="3"/>
  <c r="O171" i="3"/>
  <c r="O172" i="3"/>
  <c r="O173" i="3"/>
  <c r="F28" i="3"/>
  <c r="C167" i="3"/>
  <c r="C168" i="3"/>
  <c r="C169" i="3"/>
  <c r="C171" i="3"/>
  <c r="C172" i="3"/>
  <c r="C173" i="3"/>
  <c r="E51" i="12" l="1"/>
  <c r="D175" i="12"/>
  <c r="F175" i="12" s="1"/>
  <c r="E175" i="12"/>
  <c r="D73" i="12"/>
  <c r="D9" i="12"/>
  <c r="D120" i="12"/>
  <c r="F120" i="12" s="1"/>
  <c r="E19" i="12"/>
  <c r="E35" i="12"/>
  <c r="E67" i="12"/>
  <c r="E83" i="12"/>
  <c r="D113" i="12"/>
  <c r="F113" i="12" s="1"/>
  <c r="D25" i="12"/>
  <c r="D89" i="12"/>
  <c r="D165" i="12"/>
  <c r="F165" i="12" s="1"/>
  <c r="E15" i="12"/>
  <c r="E47" i="12"/>
  <c r="E95" i="12"/>
  <c r="D21" i="12"/>
  <c r="D53" i="12"/>
  <c r="F53" i="12" s="1"/>
  <c r="E59" i="12"/>
  <c r="D17" i="12"/>
  <c r="D33" i="12"/>
  <c r="F33" i="12" s="1"/>
  <c r="D49" i="12"/>
  <c r="F49" i="12" s="1"/>
  <c r="D65" i="12"/>
  <c r="F65" i="12" s="1"/>
  <c r="D81" i="12"/>
  <c r="F81" i="12" s="1"/>
  <c r="D97" i="12"/>
  <c r="D104" i="12"/>
  <c r="F104" i="12" s="1"/>
  <c r="E29" i="12"/>
  <c r="D41" i="12"/>
  <c r="D57" i="12"/>
  <c r="F57" i="12" s="1"/>
  <c r="E31" i="12"/>
  <c r="E63" i="12"/>
  <c r="E108" i="12"/>
  <c r="D161" i="12"/>
  <c r="D5" i="12"/>
  <c r="F5" i="12" s="1"/>
  <c r="D37" i="12"/>
  <c r="D69" i="12"/>
  <c r="D85" i="12"/>
  <c r="F85" i="12" s="1"/>
  <c r="E11" i="12"/>
  <c r="E27" i="12"/>
  <c r="E43" i="12"/>
  <c r="E91" i="12"/>
  <c r="E7" i="12"/>
  <c r="E23" i="12"/>
  <c r="E39" i="12"/>
  <c r="E55" i="12"/>
  <c r="E71" i="12"/>
  <c r="E87" i="12"/>
  <c r="E79" i="12"/>
  <c r="E75" i="12"/>
  <c r="D13" i="12"/>
  <c r="F13" i="12" s="1"/>
  <c r="D29" i="12"/>
  <c r="D45" i="12"/>
  <c r="D61" i="12"/>
  <c r="F61" i="12" s="1"/>
  <c r="D77" i="12"/>
  <c r="F77" i="12" s="1"/>
  <c r="G77" i="12" s="1"/>
  <c r="D93" i="12"/>
  <c r="F93" i="12" s="1"/>
  <c r="G93" i="12" s="1"/>
  <c r="D129" i="12"/>
  <c r="E13" i="12"/>
  <c r="E33" i="12"/>
  <c r="E41" i="12"/>
  <c r="E53" i="12"/>
  <c r="E57" i="12"/>
  <c r="E61" i="12"/>
  <c r="E65" i="12"/>
  <c r="E69" i="12"/>
  <c r="E73" i="12"/>
  <c r="E77" i="12"/>
  <c r="E81" i="12"/>
  <c r="E85" i="12"/>
  <c r="E89" i="12"/>
  <c r="E93" i="12"/>
  <c r="E104" i="12"/>
  <c r="E111" i="12"/>
  <c r="E120" i="12"/>
  <c r="E127" i="12"/>
  <c r="E136" i="12"/>
  <c r="E143" i="12"/>
  <c r="E152" i="12"/>
  <c r="E159" i="12"/>
  <c r="E168" i="12"/>
  <c r="D109" i="12"/>
  <c r="F109" i="12" s="1"/>
  <c r="D125" i="12"/>
  <c r="F125" i="12" s="1"/>
  <c r="D141" i="12"/>
  <c r="F141" i="12" s="1"/>
  <c r="D157" i="12"/>
  <c r="F157" i="12" s="1"/>
  <c r="D173" i="12"/>
  <c r="F173" i="12" s="1"/>
  <c r="E37" i="12"/>
  <c r="D98" i="12"/>
  <c r="F98" i="12" s="1"/>
  <c r="D100" i="12"/>
  <c r="F100" i="12" s="1"/>
  <c r="E107" i="12"/>
  <c r="E109" i="12"/>
  <c r="D114" i="12"/>
  <c r="F114" i="12" s="1"/>
  <c r="D116" i="12"/>
  <c r="F116" i="12" s="1"/>
  <c r="E123" i="12"/>
  <c r="E125" i="12"/>
  <c r="D130" i="12"/>
  <c r="F130" i="12" s="1"/>
  <c r="D132" i="12"/>
  <c r="F132" i="12" s="1"/>
  <c r="E139" i="12"/>
  <c r="E141" i="12"/>
  <c r="D146" i="12"/>
  <c r="F146" i="12" s="1"/>
  <c r="D148" i="12"/>
  <c r="F148" i="12" s="1"/>
  <c r="E155" i="12"/>
  <c r="E157" i="12"/>
  <c r="D162" i="12"/>
  <c r="F162" i="12" s="1"/>
  <c r="D164" i="12"/>
  <c r="F164" i="12" s="1"/>
  <c r="E171" i="12"/>
  <c r="E173" i="12"/>
  <c r="E124" i="12"/>
  <c r="D136" i="12"/>
  <c r="F136" i="12" s="1"/>
  <c r="E156" i="12"/>
  <c r="E17" i="12"/>
  <c r="E49" i="12"/>
  <c r="D6" i="12"/>
  <c r="F6" i="12" s="1"/>
  <c r="D8" i="12"/>
  <c r="F8" i="12" s="1"/>
  <c r="D10" i="12"/>
  <c r="F10" i="12" s="1"/>
  <c r="D12" i="12"/>
  <c r="F12" i="12" s="1"/>
  <c r="D14" i="12"/>
  <c r="F14" i="12" s="1"/>
  <c r="D16" i="12"/>
  <c r="F16" i="12" s="1"/>
  <c r="D18" i="12"/>
  <c r="F18" i="12" s="1"/>
  <c r="D20" i="12"/>
  <c r="F20" i="12" s="1"/>
  <c r="D22" i="12"/>
  <c r="F22" i="12" s="1"/>
  <c r="D24" i="12"/>
  <c r="F24" i="12" s="1"/>
  <c r="D26" i="12"/>
  <c r="F26" i="12" s="1"/>
  <c r="D28" i="12"/>
  <c r="F28" i="12" s="1"/>
  <c r="D30" i="12"/>
  <c r="F30" i="12" s="1"/>
  <c r="D32" i="12"/>
  <c r="F32" i="12" s="1"/>
  <c r="D34" i="12"/>
  <c r="F34" i="12" s="1"/>
  <c r="D36" i="12"/>
  <c r="F36" i="12" s="1"/>
  <c r="D38" i="12"/>
  <c r="F38" i="12" s="1"/>
  <c r="D40" i="12"/>
  <c r="F40" i="12" s="1"/>
  <c r="D42" i="12"/>
  <c r="F42" i="12" s="1"/>
  <c r="D44" i="12"/>
  <c r="F44" i="12" s="1"/>
  <c r="D46" i="12"/>
  <c r="F46" i="12" s="1"/>
  <c r="D48" i="12"/>
  <c r="F48" i="12" s="1"/>
  <c r="D50" i="12"/>
  <c r="F50" i="12" s="1"/>
  <c r="D52" i="12"/>
  <c r="F52" i="12" s="1"/>
  <c r="D54" i="12"/>
  <c r="F54" i="12" s="1"/>
  <c r="D56" i="12"/>
  <c r="F56" i="12" s="1"/>
  <c r="D58" i="12"/>
  <c r="F58" i="12" s="1"/>
  <c r="D60" i="12"/>
  <c r="F60" i="12" s="1"/>
  <c r="D62" i="12"/>
  <c r="F62" i="12" s="1"/>
  <c r="D64" i="12"/>
  <c r="F64" i="12" s="1"/>
  <c r="D66" i="12"/>
  <c r="F66" i="12" s="1"/>
  <c r="D68" i="12"/>
  <c r="F68" i="12" s="1"/>
  <c r="D70" i="12"/>
  <c r="F70" i="12" s="1"/>
  <c r="D72" i="12"/>
  <c r="F72" i="12" s="1"/>
  <c r="D74" i="12"/>
  <c r="F74" i="12" s="1"/>
  <c r="D76" i="12"/>
  <c r="F76" i="12" s="1"/>
  <c r="D78" i="12"/>
  <c r="F78" i="12" s="1"/>
  <c r="D80" i="12"/>
  <c r="F80" i="12" s="1"/>
  <c r="D82" i="12"/>
  <c r="F82" i="12" s="1"/>
  <c r="D84" i="12"/>
  <c r="F84" i="12" s="1"/>
  <c r="D86" i="12"/>
  <c r="F86" i="12" s="1"/>
  <c r="D88" i="12"/>
  <c r="F88" i="12" s="1"/>
  <c r="D90" i="12"/>
  <c r="F90" i="12" s="1"/>
  <c r="D92" i="12"/>
  <c r="F92" i="12" s="1"/>
  <c r="D94" i="12"/>
  <c r="F94" i="12" s="1"/>
  <c r="D96" i="12"/>
  <c r="F96" i="12" s="1"/>
  <c r="E100" i="12"/>
  <c r="D105" i="12"/>
  <c r="F105" i="12" s="1"/>
  <c r="D112" i="12"/>
  <c r="F112" i="12" s="1"/>
  <c r="E116" i="12"/>
  <c r="D121" i="12"/>
  <c r="F121" i="12" s="1"/>
  <c r="D128" i="12"/>
  <c r="F128" i="12" s="1"/>
  <c r="E132" i="12"/>
  <c r="D137" i="12"/>
  <c r="F137" i="12" s="1"/>
  <c r="D144" i="12"/>
  <c r="F144" i="12" s="1"/>
  <c r="E148" i="12"/>
  <c r="D153" i="12"/>
  <c r="F153" i="12" s="1"/>
  <c r="D160" i="12"/>
  <c r="F160" i="12" s="1"/>
  <c r="E164" i="12"/>
  <c r="D169" i="12"/>
  <c r="F169" i="12" s="1"/>
  <c r="D145" i="12"/>
  <c r="E172" i="12"/>
  <c r="E21" i="12"/>
  <c r="E45" i="12"/>
  <c r="E8" i="12"/>
  <c r="E12" i="12"/>
  <c r="E16" i="12"/>
  <c r="E20" i="12"/>
  <c r="E24" i="12"/>
  <c r="E28" i="12"/>
  <c r="E32" i="12"/>
  <c r="E36" i="12"/>
  <c r="E40" i="12"/>
  <c r="E44" i="12"/>
  <c r="E48" i="12"/>
  <c r="E52" i="12"/>
  <c r="E56" i="12"/>
  <c r="E60" i="12"/>
  <c r="E64" i="12"/>
  <c r="E68" i="12"/>
  <c r="E72" i="12"/>
  <c r="E76" i="12"/>
  <c r="E80" i="12"/>
  <c r="E84" i="12"/>
  <c r="E88" i="12"/>
  <c r="E92" i="12"/>
  <c r="E96" i="12"/>
  <c r="E103" i="12"/>
  <c r="E112" i="12"/>
  <c r="E119" i="12"/>
  <c r="E128" i="12"/>
  <c r="E135" i="12"/>
  <c r="E144" i="12"/>
  <c r="E151" i="12"/>
  <c r="E160" i="12"/>
  <c r="E167" i="12"/>
  <c r="E140" i="12"/>
  <c r="E5" i="12"/>
  <c r="E25" i="12"/>
  <c r="D101" i="12"/>
  <c r="F101" i="12" s="1"/>
  <c r="D117" i="12"/>
  <c r="F117" i="12" s="1"/>
  <c r="D133" i="12"/>
  <c r="F133" i="12" s="1"/>
  <c r="D149" i="12"/>
  <c r="F149" i="12" s="1"/>
  <c r="D152" i="12"/>
  <c r="F152" i="12" s="1"/>
  <c r="D168" i="12"/>
  <c r="F168" i="12" s="1"/>
  <c r="E9" i="12"/>
  <c r="E174" i="12"/>
  <c r="D171" i="12"/>
  <c r="F171" i="12" s="1"/>
  <c r="E166" i="12"/>
  <c r="D163" i="12"/>
  <c r="F163" i="12" s="1"/>
  <c r="E158" i="12"/>
  <c r="D155" i="12"/>
  <c r="F155" i="12" s="1"/>
  <c r="G155" i="12" s="1"/>
  <c r="E150" i="12"/>
  <c r="D147" i="12"/>
  <c r="F147" i="12" s="1"/>
  <c r="E142" i="12"/>
  <c r="D139" i="12"/>
  <c r="F139" i="12" s="1"/>
  <c r="E134" i="12"/>
  <c r="D131" i="12"/>
  <c r="F131" i="12" s="1"/>
  <c r="E126" i="12"/>
  <c r="D123" i="12"/>
  <c r="F123" i="12" s="1"/>
  <c r="E118" i="12"/>
  <c r="D115" i="12"/>
  <c r="F115" i="12" s="1"/>
  <c r="E110" i="12"/>
  <c r="D107" i="12"/>
  <c r="F107" i="12" s="1"/>
  <c r="G107" i="12" s="1"/>
  <c r="E102" i="12"/>
  <c r="D99" i="12"/>
  <c r="F99" i="12" s="1"/>
  <c r="E94" i="12"/>
  <c r="D91" i="12"/>
  <c r="F91" i="12" s="1"/>
  <c r="G91" i="12" s="1"/>
  <c r="E86" i="12"/>
  <c r="D83" i="12"/>
  <c r="F83" i="12" s="1"/>
  <c r="G83" i="12" s="1"/>
  <c r="E78" i="12"/>
  <c r="D75" i="12"/>
  <c r="F75" i="12" s="1"/>
  <c r="G75" i="12" s="1"/>
  <c r="E70" i="12"/>
  <c r="D67" i="12"/>
  <c r="F67" i="12" s="1"/>
  <c r="E62" i="12"/>
  <c r="D59" i="12"/>
  <c r="F59" i="12" s="1"/>
  <c r="G59" i="12" s="1"/>
  <c r="E54" i="12"/>
  <c r="D51" i="12"/>
  <c r="F51" i="12" s="1"/>
  <c r="G51" i="12" s="1"/>
  <c r="E46" i="12"/>
  <c r="D43" i="12"/>
  <c r="F43" i="12" s="1"/>
  <c r="E38" i="12"/>
  <c r="D35" i="12"/>
  <c r="F35" i="12" s="1"/>
  <c r="E30" i="12"/>
  <c r="D27" i="12"/>
  <c r="F27" i="12" s="1"/>
  <c r="E22" i="12"/>
  <c r="D19" i="12"/>
  <c r="F19" i="12" s="1"/>
  <c r="E14" i="12"/>
  <c r="D11" i="12"/>
  <c r="F11" i="12" s="1"/>
  <c r="E6" i="12"/>
  <c r="D174" i="12"/>
  <c r="F174" i="12" s="1"/>
  <c r="G174" i="12" s="1"/>
  <c r="E169" i="12"/>
  <c r="D166" i="12"/>
  <c r="F166" i="12" s="1"/>
  <c r="G166" i="12" s="1"/>
  <c r="E161" i="12"/>
  <c r="D158" i="12"/>
  <c r="F158" i="12" s="1"/>
  <c r="E153" i="12"/>
  <c r="D150" i="12"/>
  <c r="F150" i="12" s="1"/>
  <c r="E145" i="12"/>
  <c r="D142" i="12"/>
  <c r="F142" i="12" s="1"/>
  <c r="G142" i="12" s="1"/>
  <c r="E137" i="12"/>
  <c r="D134" i="12"/>
  <c r="F134" i="12" s="1"/>
  <c r="G134" i="12" s="1"/>
  <c r="E129" i="12"/>
  <c r="D126" i="12"/>
  <c r="F126" i="12" s="1"/>
  <c r="E121" i="12"/>
  <c r="D118" i="12"/>
  <c r="F118" i="12" s="1"/>
  <c r="E113" i="12"/>
  <c r="D110" i="12"/>
  <c r="F110" i="12" s="1"/>
  <c r="G110" i="12" s="1"/>
  <c r="E105" i="12"/>
  <c r="D102" i="12"/>
  <c r="F102" i="12" s="1"/>
  <c r="G102" i="12" s="1"/>
  <c r="E97" i="12"/>
  <c r="E170" i="12"/>
  <c r="D167" i="12"/>
  <c r="F167" i="12" s="1"/>
  <c r="E162" i="12"/>
  <c r="D159" i="12"/>
  <c r="F159" i="12" s="1"/>
  <c r="E154" i="12"/>
  <c r="D151" i="12"/>
  <c r="F151" i="12" s="1"/>
  <c r="E146" i="12"/>
  <c r="D143" i="12"/>
  <c r="F143" i="12" s="1"/>
  <c r="G143" i="12" s="1"/>
  <c r="E138" i="12"/>
  <c r="D135" i="12"/>
  <c r="F135" i="12" s="1"/>
  <c r="G135" i="12" s="1"/>
  <c r="E130" i="12"/>
  <c r="D127" i="12"/>
  <c r="F127" i="12" s="1"/>
  <c r="G127" i="12" s="1"/>
  <c r="E122" i="12"/>
  <c r="D119" i="12"/>
  <c r="F119" i="12" s="1"/>
  <c r="E114" i="12"/>
  <c r="D111" i="12"/>
  <c r="F111" i="12" s="1"/>
  <c r="G111" i="12" s="1"/>
  <c r="E106" i="12"/>
  <c r="D103" i="12"/>
  <c r="F103" i="12" s="1"/>
  <c r="E98" i="12"/>
  <c r="D95" i="12"/>
  <c r="F95" i="12" s="1"/>
  <c r="E90" i="12"/>
  <c r="D87" i="12"/>
  <c r="F87" i="12" s="1"/>
  <c r="E82" i="12"/>
  <c r="D79" i="12"/>
  <c r="F79" i="12" s="1"/>
  <c r="E74" i="12"/>
  <c r="D71" i="12"/>
  <c r="F71" i="12" s="1"/>
  <c r="E66" i="12"/>
  <c r="D63" i="12"/>
  <c r="F63" i="12" s="1"/>
  <c r="E58" i="12"/>
  <c r="D55" i="12"/>
  <c r="F55" i="12" s="1"/>
  <c r="E50" i="12"/>
  <c r="D47" i="12"/>
  <c r="F47" i="12" s="1"/>
  <c r="G47" i="12" s="1"/>
  <c r="E42" i="12"/>
  <c r="D39" i="12"/>
  <c r="F39" i="12" s="1"/>
  <c r="G39" i="12" s="1"/>
  <c r="E34" i="12"/>
  <c r="D31" i="12"/>
  <c r="F31" i="12" s="1"/>
  <c r="E26" i="12"/>
  <c r="D23" i="12"/>
  <c r="F23" i="12" s="1"/>
  <c r="G23" i="12" s="1"/>
  <c r="E18" i="12"/>
  <c r="D15" i="12"/>
  <c r="F15" i="12" s="1"/>
  <c r="G15" i="12" s="1"/>
  <c r="E10" i="12"/>
  <c r="D7" i="12"/>
  <c r="F7" i="12" s="1"/>
  <c r="F9" i="12"/>
  <c r="F17" i="12"/>
  <c r="F21" i="12"/>
  <c r="F25" i="12"/>
  <c r="G25" i="12" s="1"/>
  <c r="F29" i="12"/>
  <c r="G29" i="12" s="1"/>
  <c r="F37" i="12"/>
  <c r="F41" i="12"/>
  <c r="G41" i="12" s="1"/>
  <c r="F45" i="12"/>
  <c r="F69" i="12"/>
  <c r="G69" i="12" s="1"/>
  <c r="F73" i="12"/>
  <c r="F89" i="12"/>
  <c r="F97" i="12"/>
  <c r="E99" i="12"/>
  <c r="E101" i="12"/>
  <c r="D106" i="12"/>
  <c r="F106" i="12" s="1"/>
  <c r="D108" i="12"/>
  <c r="F108" i="12" s="1"/>
  <c r="E115" i="12"/>
  <c r="E117" i="12"/>
  <c r="D122" i="12"/>
  <c r="F122" i="12" s="1"/>
  <c r="D124" i="12"/>
  <c r="F124" i="12" s="1"/>
  <c r="G124" i="12" s="1"/>
  <c r="F129" i="12"/>
  <c r="E131" i="12"/>
  <c r="E133" i="12"/>
  <c r="D138" i="12"/>
  <c r="F138" i="12" s="1"/>
  <c r="D140" i="12"/>
  <c r="F140" i="12" s="1"/>
  <c r="F145" i="12"/>
  <c r="E147" i="12"/>
  <c r="E149" i="12"/>
  <c r="D154" i="12"/>
  <c r="F154" i="12" s="1"/>
  <c r="D156" i="12"/>
  <c r="F156" i="12" s="1"/>
  <c r="G156" i="12" s="1"/>
  <c r="F161" i="12"/>
  <c r="E163" i="12"/>
  <c r="E165" i="12"/>
  <c r="D170" i="12"/>
  <c r="F170" i="12" s="1"/>
  <c r="D172" i="12"/>
  <c r="F172" i="12" s="1"/>
  <c r="G172" i="12" s="1"/>
  <c r="G108" i="3"/>
  <c r="G12" i="3"/>
  <c r="E11" i="3"/>
  <c r="E19" i="3"/>
  <c r="E27" i="3"/>
  <c r="E35" i="3"/>
  <c r="E43" i="3"/>
  <c r="E51" i="3"/>
  <c r="E59" i="3"/>
  <c r="E67" i="3"/>
  <c r="G67" i="3" s="1"/>
  <c r="E75" i="3"/>
  <c r="E83" i="3"/>
  <c r="E91" i="3"/>
  <c r="E99" i="3"/>
  <c r="E107" i="3"/>
  <c r="E115" i="3"/>
  <c r="E123" i="3"/>
  <c r="E131" i="3"/>
  <c r="E139" i="3"/>
  <c r="E147" i="3"/>
  <c r="E155" i="3"/>
  <c r="E163" i="3"/>
  <c r="E171" i="3"/>
  <c r="D8" i="3"/>
  <c r="F8" i="3" s="1"/>
  <c r="G8" i="3" s="1"/>
  <c r="D16" i="3"/>
  <c r="F16" i="3" s="1"/>
  <c r="D24" i="3"/>
  <c r="F24" i="3" s="1"/>
  <c r="G24" i="3" s="1"/>
  <c r="D32" i="3"/>
  <c r="F32" i="3" s="1"/>
  <c r="D40" i="3"/>
  <c r="F40" i="3" s="1"/>
  <c r="G40" i="3" s="1"/>
  <c r="D48" i="3"/>
  <c r="F48" i="3" s="1"/>
  <c r="D56" i="3"/>
  <c r="F56" i="3" s="1"/>
  <c r="D64" i="3"/>
  <c r="F64" i="3" s="1"/>
  <c r="D72" i="3"/>
  <c r="F72" i="3" s="1"/>
  <c r="G72" i="3" s="1"/>
  <c r="D80" i="3"/>
  <c r="F80" i="3" s="1"/>
  <c r="D88" i="3"/>
  <c r="F88" i="3" s="1"/>
  <c r="G88" i="3" s="1"/>
  <c r="D96" i="3"/>
  <c r="F96" i="3" s="1"/>
  <c r="D104" i="3"/>
  <c r="F104" i="3" s="1"/>
  <c r="G104" i="3" s="1"/>
  <c r="D112" i="3"/>
  <c r="F112" i="3" s="1"/>
  <c r="D120" i="3"/>
  <c r="F120" i="3" s="1"/>
  <c r="D128" i="3"/>
  <c r="F128" i="3" s="1"/>
  <c r="D136" i="3"/>
  <c r="F136" i="3" s="1"/>
  <c r="G136" i="3" s="1"/>
  <c r="D144" i="3"/>
  <c r="F144" i="3" s="1"/>
  <c r="D152" i="3"/>
  <c r="F152" i="3" s="1"/>
  <c r="G152" i="3" s="1"/>
  <c r="D160" i="3"/>
  <c r="F160" i="3" s="1"/>
  <c r="D168" i="3"/>
  <c r="F168" i="3" s="1"/>
  <c r="G168" i="3" s="1"/>
  <c r="E14" i="3"/>
  <c r="E70" i="3"/>
  <c r="E126" i="3"/>
  <c r="E166" i="3"/>
  <c r="D67" i="3"/>
  <c r="F67" i="3" s="1"/>
  <c r="D115" i="3"/>
  <c r="F115" i="3" s="1"/>
  <c r="G115" i="3" s="1"/>
  <c r="D155" i="3"/>
  <c r="F155" i="3" s="1"/>
  <c r="E39" i="3"/>
  <c r="E79" i="3"/>
  <c r="E127" i="3"/>
  <c r="E12" i="3"/>
  <c r="E20" i="3"/>
  <c r="G20" i="3" s="1"/>
  <c r="E28" i="3"/>
  <c r="E36" i="3"/>
  <c r="G36" i="3" s="1"/>
  <c r="E44" i="3"/>
  <c r="G44" i="3" s="1"/>
  <c r="E52" i="3"/>
  <c r="G52" i="3" s="1"/>
  <c r="E60" i="3"/>
  <c r="E68" i="3"/>
  <c r="G68" i="3" s="1"/>
  <c r="E76" i="3"/>
  <c r="G76" i="3" s="1"/>
  <c r="E84" i="3"/>
  <c r="G84" i="3" s="1"/>
  <c r="E92" i="3"/>
  <c r="E100" i="3"/>
  <c r="G100" i="3" s="1"/>
  <c r="E108" i="3"/>
  <c r="E116" i="3"/>
  <c r="G116" i="3" s="1"/>
  <c r="E124" i="3"/>
  <c r="E132" i="3"/>
  <c r="G132" i="3" s="1"/>
  <c r="E140" i="3"/>
  <c r="G140" i="3" s="1"/>
  <c r="E148" i="3"/>
  <c r="G148" i="3" s="1"/>
  <c r="E156" i="3"/>
  <c r="E164" i="3"/>
  <c r="G164" i="3" s="1"/>
  <c r="E172" i="3"/>
  <c r="G172" i="3" s="1"/>
  <c r="D9" i="3"/>
  <c r="F9" i="3" s="1"/>
  <c r="G9" i="3" s="1"/>
  <c r="D17" i="3"/>
  <c r="F17" i="3" s="1"/>
  <c r="D25" i="3"/>
  <c r="F25" i="3" s="1"/>
  <c r="D33" i="3"/>
  <c r="F33" i="3" s="1"/>
  <c r="D41" i="3"/>
  <c r="F41" i="3" s="1"/>
  <c r="D49" i="3"/>
  <c r="F49" i="3" s="1"/>
  <c r="D57" i="3"/>
  <c r="F57" i="3" s="1"/>
  <c r="D65" i="3"/>
  <c r="F65" i="3" s="1"/>
  <c r="D73" i="3"/>
  <c r="F73" i="3" s="1"/>
  <c r="G73" i="3" s="1"/>
  <c r="D81" i="3"/>
  <c r="F81" i="3" s="1"/>
  <c r="D89" i="3"/>
  <c r="F89" i="3" s="1"/>
  <c r="D97" i="3"/>
  <c r="F97" i="3" s="1"/>
  <c r="D105" i="3"/>
  <c r="F105" i="3" s="1"/>
  <c r="D113" i="3"/>
  <c r="F113" i="3" s="1"/>
  <c r="D121" i="3"/>
  <c r="F121" i="3" s="1"/>
  <c r="D129" i="3"/>
  <c r="F129" i="3" s="1"/>
  <c r="D137" i="3"/>
  <c r="F137" i="3" s="1"/>
  <c r="D145" i="3"/>
  <c r="F145" i="3" s="1"/>
  <c r="D153" i="3"/>
  <c r="F153" i="3" s="1"/>
  <c r="D161" i="3"/>
  <c r="F161" i="3" s="1"/>
  <c r="D169" i="3"/>
  <c r="F169" i="3" s="1"/>
  <c r="E22" i="3"/>
  <c r="E78" i="3"/>
  <c r="E118" i="3"/>
  <c r="E174" i="3"/>
  <c r="D59" i="3"/>
  <c r="F59" i="3" s="1"/>
  <c r="D107" i="3"/>
  <c r="F107" i="3" s="1"/>
  <c r="G107" i="3" s="1"/>
  <c r="D163" i="3"/>
  <c r="F163" i="3" s="1"/>
  <c r="E55" i="3"/>
  <c r="E63" i="3"/>
  <c r="E119" i="3"/>
  <c r="E5" i="3"/>
  <c r="E13" i="3"/>
  <c r="E21" i="3"/>
  <c r="E29" i="3"/>
  <c r="E37" i="3"/>
  <c r="E45" i="3"/>
  <c r="E53" i="3"/>
  <c r="E61" i="3"/>
  <c r="E69" i="3"/>
  <c r="E77" i="3"/>
  <c r="G77" i="3" s="1"/>
  <c r="E85" i="3"/>
  <c r="E93" i="3"/>
  <c r="E101" i="3"/>
  <c r="E109" i="3"/>
  <c r="G109" i="3" s="1"/>
  <c r="E117" i="3"/>
  <c r="E125" i="3"/>
  <c r="G125" i="3" s="1"/>
  <c r="E133" i="3"/>
  <c r="E141" i="3"/>
  <c r="G141" i="3" s="1"/>
  <c r="E149" i="3"/>
  <c r="E157" i="3"/>
  <c r="E165" i="3"/>
  <c r="E173" i="3"/>
  <c r="G173" i="3" s="1"/>
  <c r="D10" i="3"/>
  <c r="F10" i="3" s="1"/>
  <c r="D18" i="3"/>
  <c r="F18" i="3" s="1"/>
  <c r="G18" i="3" s="1"/>
  <c r="D26" i="3"/>
  <c r="F26" i="3" s="1"/>
  <c r="D34" i="3"/>
  <c r="F34" i="3" s="1"/>
  <c r="G34" i="3" s="1"/>
  <c r="D42" i="3"/>
  <c r="F42" i="3" s="1"/>
  <c r="D50" i="3"/>
  <c r="F50" i="3" s="1"/>
  <c r="D58" i="3"/>
  <c r="F58" i="3" s="1"/>
  <c r="D66" i="3"/>
  <c r="F66" i="3" s="1"/>
  <c r="G66" i="3" s="1"/>
  <c r="D74" i="3"/>
  <c r="F74" i="3" s="1"/>
  <c r="D82" i="3"/>
  <c r="F82" i="3" s="1"/>
  <c r="G82" i="3" s="1"/>
  <c r="D90" i="3"/>
  <c r="F90" i="3" s="1"/>
  <c r="D98" i="3"/>
  <c r="F98" i="3" s="1"/>
  <c r="G98" i="3" s="1"/>
  <c r="D106" i="3"/>
  <c r="F106" i="3" s="1"/>
  <c r="D114" i="3"/>
  <c r="F114" i="3" s="1"/>
  <c r="D122" i="3"/>
  <c r="F122" i="3" s="1"/>
  <c r="D130" i="3"/>
  <c r="F130" i="3" s="1"/>
  <c r="G130" i="3" s="1"/>
  <c r="D138" i="3"/>
  <c r="F138" i="3" s="1"/>
  <c r="D146" i="3"/>
  <c r="F146" i="3" s="1"/>
  <c r="G146" i="3" s="1"/>
  <c r="D154" i="3"/>
  <c r="F154" i="3" s="1"/>
  <c r="D162" i="3"/>
  <c r="F162" i="3" s="1"/>
  <c r="G162" i="3" s="1"/>
  <c r="D170" i="3"/>
  <c r="F170" i="3" s="1"/>
  <c r="E30" i="3"/>
  <c r="E62" i="3"/>
  <c r="E110" i="3"/>
  <c r="E158" i="3"/>
  <c r="D35" i="3"/>
  <c r="F35" i="3" s="1"/>
  <c r="G35" i="3" s="1"/>
  <c r="D75" i="3"/>
  <c r="F75" i="3" s="1"/>
  <c r="G75" i="3" s="1"/>
  <c r="D123" i="3"/>
  <c r="F123" i="3" s="1"/>
  <c r="G123" i="3" s="1"/>
  <c r="D171" i="3"/>
  <c r="F171" i="3" s="1"/>
  <c r="G171" i="3" s="1"/>
  <c r="E31" i="3"/>
  <c r="E71" i="3"/>
  <c r="E111" i="3"/>
  <c r="E6" i="3"/>
  <c r="E7" i="3"/>
  <c r="E8" i="3"/>
  <c r="E16" i="3"/>
  <c r="E24" i="3"/>
  <c r="E32" i="3"/>
  <c r="E40" i="3"/>
  <c r="E48" i="3"/>
  <c r="E56" i="3"/>
  <c r="E64" i="3"/>
  <c r="E72" i="3"/>
  <c r="E80" i="3"/>
  <c r="E88" i="3"/>
  <c r="E96" i="3"/>
  <c r="E104" i="3"/>
  <c r="E112" i="3"/>
  <c r="E120" i="3"/>
  <c r="E128" i="3"/>
  <c r="E136" i="3"/>
  <c r="E144" i="3"/>
  <c r="E152" i="3"/>
  <c r="E160" i="3"/>
  <c r="E168" i="3"/>
  <c r="D5" i="3"/>
  <c r="F5" i="3" s="1"/>
  <c r="G5" i="3" s="1"/>
  <c r="D13" i="3"/>
  <c r="F13" i="3" s="1"/>
  <c r="D21" i="3"/>
  <c r="F21" i="3" s="1"/>
  <c r="G21" i="3" s="1"/>
  <c r="D29" i="3"/>
  <c r="F29" i="3" s="1"/>
  <c r="G29" i="3" s="1"/>
  <c r="D37" i="3"/>
  <c r="F37" i="3" s="1"/>
  <c r="G37" i="3" s="1"/>
  <c r="D45" i="3"/>
  <c r="F45" i="3" s="1"/>
  <c r="D53" i="3"/>
  <c r="F53" i="3" s="1"/>
  <c r="G53" i="3" s="1"/>
  <c r="D61" i="3"/>
  <c r="F61" i="3" s="1"/>
  <c r="D69" i="3"/>
  <c r="F69" i="3" s="1"/>
  <c r="G69" i="3" s="1"/>
  <c r="D77" i="3"/>
  <c r="F77" i="3" s="1"/>
  <c r="D85" i="3"/>
  <c r="F85" i="3" s="1"/>
  <c r="D93" i="3"/>
  <c r="F93" i="3" s="1"/>
  <c r="D101" i="3"/>
  <c r="F101" i="3" s="1"/>
  <c r="G101" i="3" s="1"/>
  <c r="D109" i="3"/>
  <c r="F109" i="3" s="1"/>
  <c r="D117" i="3"/>
  <c r="F117" i="3" s="1"/>
  <c r="D125" i="3"/>
  <c r="F125" i="3" s="1"/>
  <c r="D133" i="3"/>
  <c r="F133" i="3" s="1"/>
  <c r="G133" i="3" s="1"/>
  <c r="D141" i="3"/>
  <c r="F141" i="3" s="1"/>
  <c r="D149" i="3"/>
  <c r="F149" i="3" s="1"/>
  <c r="D157" i="3"/>
  <c r="F157" i="3" s="1"/>
  <c r="D165" i="3"/>
  <c r="F165" i="3" s="1"/>
  <c r="G165" i="3" s="1"/>
  <c r="D173" i="3"/>
  <c r="F173" i="3" s="1"/>
  <c r="E54" i="3"/>
  <c r="E102" i="3"/>
  <c r="E150" i="3"/>
  <c r="D27" i="3"/>
  <c r="F27" i="3" s="1"/>
  <c r="D83" i="3"/>
  <c r="F83" i="3" s="1"/>
  <c r="G83" i="3" s="1"/>
  <c r="D131" i="3"/>
  <c r="F131" i="3" s="1"/>
  <c r="E47" i="3"/>
  <c r="E103" i="3"/>
  <c r="E9" i="3"/>
  <c r="E17" i="3"/>
  <c r="E25" i="3"/>
  <c r="E33" i="3"/>
  <c r="E41" i="3"/>
  <c r="E49" i="3"/>
  <c r="E57" i="3"/>
  <c r="E65" i="3"/>
  <c r="E73" i="3"/>
  <c r="E81" i="3"/>
  <c r="E89" i="3"/>
  <c r="G89" i="3" s="1"/>
  <c r="E97" i="3"/>
  <c r="E105" i="3"/>
  <c r="G105" i="3" s="1"/>
  <c r="E113" i="3"/>
  <c r="E121" i="3"/>
  <c r="G121" i="3" s="1"/>
  <c r="E129" i="3"/>
  <c r="E137" i="3"/>
  <c r="E145" i="3"/>
  <c r="E153" i="3"/>
  <c r="G153" i="3" s="1"/>
  <c r="E161" i="3"/>
  <c r="E169" i="3"/>
  <c r="G169" i="3" s="1"/>
  <c r="D6" i="3"/>
  <c r="F6" i="3" s="1"/>
  <c r="G6" i="3" s="1"/>
  <c r="D14" i="3"/>
  <c r="F14" i="3" s="1"/>
  <c r="G14" i="3" s="1"/>
  <c r="D22" i="3"/>
  <c r="F22" i="3" s="1"/>
  <c r="G22" i="3" s="1"/>
  <c r="D30" i="3"/>
  <c r="F30" i="3" s="1"/>
  <c r="G30" i="3" s="1"/>
  <c r="D38" i="3"/>
  <c r="F38" i="3" s="1"/>
  <c r="D46" i="3"/>
  <c r="F46" i="3" s="1"/>
  <c r="G46" i="3" s="1"/>
  <c r="D54" i="3"/>
  <c r="F54" i="3" s="1"/>
  <c r="G54" i="3" s="1"/>
  <c r="D62" i="3"/>
  <c r="F62" i="3" s="1"/>
  <c r="G62" i="3" s="1"/>
  <c r="D70" i="3"/>
  <c r="F70" i="3" s="1"/>
  <c r="G70" i="3" s="1"/>
  <c r="D78" i="3"/>
  <c r="F78" i="3" s="1"/>
  <c r="G78" i="3" s="1"/>
  <c r="D86" i="3"/>
  <c r="F86" i="3" s="1"/>
  <c r="D94" i="3"/>
  <c r="F94" i="3" s="1"/>
  <c r="D102" i="3"/>
  <c r="F102" i="3" s="1"/>
  <c r="G102" i="3" s="1"/>
  <c r="D110" i="3"/>
  <c r="F110" i="3" s="1"/>
  <c r="G110" i="3" s="1"/>
  <c r="D118" i="3"/>
  <c r="F118" i="3" s="1"/>
  <c r="G118" i="3" s="1"/>
  <c r="D126" i="3"/>
  <c r="F126" i="3" s="1"/>
  <c r="G126" i="3" s="1"/>
  <c r="D134" i="3"/>
  <c r="F134" i="3" s="1"/>
  <c r="D142" i="3"/>
  <c r="F142" i="3" s="1"/>
  <c r="G142" i="3" s="1"/>
  <c r="D150" i="3"/>
  <c r="F150" i="3" s="1"/>
  <c r="D158" i="3"/>
  <c r="F158" i="3" s="1"/>
  <c r="G158" i="3" s="1"/>
  <c r="D166" i="3"/>
  <c r="F166" i="3" s="1"/>
  <c r="D174" i="3"/>
  <c r="F174" i="3" s="1"/>
  <c r="G174" i="3" s="1"/>
  <c r="E38" i="3"/>
  <c r="E94" i="3"/>
  <c r="E134" i="3"/>
  <c r="D11" i="3"/>
  <c r="F11" i="3" s="1"/>
  <c r="G11" i="3" s="1"/>
  <c r="D43" i="3"/>
  <c r="F43" i="3" s="1"/>
  <c r="G43" i="3" s="1"/>
  <c r="D91" i="3"/>
  <c r="F91" i="3" s="1"/>
  <c r="D139" i="3"/>
  <c r="F139" i="3" s="1"/>
  <c r="G139" i="3" s="1"/>
  <c r="E23" i="3"/>
  <c r="E87" i="3"/>
  <c r="E10" i="3"/>
  <c r="E18" i="3"/>
  <c r="E26" i="3"/>
  <c r="E34" i="3"/>
  <c r="E42" i="3"/>
  <c r="E50" i="3"/>
  <c r="E58" i="3"/>
  <c r="E66" i="3"/>
  <c r="E74" i="3"/>
  <c r="E82" i="3"/>
  <c r="E90" i="3"/>
  <c r="E98" i="3"/>
  <c r="E106" i="3"/>
  <c r="E114" i="3"/>
  <c r="E122" i="3"/>
  <c r="E130" i="3"/>
  <c r="E138" i="3"/>
  <c r="E146" i="3"/>
  <c r="E154" i="3"/>
  <c r="E162" i="3"/>
  <c r="E170" i="3"/>
  <c r="D7" i="3"/>
  <c r="F7" i="3" s="1"/>
  <c r="D15" i="3"/>
  <c r="F15" i="3" s="1"/>
  <c r="D23" i="3"/>
  <c r="F23" i="3" s="1"/>
  <c r="D31" i="3"/>
  <c r="F31" i="3" s="1"/>
  <c r="G31" i="3" s="1"/>
  <c r="D39" i="3"/>
  <c r="F39" i="3" s="1"/>
  <c r="D47" i="3"/>
  <c r="F47" i="3" s="1"/>
  <c r="G47" i="3" s="1"/>
  <c r="D55" i="3"/>
  <c r="F55" i="3" s="1"/>
  <c r="D63" i="3"/>
  <c r="F63" i="3" s="1"/>
  <c r="G63" i="3" s="1"/>
  <c r="D71" i="3"/>
  <c r="F71" i="3" s="1"/>
  <c r="G71" i="3" s="1"/>
  <c r="D79" i="3"/>
  <c r="F79" i="3" s="1"/>
  <c r="G79" i="3" s="1"/>
  <c r="D87" i="3"/>
  <c r="F87" i="3" s="1"/>
  <c r="G87" i="3" s="1"/>
  <c r="D95" i="3"/>
  <c r="F95" i="3" s="1"/>
  <c r="G95" i="3" s="1"/>
  <c r="D103" i="3"/>
  <c r="F103" i="3" s="1"/>
  <c r="G103" i="3" s="1"/>
  <c r="D111" i="3"/>
  <c r="F111" i="3" s="1"/>
  <c r="G111" i="3" s="1"/>
  <c r="D119" i="3"/>
  <c r="F119" i="3" s="1"/>
  <c r="D127" i="3"/>
  <c r="F127" i="3" s="1"/>
  <c r="G127" i="3" s="1"/>
  <c r="D135" i="3"/>
  <c r="F135" i="3" s="1"/>
  <c r="G135" i="3" s="1"/>
  <c r="D143" i="3"/>
  <c r="F143" i="3" s="1"/>
  <c r="G143" i="3" s="1"/>
  <c r="D151" i="3"/>
  <c r="F151" i="3" s="1"/>
  <c r="G151" i="3" s="1"/>
  <c r="D159" i="3"/>
  <c r="F159" i="3" s="1"/>
  <c r="G159" i="3" s="1"/>
  <c r="D167" i="3"/>
  <c r="F167" i="3" s="1"/>
  <c r="G167" i="3" s="1"/>
  <c r="D4" i="3"/>
  <c r="E46" i="3"/>
  <c r="E86" i="3"/>
  <c r="E142" i="3"/>
  <c r="D19" i="3"/>
  <c r="F19" i="3" s="1"/>
  <c r="G19" i="3" s="1"/>
  <c r="D51" i="3"/>
  <c r="F51" i="3" s="1"/>
  <c r="G51" i="3" s="1"/>
  <c r="D99" i="3"/>
  <c r="F99" i="3" s="1"/>
  <c r="D147" i="3"/>
  <c r="F147" i="3" s="1"/>
  <c r="E15" i="3"/>
  <c r="E95" i="3"/>
  <c r="E143" i="3"/>
  <c r="G163" i="3"/>
  <c r="G156" i="3"/>
  <c r="G131" i="3"/>
  <c r="G124" i="3"/>
  <c r="G99" i="3"/>
  <c r="G92" i="3"/>
  <c r="G60" i="3"/>
  <c r="G28" i="3"/>
  <c r="G161" i="3"/>
  <c r="G155" i="3"/>
  <c r="G129" i="3"/>
  <c r="G97" i="3"/>
  <c r="G91" i="3"/>
  <c r="G59" i="3"/>
  <c r="G27" i="3"/>
  <c r="G87" i="12" l="1"/>
  <c r="G61" i="12"/>
  <c r="G31" i="12"/>
  <c r="G159" i="12"/>
  <c r="G11" i="12"/>
  <c r="G71" i="12"/>
  <c r="G19" i="12"/>
  <c r="G140" i="12"/>
  <c r="G27" i="12"/>
  <c r="G21" i="12"/>
  <c r="G35" i="12"/>
  <c r="G129" i="12"/>
  <c r="G17" i="12"/>
  <c r="G63" i="12"/>
  <c r="G161" i="12"/>
  <c r="G97" i="12"/>
  <c r="G13" i="12"/>
  <c r="G125" i="12"/>
  <c r="G120" i="12"/>
  <c r="G175" i="12"/>
  <c r="G89" i="12"/>
  <c r="G126" i="12"/>
  <c r="G158" i="12"/>
  <c r="G81" i="12"/>
  <c r="G79" i="12"/>
  <c r="G86" i="12"/>
  <c r="G109" i="12"/>
  <c r="G119" i="12"/>
  <c r="G104" i="12"/>
  <c r="G49" i="12"/>
  <c r="G67" i="12"/>
  <c r="G45" i="12"/>
  <c r="G95" i="12"/>
  <c r="G117" i="12"/>
  <c r="G94" i="12"/>
  <c r="G62" i="12"/>
  <c r="G46" i="12"/>
  <c r="G30" i="12"/>
  <c r="G57" i="12"/>
  <c r="G33" i="12"/>
  <c r="G170" i="12"/>
  <c r="G108" i="12"/>
  <c r="G118" i="12"/>
  <c r="G150" i="12"/>
  <c r="G43" i="12"/>
  <c r="G73" i="12"/>
  <c r="G7" i="12"/>
  <c r="G103" i="12"/>
  <c r="G167" i="12"/>
  <c r="G169" i="12"/>
  <c r="G128" i="12"/>
  <c r="G148" i="12"/>
  <c r="G157" i="12"/>
  <c r="G138" i="12"/>
  <c r="G152" i="12"/>
  <c r="G121" i="12"/>
  <c r="G90" i="12"/>
  <c r="G74" i="12"/>
  <c r="G58" i="12"/>
  <c r="G42" i="12"/>
  <c r="G26" i="12"/>
  <c r="G10" i="12"/>
  <c r="G146" i="12"/>
  <c r="G114" i="12"/>
  <c r="G55" i="12"/>
  <c r="G149" i="12"/>
  <c r="G88" i="12"/>
  <c r="G72" i="12"/>
  <c r="G56" i="12"/>
  <c r="G40" i="12"/>
  <c r="G24" i="12"/>
  <c r="G8" i="12"/>
  <c r="G106" i="12"/>
  <c r="G99" i="12"/>
  <c r="G163" i="12"/>
  <c r="G133" i="12"/>
  <c r="G70" i="12"/>
  <c r="G38" i="12"/>
  <c r="G6" i="12"/>
  <c r="G9" i="12"/>
  <c r="G105" i="12"/>
  <c r="G84" i="12"/>
  <c r="G52" i="12"/>
  <c r="G20" i="12"/>
  <c r="G132" i="12"/>
  <c r="G100" i="12"/>
  <c r="G5" i="12"/>
  <c r="G66" i="12"/>
  <c r="G34" i="12"/>
  <c r="G130" i="12"/>
  <c r="G98" i="12"/>
  <c r="G65" i="12"/>
  <c r="G137" i="12"/>
  <c r="G96" i="12"/>
  <c r="G64" i="12"/>
  <c r="G32" i="12"/>
  <c r="G154" i="12"/>
  <c r="G160" i="12"/>
  <c r="G37" i="12"/>
  <c r="G139" i="12"/>
  <c r="G171" i="12"/>
  <c r="G112" i="12"/>
  <c r="G116" i="12"/>
  <c r="G82" i="12"/>
  <c r="G14" i="12"/>
  <c r="G54" i="12"/>
  <c r="G131" i="12"/>
  <c r="G122" i="12"/>
  <c r="G101" i="12"/>
  <c r="G68" i="12"/>
  <c r="G36" i="12"/>
  <c r="G164" i="12"/>
  <c r="G145" i="12"/>
  <c r="G115" i="12"/>
  <c r="G147" i="12"/>
  <c r="G144" i="12"/>
  <c r="G168" i="12"/>
  <c r="G80" i="12"/>
  <c r="G48" i="12"/>
  <c r="G16" i="12"/>
  <c r="G50" i="12"/>
  <c r="G22" i="12"/>
  <c r="G113" i="12"/>
  <c r="G85" i="12"/>
  <c r="G53" i="12"/>
  <c r="G123" i="12"/>
  <c r="G136" i="12"/>
  <c r="G141" i="12"/>
  <c r="G173" i="12"/>
  <c r="G151" i="12"/>
  <c r="G165" i="12"/>
  <c r="G92" i="12"/>
  <c r="G76" i="12"/>
  <c r="G60" i="12"/>
  <c r="G44" i="12"/>
  <c r="G28" i="12"/>
  <c r="G12" i="12"/>
  <c r="G153" i="12"/>
  <c r="G18" i="12"/>
  <c r="G78" i="12"/>
  <c r="G162" i="12"/>
  <c r="G147" i="3"/>
  <c r="G39" i="3"/>
  <c r="G134" i="3"/>
  <c r="G154" i="3"/>
  <c r="G90" i="3"/>
  <c r="G26" i="3"/>
  <c r="G65" i="3"/>
  <c r="G160" i="3"/>
  <c r="G96" i="3"/>
  <c r="G32" i="3"/>
  <c r="G57" i="3"/>
  <c r="G23" i="3"/>
  <c r="G13" i="3"/>
  <c r="G138" i="3"/>
  <c r="G74" i="3"/>
  <c r="G10" i="3"/>
  <c r="G117" i="3"/>
  <c r="G113" i="3"/>
  <c r="G49" i="3"/>
  <c r="G144" i="3"/>
  <c r="G80" i="3"/>
  <c r="G16" i="3"/>
  <c r="G15" i="3"/>
  <c r="G7" i="3"/>
  <c r="G166" i="3"/>
  <c r="G38" i="3"/>
  <c r="G61" i="3"/>
  <c r="G122" i="3"/>
  <c r="G58" i="3"/>
  <c r="G33" i="3"/>
  <c r="G128" i="3"/>
  <c r="G64" i="3"/>
  <c r="G41" i="3"/>
  <c r="G94" i="3"/>
  <c r="G137" i="3"/>
  <c r="G114" i="3"/>
  <c r="G50" i="3"/>
  <c r="G157" i="3"/>
  <c r="G93" i="3"/>
  <c r="G25" i="3"/>
  <c r="G120" i="3"/>
  <c r="G56" i="3"/>
  <c r="G119" i="3"/>
  <c r="G55" i="3"/>
  <c r="G150" i="3"/>
  <c r="G86" i="3"/>
  <c r="G45" i="3"/>
  <c r="G170" i="3"/>
  <c r="G106" i="3"/>
  <c r="G42" i="3"/>
  <c r="G149" i="3"/>
  <c r="G85" i="3"/>
  <c r="G145" i="3"/>
  <c r="G81" i="3"/>
  <c r="G17" i="3"/>
  <c r="G112" i="3"/>
  <c r="G48" i="3"/>
  <c r="C5" i="8" l="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" i="7"/>
  <c r="O15" i="7"/>
  <c r="O14" i="7"/>
  <c r="O13" i="7"/>
  <c r="O12" i="7"/>
  <c r="O11" i="7"/>
  <c r="O10" i="7"/>
  <c r="O9" i="7"/>
  <c r="O8" i="7"/>
  <c r="O7" i="7"/>
  <c r="O6" i="7"/>
  <c r="O5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62" i="7"/>
  <c r="C163" i="7"/>
  <c r="C164" i="7"/>
  <c r="C161" i="7"/>
  <c r="C146" i="7"/>
  <c r="C147" i="7"/>
  <c r="B148" i="7"/>
  <c r="C148" i="7" s="1"/>
  <c r="C149" i="7"/>
  <c r="B150" i="7"/>
  <c r="C150" i="7" s="1"/>
  <c r="C151" i="7"/>
  <c r="C152" i="7"/>
  <c r="C153" i="7"/>
  <c r="C154" i="7"/>
  <c r="C155" i="7"/>
  <c r="C156" i="7"/>
  <c r="C157" i="7"/>
  <c r="C158" i="7"/>
  <c r="C159" i="7"/>
  <c r="B160" i="7"/>
  <c r="C160" i="7" s="1"/>
  <c r="C165" i="7"/>
  <c r="C166" i="7"/>
  <c r="C167" i="7"/>
  <c r="C16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E6" i="8" l="1"/>
  <c r="E14" i="8"/>
  <c r="E22" i="8"/>
  <c r="E30" i="8"/>
  <c r="E38" i="8"/>
  <c r="E46" i="8"/>
  <c r="E54" i="8"/>
  <c r="E62" i="8"/>
  <c r="E70" i="8"/>
  <c r="E78" i="8"/>
  <c r="E86" i="8"/>
  <c r="E94" i="8"/>
  <c r="E102" i="8"/>
  <c r="E110" i="8"/>
  <c r="E118" i="8"/>
  <c r="E126" i="8"/>
  <c r="E134" i="8"/>
  <c r="E142" i="8"/>
  <c r="E150" i="8"/>
  <c r="E158" i="8"/>
  <c r="E166" i="8"/>
  <c r="E174" i="8"/>
  <c r="D12" i="8"/>
  <c r="F12" i="8" s="1"/>
  <c r="D20" i="8"/>
  <c r="F20" i="8" s="1"/>
  <c r="D28" i="8"/>
  <c r="D36" i="8"/>
  <c r="D44" i="8"/>
  <c r="D52" i="8"/>
  <c r="D60" i="8"/>
  <c r="D68" i="8"/>
  <c r="D76" i="8"/>
  <c r="F76" i="8" s="1"/>
  <c r="D84" i="8"/>
  <c r="F84" i="8" s="1"/>
  <c r="D92" i="8"/>
  <c r="D100" i="8"/>
  <c r="D108" i="8"/>
  <c r="D116" i="8"/>
  <c r="D124" i="8"/>
  <c r="D132" i="8"/>
  <c r="D140" i="8"/>
  <c r="F140" i="8" s="1"/>
  <c r="D148" i="8"/>
  <c r="D156" i="8"/>
  <c r="D164" i="8"/>
  <c r="D172" i="8"/>
  <c r="F172" i="8" s="1"/>
  <c r="E12" i="8"/>
  <c r="E68" i="8"/>
  <c r="E124" i="8"/>
  <c r="D26" i="8"/>
  <c r="F26" i="8" s="1"/>
  <c r="D82" i="8"/>
  <c r="F82" i="8" s="1"/>
  <c r="G82" i="8" s="1"/>
  <c r="D146" i="8"/>
  <c r="E7" i="8"/>
  <c r="E15" i="8"/>
  <c r="E23" i="8"/>
  <c r="E31" i="8"/>
  <c r="E39" i="8"/>
  <c r="E47" i="8"/>
  <c r="E55" i="8"/>
  <c r="E63" i="8"/>
  <c r="E71" i="8"/>
  <c r="E79" i="8"/>
  <c r="E87" i="8"/>
  <c r="E95" i="8"/>
  <c r="E103" i="8"/>
  <c r="E111" i="8"/>
  <c r="E119" i="8"/>
  <c r="E127" i="8"/>
  <c r="E135" i="8"/>
  <c r="E143" i="8"/>
  <c r="E151" i="8"/>
  <c r="E159" i="8"/>
  <c r="E167" i="8"/>
  <c r="E5" i="8"/>
  <c r="D13" i="8"/>
  <c r="F13" i="8" s="1"/>
  <c r="D21" i="8"/>
  <c r="D29" i="8"/>
  <c r="D37" i="8"/>
  <c r="D45" i="8"/>
  <c r="D53" i="8"/>
  <c r="D61" i="8"/>
  <c r="D69" i="8"/>
  <c r="F69" i="8" s="1"/>
  <c r="D77" i="8"/>
  <c r="F77" i="8" s="1"/>
  <c r="D85" i="8"/>
  <c r="D93" i="8"/>
  <c r="D101" i="8"/>
  <c r="D109" i="8"/>
  <c r="D117" i="8"/>
  <c r="D125" i="8"/>
  <c r="D133" i="8"/>
  <c r="F133" i="8" s="1"/>
  <c r="D141" i="8"/>
  <c r="F141" i="8" s="1"/>
  <c r="D149" i="8"/>
  <c r="D157" i="8"/>
  <c r="D165" i="8"/>
  <c r="D173" i="8"/>
  <c r="F173" i="8" s="1"/>
  <c r="E28" i="8"/>
  <c r="E92" i="8"/>
  <c r="E148" i="8"/>
  <c r="D42" i="8"/>
  <c r="F42" i="8" s="1"/>
  <c r="D106" i="8"/>
  <c r="D170" i="8"/>
  <c r="F170" i="8" s="1"/>
  <c r="E8" i="8"/>
  <c r="E16" i="8"/>
  <c r="E24" i="8"/>
  <c r="E32" i="8"/>
  <c r="E40" i="8"/>
  <c r="E48" i="8"/>
  <c r="E56" i="8"/>
  <c r="E64" i="8"/>
  <c r="E72" i="8"/>
  <c r="E80" i="8"/>
  <c r="E88" i="8"/>
  <c r="E96" i="8"/>
  <c r="E104" i="8"/>
  <c r="E112" i="8"/>
  <c r="E120" i="8"/>
  <c r="E128" i="8"/>
  <c r="E136" i="8"/>
  <c r="E144" i="8"/>
  <c r="E152" i="8"/>
  <c r="E160" i="8"/>
  <c r="E168" i="8"/>
  <c r="D6" i="8"/>
  <c r="F6" i="8" s="1"/>
  <c r="D14" i="8"/>
  <c r="D22" i="8"/>
  <c r="D30" i="8"/>
  <c r="D38" i="8"/>
  <c r="D46" i="8"/>
  <c r="D54" i="8"/>
  <c r="D62" i="8"/>
  <c r="F62" i="8" s="1"/>
  <c r="D70" i="8"/>
  <c r="F70" i="8" s="1"/>
  <c r="D78" i="8"/>
  <c r="D86" i="8"/>
  <c r="D94" i="8"/>
  <c r="D102" i="8"/>
  <c r="D110" i="8"/>
  <c r="D118" i="8"/>
  <c r="D126" i="8"/>
  <c r="F126" i="8" s="1"/>
  <c r="D134" i="8"/>
  <c r="F134" i="8" s="1"/>
  <c r="D142" i="8"/>
  <c r="D150" i="8"/>
  <c r="D158" i="8"/>
  <c r="D166" i="8"/>
  <c r="D174" i="8"/>
  <c r="F174" i="8" s="1"/>
  <c r="G174" i="8" s="1"/>
  <c r="E60" i="8"/>
  <c r="E116" i="8"/>
  <c r="E164" i="8"/>
  <c r="D50" i="8"/>
  <c r="D98" i="8"/>
  <c r="D154" i="8"/>
  <c r="E9" i="8"/>
  <c r="E17" i="8"/>
  <c r="E25" i="8"/>
  <c r="E33" i="8"/>
  <c r="E41" i="8"/>
  <c r="E49" i="8"/>
  <c r="E57" i="8"/>
  <c r="E65" i="8"/>
  <c r="E73" i="8"/>
  <c r="E81" i="8"/>
  <c r="E89" i="8"/>
  <c r="E97" i="8"/>
  <c r="E105" i="8"/>
  <c r="E113" i="8"/>
  <c r="E121" i="8"/>
  <c r="E129" i="8"/>
  <c r="E137" i="8"/>
  <c r="E145" i="8"/>
  <c r="E153" i="8"/>
  <c r="E161" i="8"/>
  <c r="E169" i="8"/>
  <c r="D7" i="8"/>
  <c r="D15" i="8"/>
  <c r="D23" i="8"/>
  <c r="D31" i="8"/>
  <c r="D39" i="8"/>
  <c r="D47" i="8"/>
  <c r="D55" i="8"/>
  <c r="F55" i="8" s="1"/>
  <c r="D63" i="8"/>
  <c r="F63" i="8" s="1"/>
  <c r="D71" i="8"/>
  <c r="D79" i="8"/>
  <c r="D87" i="8"/>
  <c r="D95" i="8"/>
  <c r="D103" i="8"/>
  <c r="D111" i="8"/>
  <c r="D119" i="8"/>
  <c r="F119" i="8" s="1"/>
  <c r="D127" i="8"/>
  <c r="F127" i="8" s="1"/>
  <c r="D135" i="8"/>
  <c r="D143" i="8"/>
  <c r="D151" i="8"/>
  <c r="D159" i="8"/>
  <c r="D167" i="8"/>
  <c r="F167" i="8" s="1"/>
  <c r="G167" i="8" s="1"/>
  <c r="D5" i="8"/>
  <c r="E52" i="8"/>
  <c r="E100" i="8"/>
  <c r="E156" i="8"/>
  <c r="D34" i="8"/>
  <c r="D90" i="8"/>
  <c r="D130" i="8"/>
  <c r="E10" i="8"/>
  <c r="E18" i="8"/>
  <c r="E26" i="8"/>
  <c r="E34" i="8"/>
  <c r="E42" i="8"/>
  <c r="E50" i="8"/>
  <c r="E58" i="8"/>
  <c r="E66" i="8"/>
  <c r="E74" i="8"/>
  <c r="E82" i="8"/>
  <c r="E90" i="8"/>
  <c r="E98" i="8"/>
  <c r="E106" i="8"/>
  <c r="E114" i="8"/>
  <c r="E122" i="8"/>
  <c r="E130" i="8"/>
  <c r="E138" i="8"/>
  <c r="E146" i="8"/>
  <c r="E154" i="8"/>
  <c r="E162" i="8"/>
  <c r="E170" i="8"/>
  <c r="D8" i="8"/>
  <c r="D16" i="8"/>
  <c r="D24" i="8"/>
  <c r="D32" i="8"/>
  <c r="D40" i="8"/>
  <c r="D48" i="8"/>
  <c r="F48" i="8" s="1"/>
  <c r="D56" i="8"/>
  <c r="F56" i="8" s="1"/>
  <c r="D64" i="8"/>
  <c r="D72" i="8"/>
  <c r="D80" i="8"/>
  <c r="D88" i="8"/>
  <c r="D96" i="8"/>
  <c r="D104" i="8"/>
  <c r="D112" i="8"/>
  <c r="F112" i="8" s="1"/>
  <c r="D120" i="8"/>
  <c r="F120" i="8" s="1"/>
  <c r="G120" i="8" s="1"/>
  <c r="D128" i="8"/>
  <c r="D136" i="8"/>
  <c r="D144" i="8"/>
  <c r="D152" i="8"/>
  <c r="D160" i="8"/>
  <c r="D168" i="8"/>
  <c r="F168" i="8" s="1"/>
  <c r="E36" i="8"/>
  <c r="E76" i="8"/>
  <c r="E132" i="8"/>
  <c r="D18" i="8"/>
  <c r="D74" i="8"/>
  <c r="D138" i="8"/>
  <c r="E11" i="8"/>
  <c r="E19" i="8"/>
  <c r="E27" i="8"/>
  <c r="E35" i="8"/>
  <c r="E43" i="8"/>
  <c r="E51" i="8"/>
  <c r="E59" i="8"/>
  <c r="E67" i="8"/>
  <c r="E75" i="8"/>
  <c r="E83" i="8"/>
  <c r="E91" i="8"/>
  <c r="E99" i="8"/>
  <c r="E107" i="8"/>
  <c r="E115" i="8"/>
  <c r="E123" i="8"/>
  <c r="E131" i="8"/>
  <c r="E139" i="8"/>
  <c r="E147" i="8"/>
  <c r="E155" i="8"/>
  <c r="E163" i="8"/>
  <c r="E171" i="8"/>
  <c r="D9" i="8"/>
  <c r="D17" i="8"/>
  <c r="D25" i="8"/>
  <c r="D33" i="8"/>
  <c r="D41" i="8"/>
  <c r="D49" i="8"/>
  <c r="F49" i="8" s="1"/>
  <c r="D57" i="8"/>
  <c r="F57" i="8" s="1"/>
  <c r="D65" i="8"/>
  <c r="D73" i="8"/>
  <c r="D81" i="8"/>
  <c r="D89" i="8"/>
  <c r="D97" i="8"/>
  <c r="D105" i="8"/>
  <c r="F105" i="8" s="1"/>
  <c r="D113" i="8"/>
  <c r="F113" i="8" s="1"/>
  <c r="D121" i="8"/>
  <c r="F121" i="8" s="1"/>
  <c r="D129" i="8"/>
  <c r="D137" i="8"/>
  <c r="D145" i="8"/>
  <c r="D153" i="8"/>
  <c r="D161" i="8"/>
  <c r="D169" i="8"/>
  <c r="F169" i="8" s="1"/>
  <c r="E44" i="8"/>
  <c r="E108" i="8"/>
  <c r="E172" i="8"/>
  <c r="D58" i="8"/>
  <c r="D114" i="8"/>
  <c r="E13" i="8"/>
  <c r="E21" i="8"/>
  <c r="E29" i="8"/>
  <c r="E37" i="8"/>
  <c r="E45" i="8"/>
  <c r="E53" i="8"/>
  <c r="E61" i="8"/>
  <c r="E69" i="8"/>
  <c r="E77" i="8"/>
  <c r="E85" i="8"/>
  <c r="E93" i="8"/>
  <c r="E101" i="8"/>
  <c r="E109" i="8"/>
  <c r="E117" i="8"/>
  <c r="E125" i="8"/>
  <c r="E133" i="8"/>
  <c r="E141" i="8"/>
  <c r="E149" i="8"/>
  <c r="E157" i="8"/>
  <c r="E165" i="8"/>
  <c r="E173" i="8"/>
  <c r="D11" i="8"/>
  <c r="D19" i="8"/>
  <c r="D27" i="8"/>
  <c r="D35" i="8"/>
  <c r="D43" i="8"/>
  <c r="D51" i="8"/>
  <c r="F51" i="8" s="1"/>
  <c r="D59" i="8"/>
  <c r="F59" i="8" s="1"/>
  <c r="D67" i="8"/>
  <c r="F67" i="8" s="1"/>
  <c r="D75" i="8"/>
  <c r="D83" i="8"/>
  <c r="D91" i="8"/>
  <c r="D99" i="8"/>
  <c r="D107" i="8"/>
  <c r="D115" i="8"/>
  <c r="D123" i="8"/>
  <c r="F123" i="8" s="1"/>
  <c r="D131" i="8"/>
  <c r="F131" i="8" s="1"/>
  <c r="D139" i="8"/>
  <c r="D147" i="8"/>
  <c r="D155" i="8"/>
  <c r="D163" i="8"/>
  <c r="D171" i="8"/>
  <c r="F171" i="8" s="1"/>
  <c r="G171" i="8" s="1"/>
  <c r="E20" i="8"/>
  <c r="E84" i="8"/>
  <c r="E140" i="8"/>
  <c r="D10" i="8"/>
  <c r="D66" i="8"/>
  <c r="D122" i="8"/>
  <c r="D162" i="8"/>
  <c r="F162" i="8" s="1"/>
  <c r="E7" i="7"/>
  <c r="E15" i="7"/>
  <c r="E23" i="7"/>
  <c r="E31" i="7"/>
  <c r="E39" i="7"/>
  <c r="E47" i="7"/>
  <c r="E55" i="7"/>
  <c r="E63" i="7"/>
  <c r="E71" i="7"/>
  <c r="E79" i="7"/>
  <c r="E87" i="7"/>
  <c r="E95" i="7"/>
  <c r="E103" i="7"/>
  <c r="E111" i="7"/>
  <c r="E119" i="7"/>
  <c r="E127" i="7"/>
  <c r="E135" i="7"/>
  <c r="E143" i="7"/>
  <c r="E151" i="7"/>
  <c r="E159" i="7"/>
  <c r="E167" i="7"/>
  <c r="E175" i="7"/>
  <c r="D12" i="7"/>
  <c r="D20" i="7"/>
  <c r="F20" i="7" s="1"/>
  <c r="G20" i="7" s="1"/>
  <c r="D28" i="7"/>
  <c r="D36" i="7"/>
  <c r="D44" i="7"/>
  <c r="D52" i="7"/>
  <c r="D60" i="7"/>
  <c r="D68" i="7"/>
  <c r="D76" i="7"/>
  <c r="D84" i="7"/>
  <c r="F84" i="7" s="1"/>
  <c r="G84" i="7" s="1"/>
  <c r="D92" i="7"/>
  <c r="D100" i="7"/>
  <c r="D108" i="7"/>
  <c r="D116" i="7"/>
  <c r="D124" i="7"/>
  <c r="D132" i="7"/>
  <c r="D140" i="7"/>
  <c r="D148" i="7"/>
  <c r="F148" i="7" s="1"/>
  <c r="D156" i="7"/>
  <c r="D164" i="7"/>
  <c r="D172" i="7"/>
  <c r="F172" i="7" s="1"/>
  <c r="E54" i="7"/>
  <c r="E110" i="7"/>
  <c r="E166" i="7"/>
  <c r="D51" i="7"/>
  <c r="F51" i="7" s="1"/>
  <c r="G51" i="7" s="1"/>
  <c r="D107" i="7"/>
  <c r="F107" i="7" s="1"/>
  <c r="G107" i="7" s="1"/>
  <c r="D147" i="7"/>
  <c r="E8" i="7"/>
  <c r="E16" i="7"/>
  <c r="E24" i="7"/>
  <c r="E32" i="7"/>
  <c r="E40" i="7"/>
  <c r="E48" i="7"/>
  <c r="E56" i="7"/>
  <c r="G56" i="7" s="1"/>
  <c r="E64" i="7"/>
  <c r="E72" i="7"/>
  <c r="E80" i="7"/>
  <c r="E88" i="7"/>
  <c r="E96" i="7"/>
  <c r="E104" i="7"/>
  <c r="E112" i="7"/>
  <c r="E120" i="7"/>
  <c r="G120" i="7" s="1"/>
  <c r="E128" i="7"/>
  <c r="E136" i="7"/>
  <c r="E144" i="7"/>
  <c r="E152" i="7"/>
  <c r="E160" i="7"/>
  <c r="E168" i="7"/>
  <c r="E5" i="7"/>
  <c r="D13" i="7"/>
  <c r="F13" i="7" s="1"/>
  <c r="G13" i="7" s="1"/>
  <c r="D21" i="7"/>
  <c r="D29" i="7"/>
  <c r="D37" i="7"/>
  <c r="D45" i="7"/>
  <c r="D53" i="7"/>
  <c r="D61" i="7"/>
  <c r="D69" i="7"/>
  <c r="D77" i="7"/>
  <c r="F77" i="7" s="1"/>
  <c r="G77" i="7" s="1"/>
  <c r="D85" i="7"/>
  <c r="D93" i="7"/>
  <c r="D101" i="7"/>
  <c r="D109" i="7"/>
  <c r="D117" i="7"/>
  <c r="D125" i="7"/>
  <c r="D133" i="7"/>
  <c r="D141" i="7"/>
  <c r="F141" i="7" s="1"/>
  <c r="G141" i="7" s="1"/>
  <c r="D149" i="7"/>
  <c r="D157" i="7"/>
  <c r="D165" i="7"/>
  <c r="D173" i="7"/>
  <c r="F173" i="7" s="1"/>
  <c r="E14" i="7"/>
  <c r="E70" i="7"/>
  <c r="E94" i="7"/>
  <c r="E134" i="7"/>
  <c r="D11" i="7"/>
  <c r="D67" i="7"/>
  <c r="D123" i="7"/>
  <c r="D171" i="7"/>
  <c r="F171" i="7" s="1"/>
  <c r="E9" i="7"/>
  <c r="E17" i="7"/>
  <c r="E25" i="7"/>
  <c r="E33" i="7"/>
  <c r="E41" i="7"/>
  <c r="E49" i="7"/>
  <c r="E57" i="7"/>
  <c r="E65" i="7"/>
  <c r="E73" i="7"/>
  <c r="E81" i="7"/>
  <c r="E89" i="7"/>
  <c r="E97" i="7"/>
  <c r="E105" i="7"/>
  <c r="E113" i="7"/>
  <c r="E121" i="7"/>
  <c r="E129" i="7"/>
  <c r="E137" i="7"/>
  <c r="E145" i="7"/>
  <c r="E153" i="7"/>
  <c r="E161" i="7"/>
  <c r="E169" i="7"/>
  <c r="D6" i="7"/>
  <c r="D14" i="7"/>
  <c r="D22" i="7"/>
  <c r="D30" i="7"/>
  <c r="D38" i="7"/>
  <c r="D46" i="7"/>
  <c r="F46" i="7" s="1"/>
  <c r="G46" i="7" s="1"/>
  <c r="D54" i="7"/>
  <c r="F54" i="7" s="1"/>
  <c r="G54" i="7" s="1"/>
  <c r="D62" i="7"/>
  <c r="D70" i="7"/>
  <c r="D78" i="7"/>
  <c r="D86" i="7"/>
  <c r="D94" i="7"/>
  <c r="D102" i="7"/>
  <c r="D110" i="7"/>
  <c r="F110" i="7" s="1"/>
  <c r="G110" i="7" s="1"/>
  <c r="D118" i="7"/>
  <c r="F118" i="7" s="1"/>
  <c r="G118" i="7" s="1"/>
  <c r="D126" i="7"/>
  <c r="D134" i="7"/>
  <c r="D142" i="7"/>
  <c r="D150" i="7"/>
  <c r="D158" i="7"/>
  <c r="D166" i="7"/>
  <c r="D174" i="7"/>
  <c r="F174" i="7" s="1"/>
  <c r="E30" i="7"/>
  <c r="E86" i="7"/>
  <c r="E150" i="7"/>
  <c r="D43" i="7"/>
  <c r="D91" i="7"/>
  <c r="D163" i="7"/>
  <c r="E10" i="7"/>
  <c r="E18" i="7"/>
  <c r="E26" i="7"/>
  <c r="E34" i="7"/>
  <c r="E42" i="7"/>
  <c r="E50" i="7"/>
  <c r="E58" i="7"/>
  <c r="E66" i="7"/>
  <c r="E74" i="7"/>
  <c r="E82" i="7"/>
  <c r="E90" i="7"/>
  <c r="E98" i="7"/>
  <c r="E106" i="7"/>
  <c r="E114" i="7"/>
  <c r="E122" i="7"/>
  <c r="E130" i="7"/>
  <c r="E138" i="7"/>
  <c r="E146" i="7"/>
  <c r="E154" i="7"/>
  <c r="E162" i="7"/>
  <c r="E170" i="7"/>
  <c r="D7" i="7"/>
  <c r="D15" i="7"/>
  <c r="D23" i="7"/>
  <c r="D31" i="7"/>
  <c r="D39" i="7"/>
  <c r="F39" i="7" s="1"/>
  <c r="D47" i="7"/>
  <c r="F47" i="7" s="1"/>
  <c r="G47" i="7" s="1"/>
  <c r="D55" i="7"/>
  <c r="D63" i="7"/>
  <c r="D71" i="7"/>
  <c r="D79" i="7"/>
  <c r="D87" i="7"/>
  <c r="D95" i="7"/>
  <c r="D103" i="7"/>
  <c r="F103" i="7" s="1"/>
  <c r="D111" i="7"/>
  <c r="F111" i="7" s="1"/>
  <c r="G111" i="7" s="1"/>
  <c r="D119" i="7"/>
  <c r="D127" i="7"/>
  <c r="D135" i="7"/>
  <c r="D143" i="7"/>
  <c r="D151" i="7"/>
  <c r="D159" i="7"/>
  <c r="D167" i="7"/>
  <c r="F167" i="7" s="1"/>
  <c r="G167" i="7" s="1"/>
  <c r="D175" i="7"/>
  <c r="F175" i="7" s="1"/>
  <c r="G175" i="7" s="1"/>
  <c r="E46" i="7"/>
  <c r="E118" i="7"/>
  <c r="D19" i="7"/>
  <c r="D75" i="7"/>
  <c r="D131" i="7"/>
  <c r="E11" i="7"/>
  <c r="E19" i="7"/>
  <c r="E27" i="7"/>
  <c r="E35" i="7"/>
  <c r="E43" i="7"/>
  <c r="E51" i="7"/>
  <c r="E59" i="7"/>
  <c r="E67" i="7"/>
  <c r="E75" i="7"/>
  <c r="E83" i="7"/>
  <c r="E91" i="7"/>
  <c r="E99" i="7"/>
  <c r="E107" i="7"/>
  <c r="E115" i="7"/>
  <c r="E123" i="7"/>
  <c r="E131" i="7"/>
  <c r="E139" i="7"/>
  <c r="E147" i="7"/>
  <c r="E155" i="7"/>
  <c r="E163" i="7"/>
  <c r="E171" i="7"/>
  <c r="D8" i="7"/>
  <c r="D16" i="7"/>
  <c r="D24" i="7"/>
  <c r="D32" i="7"/>
  <c r="D40" i="7"/>
  <c r="F40" i="7" s="1"/>
  <c r="G40" i="7" s="1"/>
  <c r="D48" i="7"/>
  <c r="F48" i="7" s="1"/>
  <c r="D56" i="7"/>
  <c r="D64" i="7"/>
  <c r="D72" i="7"/>
  <c r="D80" i="7"/>
  <c r="D88" i="7"/>
  <c r="D96" i="7"/>
  <c r="D104" i="7"/>
  <c r="F104" i="7" s="1"/>
  <c r="G104" i="7" s="1"/>
  <c r="D112" i="7"/>
  <c r="F112" i="7" s="1"/>
  <c r="D120" i="7"/>
  <c r="D128" i="7"/>
  <c r="D136" i="7"/>
  <c r="D144" i="7"/>
  <c r="D152" i="7"/>
  <c r="D160" i="7"/>
  <c r="D168" i="7"/>
  <c r="F168" i="7" s="1"/>
  <c r="G168" i="7" s="1"/>
  <c r="D5" i="7"/>
  <c r="F5" i="7" s="1"/>
  <c r="E38" i="7"/>
  <c r="E142" i="7"/>
  <c r="D27" i="7"/>
  <c r="D83" i="7"/>
  <c r="D139" i="7"/>
  <c r="E12" i="7"/>
  <c r="E20" i="7"/>
  <c r="E28" i="7"/>
  <c r="E36" i="7"/>
  <c r="E44" i="7"/>
  <c r="E52" i="7"/>
  <c r="E60" i="7"/>
  <c r="E68" i="7"/>
  <c r="E76" i="7"/>
  <c r="E84" i="7"/>
  <c r="E92" i="7"/>
  <c r="E100" i="7"/>
  <c r="E108" i="7"/>
  <c r="E116" i="7"/>
  <c r="E124" i="7"/>
  <c r="E132" i="7"/>
  <c r="E140" i="7"/>
  <c r="E148" i="7"/>
  <c r="E156" i="7"/>
  <c r="E164" i="7"/>
  <c r="E172" i="7"/>
  <c r="D9" i="7"/>
  <c r="D17" i="7"/>
  <c r="D25" i="7"/>
  <c r="D33" i="7"/>
  <c r="D41" i="7"/>
  <c r="F41" i="7" s="1"/>
  <c r="G41" i="7" s="1"/>
  <c r="D49" i="7"/>
  <c r="F49" i="7" s="1"/>
  <c r="G49" i="7" s="1"/>
  <c r="D57" i="7"/>
  <c r="D65" i="7"/>
  <c r="D73" i="7"/>
  <c r="D81" i="7"/>
  <c r="D89" i="7"/>
  <c r="D97" i="7"/>
  <c r="D105" i="7"/>
  <c r="F105" i="7" s="1"/>
  <c r="G105" i="7" s="1"/>
  <c r="D113" i="7"/>
  <c r="F113" i="7" s="1"/>
  <c r="G113" i="7" s="1"/>
  <c r="D121" i="7"/>
  <c r="D129" i="7"/>
  <c r="D137" i="7"/>
  <c r="D145" i="7"/>
  <c r="D153" i="7"/>
  <c r="D161" i="7"/>
  <c r="D169" i="7"/>
  <c r="F169" i="7" s="1"/>
  <c r="G169" i="7" s="1"/>
  <c r="E22" i="7"/>
  <c r="E102" i="7"/>
  <c r="E158" i="7"/>
  <c r="D35" i="7"/>
  <c r="D99" i="7"/>
  <c r="D155" i="7"/>
  <c r="E13" i="7"/>
  <c r="E21" i="7"/>
  <c r="E29" i="7"/>
  <c r="E37" i="7"/>
  <c r="E45" i="7"/>
  <c r="E53" i="7"/>
  <c r="E61" i="7"/>
  <c r="E69" i="7"/>
  <c r="E77" i="7"/>
  <c r="E85" i="7"/>
  <c r="E93" i="7"/>
  <c r="E101" i="7"/>
  <c r="E109" i="7"/>
  <c r="E117" i="7"/>
  <c r="E125" i="7"/>
  <c r="E133" i="7"/>
  <c r="E141" i="7"/>
  <c r="E149" i="7"/>
  <c r="E157" i="7"/>
  <c r="E165" i="7"/>
  <c r="E173" i="7"/>
  <c r="D10" i="7"/>
  <c r="D18" i="7"/>
  <c r="D26" i="7"/>
  <c r="F26" i="7" s="1"/>
  <c r="D34" i="7"/>
  <c r="D42" i="7"/>
  <c r="F42" i="7" s="1"/>
  <c r="G42" i="7" s="1"/>
  <c r="D50" i="7"/>
  <c r="F50" i="7" s="1"/>
  <c r="D58" i="7"/>
  <c r="F58" i="7" s="1"/>
  <c r="G58" i="7" s="1"/>
  <c r="D66" i="7"/>
  <c r="D74" i="7"/>
  <c r="D82" i="7"/>
  <c r="D90" i="7"/>
  <c r="D98" i="7"/>
  <c r="D106" i="7"/>
  <c r="F106" i="7" s="1"/>
  <c r="D114" i="7"/>
  <c r="F114" i="7" s="1"/>
  <c r="D122" i="7"/>
  <c r="F122" i="7" s="1"/>
  <c r="G122" i="7" s="1"/>
  <c r="D130" i="7"/>
  <c r="F130" i="7" s="1"/>
  <c r="D138" i="7"/>
  <c r="D146" i="7"/>
  <c r="D154" i="7"/>
  <c r="F154" i="7" s="1"/>
  <c r="D162" i="7"/>
  <c r="F162" i="7" s="1"/>
  <c r="G162" i="7" s="1"/>
  <c r="D170" i="7"/>
  <c r="F170" i="7" s="1"/>
  <c r="G170" i="7" s="1"/>
  <c r="E6" i="7"/>
  <c r="E62" i="7"/>
  <c r="E78" i="7"/>
  <c r="E126" i="7"/>
  <c r="E174" i="7"/>
  <c r="D59" i="7"/>
  <c r="F59" i="7" s="1"/>
  <c r="G59" i="7" s="1"/>
  <c r="D115" i="7"/>
  <c r="F115" i="7" s="1"/>
  <c r="G115" i="7" s="1"/>
  <c r="F120" i="7"/>
  <c r="F88" i="7"/>
  <c r="G88" i="7" s="1"/>
  <c r="F24" i="7"/>
  <c r="F56" i="7"/>
  <c r="F4" i="3"/>
  <c r="G4" i="3" s="1"/>
  <c r="F159" i="8"/>
  <c r="F128" i="8"/>
  <c r="F164" i="8"/>
  <c r="F136" i="8"/>
  <c r="F72" i="8"/>
  <c r="F151" i="8"/>
  <c r="F143" i="8"/>
  <c r="F104" i="8"/>
  <c r="F154" i="8"/>
  <c r="F146" i="8"/>
  <c r="F135" i="8"/>
  <c r="F32" i="8"/>
  <c r="F8" i="8"/>
  <c r="F15" i="8"/>
  <c r="F23" i="8"/>
  <c r="F27" i="8"/>
  <c r="F35" i="8"/>
  <c r="F39" i="8"/>
  <c r="F71" i="8"/>
  <c r="F87" i="8"/>
  <c r="F95" i="8"/>
  <c r="F103" i="8"/>
  <c r="F5" i="8"/>
  <c r="F44" i="8"/>
  <c r="F52" i="8"/>
  <c r="F60" i="8"/>
  <c r="F92" i="8"/>
  <c r="F108" i="8"/>
  <c r="F116" i="8"/>
  <c r="F132" i="8"/>
  <c r="F10" i="8"/>
  <c r="F17" i="8"/>
  <c r="F25" i="8"/>
  <c r="F37" i="8"/>
  <c r="F41" i="8"/>
  <c r="F65" i="8"/>
  <c r="F73" i="8"/>
  <c r="F97" i="8"/>
  <c r="F129" i="8"/>
  <c r="F137" i="8"/>
  <c r="F7" i="8"/>
  <c r="F14" i="8"/>
  <c r="F22" i="8"/>
  <c r="F30" i="8"/>
  <c r="F38" i="8"/>
  <c r="F46" i="8"/>
  <c r="F54" i="8"/>
  <c r="F78" i="8"/>
  <c r="F86" i="8"/>
  <c r="F94" i="8"/>
  <c r="F102" i="8"/>
  <c r="F110" i="8"/>
  <c r="F118" i="8"/>
  <c r="F142" i="8"/>
  <c r="F19" i="8"/>
  <c r="F31" i="8"/>
  <c r="F43" i="8"/>
  <c r="F75" i="8"/>
  <c r="F83" i="8"/>
  <c r="F91" i="8"/>
  <c r="F107" i="8"/>
  <c r="F115" i="8"/>
  <c r="F139" i="8"/>
  <c r="G139" i="8" s="1"/>
  <c r="F33" i="8"/>
  <c r="F45" i="8"/>
  <c r="F61" i="8"/>
  <c r="F85" i="8"/>
  <c r="F93" i="8"/>
  <c r="F101" i="8"/>
  <c r="F109" i="8"/>
  <c r="F117" i="8"/>
  <c r="F125" i="8"/>
  <c r="F11" i="8"/>
  <c r="G11" i="8" s="1"/>
  <c r="F18" i="8"/>
  <c r="G18" i="8" s="1"/>
  <c r="F34" i="8"/>
  <c r="F50" i="8"/>
  <c r="G50" i="8" s="1"/>
  <c r="F58" i="8"/>
  <c r="F66" i="8"/>
  <c r="F74" i="8"/>
  <c r="F90" i="8"/>
  <c r="F98" i="8"/>
  <c r="F106" i="8"/>
  <c r="F114" i="8"/>
  <c r="F122" i="8"/>
  <c r="F130" i="8"/>
  <c r="F138" i="8"/>
  <c r="F156" i="8"/>
  <c r="F148" i="8"/>
  <c r="F99" i="8"/>
  <c r="F40" i="8"/>
  <c r="F29" i="8"/>
  <c r="F165" i="8"/>
  <c r="F157" i="8"/>
  <c r="F149" i="8"/>
  <c r="F111" i="8"/>
  <c r="F81" i="8"/>
  <c r="F36" i="8"/>
  <c r="F28" i="8"/>
  <c r="G28" i="8" s="1"/>
  <c r="F9" i="8"/>
  <c r="F124" i="8"/>
  <c r="G124" i="8" s="1"/>
  <c r="F88" i="8"/>
  <c r="F166" i="8"/>
  <c r="G166" i="8" s="1"/>
  <c r="F160" i="8"/>
  <c r="G160" i="8" s="1"/>
  <c r="F152" i="8"/>
  <c r="F144" i="8"/>
  <c r="F96" i="8"/>
  <c r="G96" i="8" s="1"/>
  <c r="F80" i="8"/>
  <c r="F64" i="8"/>
  <c r="G64" i="8" s="1"/>
  <c r="F16" i="8"/>
  <c r="G16" i="8" s="1"/>
  <c r="F163" i="8"/>
  <c r="F155" i="8"/>
  <c r="F147" i="8"/>
  <c r="F53" i="8"/>
  <c r="G53" i="8" s="1"/>
  <c r="F21" i="8"/>
  <c r="G21" i="8" s="1"/>
  <c r="F158" i="8"/>
  <c r="F150" i="8"/>
  <c r="F100" i="8"/>
  <c r="F79" i="8"/>
  <c r="F68" i="8"/>
  <c r="F47" i="8"/>
  <c r="F161" i="8"/>
  <c r="F153" i="8"/>
  <c r="F145" i="8"/>
  <c r="F89" i="8"/>
  <c r="F24" i="8"/>
  <c r="F98" i="7"/>
  <c r="F34" i="7"/>
  <c r="F64" i="7"/>
  <c r="F90" i="7"/>
  <c r="F82" i="7"/>
  <c r="F102" i="7"/>
  <c r="F31" i="7"/>
  <c r="G31" i="7" s="1"/>
  <c r="F63" i="7"/>
  <c r="F95" i="7"/>
  <c r="G95" i="7" s="1"/>
  <c r="F119" i="7"/>
  <c r="F159" i="7"/>
  <c r="G159" i="7" s="1"/>
  <c r="F23" i="7"/>
  <c r="G23" i="7" s="1"/>
  <c r="F55" i="7"/>
  <c r="F149" i="7"/>
  <c r="F157" i="7"/>
  <c r="F165" i="7"/>
  <c r="G165" i="7" s="1"/>
  <c r="F143" i="7"/>
  <c r="F15" i="7"/>
  <c r="F79" i="7"/>
  <c r="G79" i="7" s="1"/>
  <c r="F151" i="7"/>
  <c r="G151" i="7" s="1"/>
  <c r="F7" i="7"/>
  <c r="G7" i="7" s="1"/>
  <c r="F87" i="7"/>
  <c r="G87" i="7" s="1"/>
  <c r="F135" i="7"/>
  <c r="G135" i="7" s="1"/>
  <c r="F80" i="7"/>
  <c r="G80" i="7" s="1"/>
  <c r="F16" i="7"/>
  <c r="G16" i="7" s="1"/>
  <c r="F96" i="7"/>
  <c r="F32" i="7"/>
  <c r="F8" i="7"/>
  <c r="G8" i="7" s="1"/>
  <c r="F18" i="7"/>
  <c r="F138" i="7"/>
  <c r="F74" i="7"/>
  <c r="G74" i="7" s="1"/>
  <c r="F10" i="7"/>
  <c r="G10" i="7" s="1"/>
  <c r="F144" i="7"/>
  <c r="G144" i="7" s="1"/>
  <c r="F127" i="7"/>
  <c r="F71" i="7"/>
  <c r="G71" i="7" s="1"/>
  <c r="F146" i="7"/>
  <c r="F160" i="7"/>
  <c r="F152" i="7"/>
  <c r="F136" i="7"/>
  <c r="F72" i="7"/>
  <c r="G72" i="7" s="1"/>
  <c r="F128" i="7"/>
  <c r="G128" i="7" s="1"/>
  <c r="F66" i="7"/>
  <c r="G66" i="7" s="1"/>
  <c r="F161" i="7"/>
  <c r="F153" i="7"/>
  <c r="F145" i="7"/>
  <c r="G145" i="7" s="1"/>
  <c r="F137" i="7"/>
  <c r="F129" i="7"/>
  <c r="G129" i="7" s="1"/>
  <c r="F121" i="7"/>
  <c r="G121" i="7" s="1"/>
  <c r="F97" i="7"/>
  <c r="F89" i="7"/>
  <c r="F81" i="7"/>
  <c r="G81" i="7" s="1"/>
  <c r="F73" i="7"/>
  <c r="F65" i="7"/>
  <c r="G65" i="7" s="1"/>
  <c r="F57" i="7"/>
  <c r="G57" i="7" s="1"/>
  <c r="F33" i="7"/>
  <c r="F25" i="7"/>
  <c r="F17" i="7"/>
  <c r="G17" i="7" s="1"/>
  <c r="F9" i="7"/>
  <c r="G9" i="7" s="1"/>
  <c r="F166" i="7"/>
  <c r="G166" i="7" s="1"/>
  <c r="F158" i="7"/>
  <c r="F150" i="7"/>
  <c r="G150" i="7" s="1"/>
  <c r="F142" i="7"/>
  <c r="G142" i="7" s="1"/>
  <c r="F134" i="7"/>
  <c r="F126" i="7"/>
  <c r="G126" i="7" s="1"/>
  <c r="F94" i="7"/>
  <c r="F86" i="7"/>
  <c r="G86" i="7" s="1"/>
  <c r="F78" i="7"/>
  <c r="F70" i="7"/>
  <c r="G70" i="7" s="1"/>
  <c r="F62" i="7"/>
  <c r="G62" i="7" s="1"/>
  <c r="F38" i="7"/>
  <c r="F30" i="7"/>
  <c r="F22" i="7"/>
  <c r="F14" i="7"/>
  <c r="G14" i="7" s="1"/>
  <c r="F6" i="7"/>
  <c r="G24" i="7"/>
  <c r="F133" i="7"/>
  <c r="G133" i="7" s="1"/>
  <c r="F125" i="7"/>
  <c r="G125" i="7" s="1"/>
  <c r="F117" i="7"/>
  <c r="G117" i="7" s="1"/>
  <c r="F109" i="7"/>
  <c r="G109" i="7" s="1"/>
  <c r="F101" i="7"/>
  <c r="F93" i="7"/>
  <c r="F85" i="7"/>
  <c r="F69" i="7"/>
  <c r="G69" i="7" s="1"/>
  <c r="F61" i="7"/>
  <c r="G61" i="7" s="1"/>
  <c r="F53" i="7"/>
  <c r="G53" i="7" s="1"/>
  <c r="F45" i="7"/>
  <c r="G45" i="7" s="1"/>
  <c r="F37" i="7"/>
  <c r="F29" i="7"/>
  <c r="F21" i="7"/>
  <c r="F164" i="7"/>
  <c r="F156" i="7"/>
  <c r="F140" i="7"/>
  <c r="G140" i="7" s="1"/>
  <c r="F132" i="7"/>
  <c r="G132" i="7" s="1"/>
  <c r="F124" i="7"/>
  <c r="G124" i="7" s="1"/>
  <c r="F116" i="7"/>
  <c r="G116" i="7" s="1"/>
  <c r="F108" i="7"/>
  <c r="G108" i="7" s="1"/>
  <c r="F100" i="7"/>
  <c r="G100" i="7" s="1"/>
  <c r="F92" i="7"/>
  <c r="F76" i="7"/>
  <c r="G76" i="7" s="1"/>
  <c r="F68" i="7"/>
  <c r="G68" i="7" s="1"/>
  <c r="F60" i="7"/>
  <c r="G60" i="7" s="1"/>
  <c r="F52" i="7"/>
  <c r="G52" i="7" s="1"/>
  <c r="F44" i="7"/>
  <c r="G44" i="7" s="1"/>
  <c r="F36" i="7"/>
  <c r="G36" i="7" s="1"/>
  <c r="F28" i="7"/>
  <c r="F12" i="7"/>
  <c r="G12" i="7" s="1"/>
  <c r="F163" i="7"/>
  <c r="F155" i="7"/>
  <c r="F147" i="7"/>
  <c r="F139" i="7"/>
  <c r="G139" i="7" s="1"/>
  <c r="F131" i="7"/>
  <c r="G131" i="7" s="1"/>
  <c r="F123" i="7"/>
  <c r="G123" i="7" s="1"/>
  <c r="F99" i="7"/>
  <c r="G99" i="7" s="1"/>
  <c r="F91" i="7"/>
  <c r="F83" i="7"/>
  <c r="F75" i="7"/>
  <c r="G75" i="7" s="1"/>
  <c r="F67" i="7"/>
  <c r="G67" i="7" s="1"/>
  <c r="F43" i="7"/>
  <c r="G43" i="7" s="1"/>
  <c r="F35" i="7"/>
  <c r="F27" i="7"/>
  <c r="F19" i="7"/>
  <c r="F11" i="7"/>
  <c r="G11" i="7" s="1"/>
  <c r="G169" i="8" l="1"/>
  <c r="G90" i="8"/>
  <c r="G168" i="8"/>
  <c r="G173" i="8"/>
  <c r="G172" i="8"/>
  <c r="G170" i="8"/>
  <c r="G21" i="7"/>
  <c r="G85" i="7"/>
  <c r="G55" i="7"/>
  <c r="G147" i="7"/>
  <c r="G153" i="7"/>
  <c r="G119" i="7"/>
  <c r="G19" i="7"/>
  <c r="G83" i="7"/>
  <c r="G25" i="7"/>
  <c r="G146" i="7"/>
  <c r="G18" i="7"/>
  <c r="G26" i="7"/>
  <c r="G174" i="7"/>
  <c r="G155" i="7"/>
  <c r="G93" i="7"/>
  <c r="G134" i="7"/>
  <c r="G97" i="7"/>
  <c r="G157" i="7"/>
  <c r="G27" i="7"/>
  <c r="G29" i="7"/>
  <c r="G161" i="7"/>
  <c r="G6" i="7"/>
  <c r="G78" i="7"/>
  <c r="G149" i="7"/>
  <c r="G171" i="7"/>
  <c r="G173" i="7"/>
  <c r="G91" i="7"/>
  <c r="G33" i="7"/>
  <c r="G28" i="7"/>
  <c r="G92" i="7"/>
  <c r="G156" i="7"/>
  <c r="G22" i="7"/>
  <c r="G63" i="7"/>
  <c r="G154" i="7"/>
  <c r="G172" i="7"/>
  <c r="G48" i="8"/>
  <c r="G6" i="8"/>
  <c r="G147" i="8"/>
  <c r="G71" i="8"/>
  <c r="G17" i="8"/>
  <c r="G80" i="8"/>
  <c r="G88" i="8"/>
  <c r="G79" i="8"/>
  <c r="G100" i="8"/>
  <c r="G152" i="8"/>
  <c r="G61" i="8"/>
  <c r="G131" i="8"/>
  <c r="G159" i="8"/>
  <c r="G85" i="8"/>
  <c r="G123" i="8"/>
  <c r="G137" i="8"/>
  <c r="G105" i="8"/>
  <c r="G73" i="8"/>
  <c r="G41" i="8"/>
  <c r="G116" i="8"/>
  <c r="G84" i="8"/>
  <c r="G52" i="8"/>
  <c r="G95" i="8"/>
  <c r="G63" i="8"/>
  <c r="G141" i="8"/>
  <c r="G109" i="8"/>
  <c r="G77" i="8"/>
  <c r="G45" i="8"/>
  <c r="G138" i="8"/>
  <c r="G106" i="8"/>
  <c r="G74" i="8"/>
  <c r="G42" i="8"/>
  <c r="G145" i="8"/>
  <c r="G24" i="8"/>
  <c r="G155" i="8"/>
  <c r="G98" i="8"/>
  <c r="G66" i="8"/>
  <c r="G164" i="8"/>
  <c r="G156" i="8"/>
  <c r="G10" i="8"/>
  <c r="G69" i="8"/>
  <c r="G129" i="8"/>
  <c r="G97" i="8"/>
  <c r="G65" i="8"/>
  <c r="G140" i="8"/>
  <c r="G108" i="8"/>
  <c r="G76" i="8"/>
  <c r="G44" i="8"/>
  <c r="G87" i="8"/>
  <c r="G55" i="8"/>
  <c r="G153" i="8"/>
  <c r="G5" i="8"/>
  <c r="G107" i="8"/>
  <c r="G19" i="8"/>
  <c r="G40" i="8"/>
  <c r="G150" i="8"/>
  <c r="G58" i="8"/>
  <c r="G33" i="8"/>
  <c r="G47" i="8"/>
  <c r="G111" i="8"/>
  <c r="G29" i="8"/>
  <c r="G133" i="8"/>
  <c r="G68" i="8"/>
  <c r="G112" i="8"/>
  <c r="G146" i="8"/>
  <c r="G81" i="8"/>
  <c r="G115" i="8"/>
  <c r="G37" i="8"/>
  <c r="G20" i="8"/>
  <c r="G27" i="8"/>
  <c r="G158" i="8"/>
  <c r="G36" i="8"/>
  <c r="G26" i="8"/>
  <c r="G149" i="8"/>
  <c r="G161" i="8"/>
  <c r="G113" i="8"/>
  <c r="G125" i="8"/>
  <c r="G93" i="8"/>
  <c r="G132" i="8"/>
  <c r="G49" i="8"/>
  <c r="G157" i="8"/>
  <c r="G148" i="8"/>
  <c r="G56" i="8"/>
  <c r="G25" i="8"/>
  <c r="G127" i="8"/>
  <c r="G144" i="8"/>
  <c r="G117" i="8"/>
  <c r="G92" i="8"/>
  <c r="G60" i="8"/>
  <c r="G103" i="8"/>
  <c r="G34" i="8"/>
  <c r="G83" i="8"/>
  <c r="G51" i="8"/>
  <c r="G118" i="8"/>
  <c r="G86" i="8"/>
  <c r="G54" i="8"/>
  <c r="G121" i="8"/>
  <c r="G163" i="8"/>
  <c r="G99" i="8"/>
  <c r="G130" i="8"/>
  <c r="G12" i="8"/>
  <c r="G22" i="8"/>
  <c r="G135" i="8"/>
  <c r="G104" i="8"/>
  <c r="G128" i="8"/>
  <c r="G72" i="8"/>
  <c r="G57" i="8"/>
  <c r="G75" i="8"/>
  <c r="G43" i="8"/>
  <c r="G142" i="8"/>
  <c r="G110" i="8"/>
  <c r="G78" i="8"/>
  <c r="G46" i="8"/>
  <c r="G23" i="8"/>
  <c r="G136" i="8"/>
  <c r="G122" i="8"/>
  <c r="G14" i="8"/>
  <c r="G32" i="8"/>
  <c r="G13" i="8"/>
  <c r="G101" i="8"/>
  <c r="G67" i="8"/>
  <c r="G31" i="8"/>
  <c r="G134" i="8"/>
  <c r="G102" i="8"/>
  <c r="G70" i="8"/>
  <c r="G38" i="8"/>
  <c r="G15" i="8"/>
  <c r="G154" i="8"/>
  <c r="G143" i="8"/>
  <c r="G114" i="8"/>
  <c r="G7" i="8"/>
  <c r="G39" i="8"/>
  <c r="G89" i="8"/>
  <c r="G9" i="8"/>
  <c r="G165" i="8"/>
  <c r="G91" i="8"/>
  <c r="G59" i="8"/>
  <c r="G126" i="8"/>
  <c r="G94" i="8"/>
  <c r="G62" i="8"/>
  <c r="G30" i="8"/>
  <c r="G35" i="8"/>
  <c r="G8" i="8"/>
  <c r="G119" i="8"/>
  <c r="G162" i="8"/>
  <c r="G151" i="8"/>
  <c r="G30" i="7"/>
  <c r="G114" i="7"/>
  <c r="G32" i="7"/>
  <c r="G38" i="7"/>
  <c r="G102" i="7"/>
  <c r="G158" i="7"/>
  <c r="G35" i="7"/>
  <c r="G163" i="7"/>
  <c r="G73" i="7"/>
  <c r="G137" i="7"/>
  <c r="G152" i="7"/>
  <c r="G106" i="7"/>
  <c r="G39" i="7"/>
  <c r="G48" i="7"/>
  <c r="G82" i="7"/>
  <c r="G94" i="7"/>
  <c r="G90" i="7"/>
  <c r="G148" i="7"/>
  <c r="G160" i="7"/>
  <c r="G127" i="7"/>
  <c r="G138" i="7"/>
  <c r="G112" i="7"/>
  <c r="G89" i="7"/>
  <c r="G96" i="7"/>
  <c r="G34" i="7"/>
  <c r="G15" i="7"/>
  <c r="G143" i="7"/>
  <c r="G164" i="7"/>
  <c r="G50" i="7"/>
  <c r="G98" i="7"/>
  <c r="G37" i="7"/>
  <c r="G101" i="7"/>
  <c r="G5" i="7"/>
  <c r="G130" i="7"/>
  <c r="G64" i="7"/>
  <c r="G103" i="7"/>
  <c r="G136" i="7"/>
  <c r="C165" i="3" l="1"/>
  <c r="C157" i="3"/>
  <c r="C164" i="3" l="1"/>
  <c r="C163" i="3"/>
  <c r="C162" i="3"/>
  <c r="C161" i="3"/>
  <c r="C160" i="3"/>
  <c r="C159" i="3"/>
  <c r="C158" i="3"/>
  <c r="C156" i="3"/>
  <c r="C155" i="3"/>
  <c r="C154" i="3"/>
  <c r="C153" i="3"/>
  <c r="C152" i="3"/>
  <c r="C151" i="3"/>
  <c r="C150" i="3"/>
  <c r="C149" i="3"/>
  <c r="C148" i="3" s="1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<sst xmlns="http://schemas.openxmlformats.org/spreadsheetml/2006/main" count="83" uniqueCount="26">
  <si>
    <t>Tenbosch</t>
  </si>
  <si>
    <t>Recharge</t>
  </si>
  <si>
    <t>Date (Months)</t>
  </si>
  <si>
    <t>Recharge (inches)</t>
  </si>
  <si>
    <t>Average recharge</t>
  </si>
  <si>
    <t>STDEV</t>
  </si>
  <si>
    <t xml:space="preserve">Drought index - Recharge </t>
  </si>
  <si>
    <t>Mild drought</t>
  </si>
  <si>
    <t xml:space="preserve">Moderate drought </t>
  </si>
  <si>
    <t>Extreme drought</t>
  </si>
  <si>
    <t>Slitly wet</t>
  </si>
  <si>
    <t>Moderately wet</t>
  </si>
  <si>
    <t>Severe wet</t>
  </si>
  <si>
    <t>Severe drought</t>
  </si>
  <si>
    <t>Moderate wet</t>
  </si>
  <si>
    <t>Lower Sabie</t>
  </si>
  <si>
    <t>Date</t>
  </si>
  <si>
    <t>Recharge(mm/a)</t>
  </si>
  <si>
    <t xml:space="preserve">Recharge </t>
  </si>
  <si>
    <t xml:space="preserve">Standardized recharge </t>
  </si>
  <si>
    <t xml:space="preserve">Sands </t>
  </si>
  <si>
    <t>Upper Komati</t>
  </si>
  <si>
    <t>Threshold</t>
  </si>
  <si>
    <t xml:space="preserve">Standardised recharge </t>
  </si>
  <si>
    <t>Filure threshold</t>
  </si>
  <si>
    <t>Recharge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</si>
</sst>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4" fillId="4" borderId="4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</cellStyleXfs>
  <cellXfs count="74">
    <xf numFmtId="0" fontId="0" fillId="0" borderId="0" xfId="0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164" fontId="1" fillId="3" borderId="1" xfId="0" applyNumberFormat="1" applyFont="1" applyFill="1" applyBorder="1"/>
    <xf numFmtId="0" fontId="0" fillId="3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7" borderId="0" xfId="0" applyFill="1"/>
    <xf numFmtId="0" fontId="0" fillId="8" borderId="9" xfId="0" applyFill="1" applyBorder="1"/>
    <xf numFmtId="0" fontId="0" fillId="6" borderId="0" xfId="0" applyFill="1"/>
    <xf numFmtId="0" fontId="0" fillId="9" borderId="0" xfId="0" applyFill="1"/>
    <xf numFmtId="0" fontId="0" fillId="7" borderId="6" xfId="0" applyFill="1" applyBorder="1"/>
    <xf numFmtId="0" fontId="7" fillId="0" borderId="0" xfId="0" applyFont="1"/>
    <xf numFmtId="0" fontId="1" fillId="0" borderId="0" xfId="0" applyFont="1"/>
    <xf numFmtId="17" fontId="0" fillId="0" borderId="0" xfId="0" applyNumberFormat="1"/>
    <xf numFmtId="166" fontId="0" fillId="5" borderId="1" xfId="0" applyNumberFormat="1" applyFill="1" applyBorder="1"/>
    <xf numFmtId="2" fontId="0" fillId="5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11" xfId="0" applyFill="1" applyBorder="1"/>
    <xf numFmtId="165" fontId="1" fillId="3" borderId="11" xfId="0" applyNumberFormat="1" applyFont="1" applyFill="1" applyBorder="1"/>
    <xf numFmtId="0" fontId="0" fillId="3" borderId="11" xfId="0" applyFill="1" applyBorder="1"/>
    <xf numFmtId="0" fontId="6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4" fontId="9" fillId="0" borderId="0" xfId="0" applyNumberFormat="1" applyFont="1"/>
    <xf numFmtId="166" fontId="0" fillId="2" borderId="1" xfId="0" applyNumberFormat="1" applyFill="1" applyBorder="1"/>
    <xf numFmtId="0" fontId="0" fillId="0" borderId="9" xfId="0" applyBorder="1"/>
    <xf numFmtId="0" fontId="0" fillId="2" borderId="12" xfId="0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1" fillId="3" borderId="1" xfId="0" applyNumberFormat="1" applyFont="1" applyFill="1" applyBorder="1"/>
    <xf numFmtId="164" fontId="0" fillId="2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5" borderId="2" xfId="0" applyNumberFormat="1" applyFon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right"/>
    </xf>
    <xf numFmtId="0" fontId="0" fillId="3" borderId="0" xfId="0" applyFill="1"/>
    <xf numFmtId="166" fontId="0" fillId="3" borderId="0" xfId="0" applyNumberFormat="1" applyFill="1"/>
    <xf numFmtId="0" fontId="0" fillId="3" borderId="10" xfId="0" applyFill="1" applyBorder="1"/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9" fillId="3" borderId="3" xfId="0" applyNumberFormat="1" applyFont="1" applyFill="1" applyBorder="1" applyAlignment="1">
      <alignment horizontal="center"/>
    </xf>
    <xf numFmtId="164" fontId="9" fillId="3" borderId="0" xfId="0" applyNumberFormat="1" applyFont="1" applyFill="1" applyAlignment="1">
      <alignment horizont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Groudnwawter levels vs recharge performance in Crocodile catchment </a:t>
            </a:r>
          </a:p>
        </c:rich>
      </c:tx>
      <c:layout>
        <c:manualLayout>
          <c:xMode val="edge"/>
          <c:yMode val="edge"/>
          <c:x val="0.2139846829294571"/>
          <c:y val="2.271916010498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Groundwater 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workbook'!$A$145:$A$166</c:f>
              <c:numCache>
                <c:formatCode>yyyy/mm</c:formatCode>
                <c:ptCount val="22"/>
                <c:pt idx="0">
                  <c:v>44844</c:v>
                </c:pt>
                <c:pt idx="1">
                  <c:v>44875</c:v>
                </c:pt>
                <c:pt idx="2">
                  <c:v>44905</c:v>
                </c:pt>
                <c:pt idx="3">
                  <c:v>44936</c:v>
                </c:pt>
                <c:pt idx="4">
                  <c:v>44967</c:v>
                </c:pt>
                <c:pt idx="5">
                  <c:v>44995</c:v>
                </c:pt>
                <c:pt idx="6">
                  <c:v>45026</c:v>
                </c:pt>
                <c:pt idx="7">
                  <c:v>45056</c:v>
                </c:pt>
                <c:pt idx="8">
                  <c:v>45087</c:v>
                </c:pt>
                <c:pt idx="9">
                  <c:v>45117</c:v>
                </c:pt>
                <c:pt idx="10">
                  <c:v>45148</c:v>
                </c:pt>
                <c:pt idx="11">
                  <c:v>45179</c:v>
                </c:pt>
                <c:pt idx="12">
                  <c:v>45209</c:v>
                </c:pt>
                <c:pt idx="13">
                  <c:v>45240</c:v>
                </c:pt>
                <c:pt idx="14">
                  <c:v>45270</c:v>
                </c:pt>
                <c:pt idx="15">
                  <c:v>45301</c:v>
                </c:pt>
                <c:pt idx="16">
                  <c:v>45332</c:v>
                </c:pt>
                <c:pt idx="17">
                  <c:v>45361</c:v>
                </c:pt>
                <c:pt idx="18">
                  <c:v>45392</c:v>
                </c:pt>
                <c:pt idx="19">
                  <c:v>45422</c:v>
                </c:pt>
                <c:pt idx="20">
                  <c:v>45453</c:v>
                </c:pt>
                <c:pt idx="21">
                  <c:v>45483</c:v>
                </c:pt>
              </c:numCache>
            </c:numRef>
          </c:xVal>
          <c:yVal>
            <c:numRef>
              <c:f>'Crocodile workbook'!$B$145:$B$166</c:f>
              <c:numCache>
                <c:formatCode>General</c:formatCode>
                <c:ptCount val="22"/>
                <c:pt idx="0">
                  <c:v>0.03</c:v>
                </c:pt>
                <c:pt idx="1">
                  <c:v>0.2</c:v>
                </c:pt>
                <c:pt idx="2">
                  <c:v>0.5</c:v>
                </c:pt>
                <c:pt idx="3">
                  <c:v>0.21</c:v>
                </c:pt>
                <c:pt idx="4">
                  <c:v>0.72</c:v>
                </c:pt>
                <c:pt idx="5">
                  <c:v>0.15</c:v>
                </c:pt>
                <c:pt idx="6">
                  <c:v>0.13</c:v>
                </c:pt>
                <c:pt idx="7">
                  <c:v>0.28999999999999998</c:v>
                </c:pt>
                <c:pt idx="8">
                  <c:v>0.14000000000000001</c:v>
                </c:pt>
                <c:pt idx="9">
                  <c:v>0.17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0.1</c:v>
                </c:pt>
                <c:pt idx="14">
                  <c:v>0.66</c:v>
                </c:pt>
                <c:pt idx="15">
                  <c:v>0.2</c:v>
                </c:pt>
                <c:pt idx="16">
                  <c:v>0.13</c:v>
                </c:pt>
                <c:pt idx="17">
                  <c:v>0.21</c:v>
                </c:pt>
                <c:pt idx="18">
                  <c:v>0.19</c:v>
                </c:pt>
                <c:pt idx="19">
                  <c:v>0.03</c:v>
                </c:pt>
                <c:pt idx="20">
                  <c:v>0.06</c:v>
                </c:pt>
                <c:pt idx="2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4303"/>
        <c:axId val="113425343"/>
      </c:scatterChart>
      <c:scatterChart>
        <c:scatterStyle val="lineMarker"/>
        <c:varyColors val="0"/>
        <c:ser>
          <c:idx val="1"/>
          <c:order val="1"/>
          <c:tx>
            <c:v>Groundwater levels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0070C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workbook'!$P$16:$P$37</c:f>
              <c:numCache>
                <c:formatCode>General</c:formatCode>
                <c:ptCount val="22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</c:numCache>
            </c:numRef>
          </c:xVal>
          <c:yVal>
            <c:numRef>
              <c:f>'Crocodile workbook'!$Q$16:$Q$37</c:f>
              <c:numCache>
                <c:formatCode>General</c:formatCode>
                <c:ptCount val="22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0463"/>
        <c:axId val="113473343"/>
      </c:scatterChart>
      <c:valAx>
        <c:axId val="11341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(2022/2023 hydrological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25343"/>
        <c:crosses val="autoZero"/>
        <c:crossBetween val="midCat"/>
      </c:valAx>
      <c:valAx>
        <c:axId val="113425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14303"/>
        <c:crosses val="autoZero"/>
        <c:crossBetween val="midCat"/>
      </c:valAx>
      <c:valAx>
        <c:axId val="113473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70463"/>
        <c:crosses val="max"/>
        <c:crossBetween val="midCat"/>
      </c:valAx>
      <c:valAx>
        <c:axId val="11347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47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workbook'!$I$4:$I$174</c:f>
              <c:numCache>
                <c:formatCode>General</c:formatCode>
                <c:ptCount val="17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D-4385-86E5-3658A6CE807B}"/>
            </c:ext>
          </c:extLst>
        </c:ser>
        <c:ser>
          <c:idx val="2"/>
          <c:order val="2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workbook'!$J$4:$J$174</c:f>
              <c:numCache>
                <c:formatCode>General</c:formatCode>
                <c:ptCount val="17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9D-4385-86E5-3658A6CE807B}"/>
            </c:ext>
          </c:extLst>
        </c:ser>
        <c:ser>
          <c:idx val="1"/>
          <c:order val="0"/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workbook'!$G$4:$G$174</c:f>
              <c:numCache>
                <c:formatCode>0.000</c:formatCode>
                <c:ptCount val="171"/>
                <c:pt idx="0">
                  <c:v>0.47064502985338891</c:v>
                </c:pt>
                <c:pt idx="1">
                  <c:v>-4.7121275606551723E-2</c:v>
                </c:pt>
                <c:pt idx="2">
                  <c:v>0.37356384757965011</c:v>
                </c:pt>
                <c:pt idx="3">
                  <c:v>0.72952818258335939</c:v>
                </c:pt>
                <c:pt idx="4">
                  <c:v>0.6324470003096202</c:v>
                </c:pt>
                <c:pt idx="5">
                  <c:v>-0.27364403424527572</c:v>
                </c:pt>
                <c:pt idx="6">
                  <c:v>-0.27364403424527572</c:v>
                </c:pt>
                <c:pt idx="7">
                  <c:v>-0.69432915743147738</c:v>
                </c:pt>
                <c:pt idx="8">
                  <c:v>-0.50016679288399968</c:v>
                </c:pt>
                <c:pt idx="9">
                  <c:v>-4.7121275606551723E-2</c:v>
                </c:pt>
                <c:pt idx="10">
                  <c:v>-0.43544600470150713</c:v>
                </c:pt>
                <c:pt idx="11">
                  <c:v>0.66480739440086667</c:v>
                </c:pt>
                <c:pt idx="12">
                  <c:v>3.1241973453355842</c:v>
                </c:pt>
                <c:pt idx="13">
                  <c:v>8.232030075843344E-2</c:v>
                </c:pt>
                <c:pt idx="14">
                  <c:v>-0.46780639879275343</c:v>
                </c:pt>
                <c:pt idx="15">
                  <c:v>-0.17656285197153682</c:v>
                </c:pt>
                <c:pt idx="16">
                  <c:v>-0.46780639879275343</c:v>
                </c:pt>
                <c:pt idx="17">
                  <c:v>-0.46780639879275343</c:v>
                </c:pt>
                <c:pt idx="18">
                  <c:v>-0.50016679288399968</c:v>
                </c:pt>
                <c:pt idx="19">
                  <c:v>-0.53252718697524604</c:v>
                </c:pt>
                <c:pt idx="20">
                  <c:v>-4.7121275606551723E-2</c:v>
                </c:pt>
                <c:pt idx="21">
                  <c:v>0.3088430593971575</c:v>
                </c:pt>
                <c:pt idx="22">
                  <c:v>1.7599512575940966E-2</c:v>
                </c:pt>
                <c:pt idx="23">
                  <c:v>0.85896975894834426</c:v>
                </c:pt>
                <c:pt idx="24">
                  <c:v>5.842470449000273</c:v>
                </c:pt>
                <c:pt idx="25">
                  <c:v>0.47064502985338891</c:v>
                </c:pt>
                <c:pt idx="26">
                  <c:v>0.89133015303959073</c:v>
                </c:pt>
                <c:pt idx="27">
                  <c:v>0.6324470003096202</c:v>
                </c:pt>
                <c:pt idx="28">
                  <c:v>0.24412227121466482</c:v>
                </c:pt>
                <c:pt idx="29">
                  <c:v>-0.17656285197153682</c:v>
                </c:pt>
                <c:pt idx="30">
                  <c:v>-0.30600442833652197</c:v>
                </c:pt>
                <c:pt idx="31">
                  <c:v>-0.43544600470150713</c:v>
                </c:pt>
                <c:pt idx="32">
                  <c:v>-0.46780639879275343</c:v>
                </c:pt>
                <c:pt idx="33">
                  <c:v>-0.46780639879275343</c:v>
                </c:pt>
                <c:pt idx="34">
                  <c:v>-0.24128364015402948</c:v>
                </c:pt>
                <c:pt idx="35">
                  <c:v>2.1533855225981955</c:v>
                </c:pt>
                <c:pt idx="36">
                  <c:v>-0.27364403424527572</c:v>
                </c:pt>
                <c:pt idx="37">
                  <c:v>0.72952818258335939</c:v>
                </c:pt>
                <c:pt idx="38">
                  <c:v>6.9103634540113994</c:v>
                </c:pt>
                <c:pt idx="39">
                  <c:v>0.79424897076585155</c:v>
                </c:pt>
                <c:pt idx="40">
                  <c:v>0.34120345348840375</c:v>
                </c:pt>
                <c:pt idx="41">
                  <c:v>0.24412227121466482</c:v>
                </c:pt>
                <c:pt idx="42">
                  <c:v>-4.7121275606551723E-2</c:v>
                </c:pt>
                <c:pt idx="43">
                  <c:v>-0.37072521651901458</c:v>
                </c:pt>
                <c:pt idx="44">
                  <c:v>-0.53252718697524604</c:v>
                </c:pt>
                <c:pt idx="45">
                  <c:v>-0.27364403424527572</c:v>
                </c:pt>
                <c:pt idx="46">
                  <c:v>-0.17656285197153682</c:v>
                </c:pt>
                <c:pt idx="47">
                  <c:v>0.56772621212712793</c:v>
                </c:pt>
                <c:pt idx="48">
                  <c:v>-0.50016679288399968</c:v>
                </c:pt>
                <c:pt idx="49">
                  <c:v>0.17940148303217235</c:v>
                </c:pt>
                <c:pt idx="50">
                  <c:v>-1.4760881515305378E-2</c:v>
                </c:pt>
                <c:pt idx="51">
                  <c:v>-0.33836482242776827</c:v>
                </c:pt>
                <c:pt idx="52">
                  <c:v>-0.46780639879275343</c:v>
                </c:pt>
                <c:pt idx="53">
                  <c:v>-0.40308561061026088</c:v>
                </c:pt>
                <c:pt idx="54">
                  <c:v>-0.46780639879275343</c:v>
                </c:pt>
                <c:pt idx="55">
                  <c:v>-0.53252718697524604</c:v>
                </c:pt>
                <c:pt idx="56">
                  <c:v>-0.46780639879275343</c:v>
                </c:pt>
                <c:pt idx="57">
                  <c:v>-0.53252718697524604</c:v>
                </c:pt>
                <c:pt idx="58">
                  <c:v>-0.50016679288399968</c:v>
                </c:pt>
                <c:pt idx="59">
                  <c:v>-0.50016679288399968</c:v>
                </c:pt>
                <c:pt idx="60">
                  <c:v>-0.50016679288399968</c:v>
                </c:pt>
                <c:pt idx="61">
                  <c:v>-0.53252718697524604</c:v>
                </c:pt>
                <c:pt idx="62">
                  <c:v>-0.40308561061026088</c:v>
                </c:pt>
                <c:pt idx="63">
                  <c:v>-0.53252718697524604</c:v>
                </c:pt>
                <c:pt idx="64">
                  <c:v>-0.50016679288399968</c:v>
                </c:pt>
                <c:pt idx="65">
                  <c:v>-0.53252718697524604</c:v>
                </c:pt>
                <c:pt idx="66">
                  <c:v>-0.53252718697524604</c:v>
                </c:pt>
                <c:pt idx="67">
                  <c:v>-0.53252718697524604</c:v>
                </c:pt>
                <c:pt idx="68">
                  <c:v>-0.50016679288399968</c:v>
                </c:pt>
                <c:pt idx="69">
                  <c:v>-0.50016679288399968</c:v>
                </c:pt>
                <c:pt idx="70">
                  <c:v>-0.46780639879275343</c:v>
                </c:pt>
                <c:pt idx="71">
                  <c:v>-1.4760881515305378E-2</c:v>
                </c:pt>
                <c:pt idx="72">
                  <c:v>0.3088430593971575</c:v>
                </c:pt>
                <c:pt idx="73">
                  <c:v>0.82660936485709802</c:v>
                </c:pt>
                <c:pt idx="74">
                  <c:v>-0.11184206378904425</c:v>
                </c:pt>
                <c:pt idx="75">
                  <c:v>-0.37072521651901458</c:v>
                </c:pt>
                <c:pt idx="76">
                  <c:v>-4.7121275606551723E-2</c:v>
                </c:pt>
                <c:pt idx="77">
                  <c:v>-0.56488758106649228</c:v>
                </c:pt>
                <c:pt idx="78">
                  <c:v>-0.46780639879275343</c:v>
                </c:pt>
                <c:pt idx="79">
                  <c:v>-0.46780639879275343</c:v>
                </c:pt>
                <c:pt idx="80">
                  <c:v>-0.53252718697524604</c:v>
                </c:pt>
                <c:pt idx="81">
                  <c:v>-0.43544600470150713</c:v>
                </c:pt>
                <c:pt idx="82">
                  <c:v>-0.24128364015402948</c:v>
                </c:pt>
                <c:pt idx="83">
                  <c:v>4.9959906667187089E-2</c:v>
                </c:pt>
                <c:pt idx="84">
                  <c:v>-0.27364403424527572</c:v>
                </c:pt>
                <c:pt idx="85">
                  <c:v>-0.1442024578802906</c:v>
                </c:pt>
                <c:pt idx="86">
                  <c:v>-0.1442024578802906</c:v>
                </c:pt>
                <c:pt idx="87">
                  <c:v>-4.7121275606551723E-2</c:v>
                </c:pt>
                <c:pt idx="88">
                  <c:v>-0.43544600470150713</c:v>
                </c:pt>
                <c:pt idx="89">
                  <c:v>-0.37072521651901458</c:v>
                </c:pt>
                <c:pt idx="90">
                  <c:v>-0.53252718697524604</c:v>
                </c:pt>
                <c:pt idx="91">
                  <c:v>-0.46780639879275343</c:v>
                </c:pt>
                <c:pt idx="92">
                  <c:v>-0.53252718697524604</c:v>
                </c:pt>
                <c:pt idx="93">
                  <c:v>-0.50016679288399968</c:v>
                </c:pt>
                <c:pt idx="94">
                  <c:v>-0.46780639879275343</c:v>
                </c:pt>
                <c:pt idx="95">
                  <c:v>-0.46780639879275343</c:v>
                </c:pt>
                <c:pt idx="96">
                  <c:v>4.9959906667187089E-2</c:v>
                </c:pt>
                <c:pt idx="97">
                  <c:v>-0.24128364015402948</c:v>
                </c:pt>
                <c:pt idx="98">
                  <c:v>-0.33836482242776827</c:v>
                </c:pt>
                <c:pt idx="99">
                  <c:v>-0.17656285197153682</c:v>
                </c:pt>
                <c:pt idx="100">
                  <c:v>-0.53252718697524604</c:v>
                </c:pt>
                <c:pt idx="101">
                  <c:v>-0.50016679288399968</c:v>
                </c:pt>
                <c:pt idx="102">
                  <c:v>-0.50016679288399968</c:v>
                </c:pt>
                <c:pt idx="103">
                  <c:v>-0.53252718697524604</c:v>
                </c:pt>
                <c:pt idx="104">
                  <c:v>-0.50016679288399968</c:v>
                </c:pt>
                <c:pt idx="105">
                  <c:v>-0.50016679288399968</c:v>
                </c:pt>
                <c:pt idx="106">
                  <c:v>-0.50016679288399968</c:v>
                </c:pt>
                <c:pt idx="107">
                  <c:v>-0.33836482242776827</c:v>
                </c:pt>
                <c:pt idx="108">
                  <c:v>-0.24128364015402948</c:v>
                </c:pt>
                <c:pt idx="109">
                  <c:v>-0.17656285197153682</c:v>
                </c:pt>
                <c:pt idx="110">
                  <c:v>-0.33836482242776827</c:v>
                </c:pt>
                <c:pt idx="111">
                  <c:v>-0.37072521651901458</c:v>
                </c:pt>
                <c:pt idx="112">
                  <c:v>-0.50016679288399968</c:v>
                </c:pt>
                <c:pt idx="113">
                  <c:v>-0.43544600470150713</c:v>
                </c:pt>
                <c:pt idx="114">
                  <c:v>-0.50016679288399968</c:v>
                </c:pt>
                <c:pt idx="115">
                  <c:v>-0.53252718697524604</c:v>
                </c:pt>
                <c:pt idx="116">
                  <c:v>-0.50016679288399968</c:v>
                </c:pt>
                <c:pt idx="117">
                  <c:v>-0.50016679288399968</c:v>
                </c:pt>
                <c:pt idx="118">
                  <c:v>-0.46780639879275343</c:v>
                </c:pt>
                <c:pt idx="119">
                  <c:v>-0.46780639879275343</c:v>
                </c:pt>
                <c:pt idx="120">
                  <c:v>5.3570645376315786</c:v>
                </c:pt>
                <c:pt idx="121">
                  <c:v>-0.53252718697524604</c:v>
                </c:pt>
                <c:pt idx="122">
                  <c:v>0.17940148303217235</c:v>
                </c:pt>
                <c:pt idx="123">
                  <c:v>-0.30600442833652197</c:v>
                </c:pt>
                <c:pt idx="124">
                  <c:v>-0.33836482242776827</c:v>
                </c:pt>
                <c:pt idx="125">
                  <c:v>-0.27364403424527572</c:v>
                </c:pt>
                <c:pt idx="126">
                  <c:v>-0.50016679288399968</c:v>
                </c:pt>
                <c:pt idx="127">
                  <c:v>-0.50016679288399968</c:v>
                </c:pt>
                <c:pt idx="128">
                  <c:v>-0.53252718697524604</c:v>
                </c:pt>
                <c:pt idx="129">
                  <c:v>-0.40308561061026088</c:v>
                </c:pt>
                <c:pt idx="130">
                  <c:v>-0.53252718697524604</c:v>
                </c:pt>
                <c:pt idx="131">
                  <c:v>0.34120345348840375</c:v>
                </c:pt>
                <c:pt idx="132">
                  <c:v>2.6064310398756438</c:v>
                </c:pt>
                <c:pt idx="133">
                  <c:v>0.2764826653059112</c:v>
                </c:pt>
                <c:pt idx="134">
                  <c:v>0.11468069484967978</c:v>
                </c:pt>
                <c:pt idx="135">
                  <c:v>0.66480739440086667</c:v>
                </c:pt>
                <c:pt idx="136">
                  <c:v>0.66480739440086667</c:v>
                </c:pt>
                <c:pt idx="137">
                  <c:v>4.9959906667187089E-2</c:v>
                </c:pt>
                <c:pt idx="138">
                  <c:v>-0.27364403424527572</c:v>
                </c:pt>
                <c:pt idx="139">
                  <c:v>-0.43544600470150713</c:v>
                </c:pt>
                <c:pt idx="140">
                  <c:v>-0.37072521651901458</c:v>
                </c:pt>
                <c:pt idx="141">
                  <c:v>-0.43544600470150713</c:v>
                </c:pt>
                <c:pt idx="142">
                  <c:v>0.11468069484967978</c:v>
                </c:pt>
                <c:pt idx="143">
                  <c:v>1.0854925175870684</c:v>
                </c:pt>
                <c:pt idx="144">
                  <c:v>1.4414568525907774</c:v>
                </c:pt>
                <c:pt idx="145">
                  <c:v>1.7974211875944863</c:v>
                </c:pt>
                <c:pt idx="146">
                  <c:v>-4.7121275606551723E-2</c:v>
                </c:pt>
                <c:pt idx="147">
                  <c:v>-0.11184206378904425</c:v>
                </c:pt>
                <c:pt idx="148">
                  <c:v>0.40592424167089625</c:v>
                </c:pt>
                <c:pt idx="149">
                  <c:v>-7.9481669697797963E-2</c:v>
                </c:pt>
                <c:pt idx="150">
                  <c:v>1.7599512575940966E-2</c:v>
                </c:pt>
                <c:pt idx="151">
                  <c:v>-0.53252718697524604</c:v>
                </c:pt>
                <c:pt idx="152">
                  <c:v>-0.37072521651901458</c:v>
                </c:pt>
                <c:pt idx="153">
                  <c:v>-0.43544600470150713</c:v>
                </c:pt>
                <c:pt idx="154">
                  <c:v>-0.20892324606278312</c:v>
                </c:pt>
                <c:pt idx="155">
                  <c:v>1.6032588230470091</c:v>
                </c:pt>
                <c:pt idx="156">
                  <c:v>0.11468069484967978</c:v>
                </c:pt>
                <c:pt idx="157">
                  <c:v>-0.11184206378904425</c:v>
                </c:pt>
                <c:pt idx="158">
                  <c:v>0.14704108894092602</c:v>
                </c:pt>
                <c:pt idx="159">
                  <c:v>8.232030075843344E-2</c:v>
                </c:pt>
                <c:pt idx="160">
                  <c:v>-0.43544600470150713</c:v>
                </c:pt>
                <c:pt idx="161">
                  <c:v>-0.33836482242776827</c:v>
                </c:pt>
                <c:pt idx="162">
                  <c:v>-0.40308561061026088</c:v>
                </c:pt>
                <c:pt idx="163">
                  <c:v>-0.40308561061026088</c:v>
                </c:pt>
                <c:pt idx="164">
                  <c:v>-0.46780639879275343</c:v>
                </c:pt>
                <c:pt idx="165">
                  <c:v>-0.37072521651901458</c:v>
                </c:pt>
                <c:pt idx="166">
                  <c:v>-0.33836482242776827</c:v>
                </c:pt>
                <c:pt idx="167">
                  <c:v>-0.30600442833652197</c:v>
                </c:pt>
                <c:pt idx="168">
                  <c:v>0.56772621212712793</c:v>
                </c:pt>
                <c:pt idx="169">
                  <c:v>0.14704108894092602</c:v>
                </c:pt>
                <c:pt idx="170">
                  <c:v>0.40592424167089625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D-4385-86E5-3658A6CE8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117680"/>
        <c:axId val="1292118640"/>
      </c:areaChart>
      <c:dateAx>
        <c:axId val="129211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41000"/>
              </a:schemeClr>
            </a:solidFill>
            <a:round/>
          </a:ln>
          <a:effectLst/>
        </c:spPr>
        <c:txPr>
          <a:bodyPr rot="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8640"/>
        <c:crosses val="autoZero"/>
        <c:auto val="1"/>
        <c:lblOffset val="100"/>
        <c:baseTimeUnit val="months"/>
      </c:dateAx>
      <c:valAx>
        <c:axId val="1292118640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layout>
            <c:manualLayout>
              <c:xMode val="edge"/>
              <c:yMode val="edge"/>
              <c:x val="2.7272727272727271E-2"/>
              <c:y val="0.22520627229288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'Sabie workbook'!$C$4</c:f>
              <c:strCache>
                <c:ptCount val="1"/>
                <c:pt idx="0">
                  <c:v>Recharge(mm/a)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'Sabie workbook'!$A$5:$A$175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cat>
          <c:val>
            <c:numRef>
              <c:f>'Sabie workbook'!$C$5:$C$175</c:f>
              <c:numCache>
                <c:formatCode>0.000</c:formatCode>
                <c:ptCount val="171"/>
                <c:pt idx="0">
                  <c:v>2.794</c:v>
                </c:pt>
                <c:pt idx="1">
                  <c:v>0.254</c:v>
                </c:pt>
                <c:pt idx="2">
                  <c:v>1.778</c:v>
                </c:pt>
                <c:pt idx="3">
                  <c:v>1.27</c:v>
                </c:pt>
                <c:pt idx="4">
                  <c:v>0.7619999999999999</c:v>
                </c:pt>
                <c:pt idx="5">
                  <c:v>0.254</c:v>
                </c:pt>
                <c:pt idx="6">
                  <c:v>0.7619999999999999</c:v>
                </c:pt>
                <c:pt idx="7">
                  <c:v>0.254</c:v>
                </c:pt>
                <c:pt idx="8">
                  <c:v>0.254</c:v>
                </c:pt>
                <c:pt idx="9">
                  <c:v>0.254</c:v>
                </c:pt>
                <c:pt idx="10">
                  <c:v>0.254</c:v>
                </c:pt>
                <c:pt idx="11">
                  <c:v>1.27</c:v>
                </c:pt>
                <c:pt idx="12">
                  <c:v>0.50800000000000001</c:v>
                </c:pt>
                <c:pt idx="13">
                  <c:v>0</c:v>
                </c:pt>
                <c:pt idx="14">
                  <c:v>0</c:v>
                </c:pt>
                <c:pt idx="15">
                  <c:v>0.50800000000000001</c:v>
                </c:pt>
                <c:pt idx="16">
                  <c:v>0.254</c:v>
                </c:pt>
                <c:pt idx="17">
                  <c:v>0.254</c:v>
                </c:pt>
                <c:pt idx="18">
                  <c:v>0.254</c:v>
                </c:pt>
                <c:pt idx="19">
                  <c:v>0</c:v>
                </c:pt>
                <c:pt idx="20">
                  <c:v>0.50800000000000001</c:v>
                </c:pt>
                <c:pt idx="21">
                  <c:v>0.50800000000000001</c:v>
                </c:pt>
                <c:pt idx="22">
                  <c:v>0.254</c:v>
                </c:pt>
                <c:pt idx="23">
                  <c:v>1.778</c:v>
                </c:pt>
                <c:pt idx="24">
                  <c:v>1.016</c:v>
                </c:pt>
                <c:pt idx="25">
                  <c:v>0</c:v>
                </c:pt>
                <c:pt idx="26">
                  <c:v>1.016</c:v>
                </c:pt>
                <c:pt idx="27">
                  <c:v>1.27</c:v>
                </c:pt>
                <c:pt idx="28">
                  <c:v>0.50800000000000001</c:v>
                </c:pt>
                <c:pt idx="29">
                  <c:v>0.254</c:v>
                </c:pt>
                <c:pt idx="30">
                  <c:v>0.254</c:v>
                </c:pt>
                <c:pt idx="31">
                  <c:v>0.254</c:v>
                </c:pt>
                <c:pt idx="32">
                  <c:v>0</c:v>
                </c:pt>
                <c:pt idx="33">
                  <c:v>0.50800000000000001</c:v>
                </c:pt>
                <c:pt idx="34">
                  <c:v>0.50800000000000001</c:v>
                </c:pt>
                <c:pt idx="35">
                  <c:v>2.2859999999999996</c:v>
                </c:pt>
                <c:pt idx="36">
                  <c:v>1.27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0.7619999999999999</c:v>
                </c:pt>
                <c:pt idx="42">
                  <c:v>0.50800000000000001</c:v>
                </c:pt>
                <c:pt idx="43">
                  <c:v>0.254</c:v>
                </c:pt>
                <c:pt idx="44">
                  <c:v>0</c:v>
                </c:pt>
                <c:pt idx="45">
                  <c:v>0</c:v>
                </c:pt>
                <c:pt idx="46">
                  <c:v>0.254</c:v>
                </c:pt>
                <c:pt idx="47">
                  <c:v>1.778</c:v>
                </c:pt>
                <c:pt idx="48">
                  <c:v>0.50800000000000001</c:v>
                </c:pt>
                <c:pt idx="49">
                  <c:v>0.254</c:v>
                </c:pt>
                <c:pt idx="50">
                  <c:v>0.50800000000000001</c:v>
                </c:pt>
                <c:pt idx="51">
                  <c:v>0.7619999999999999</c:v>
                </c:pt>
                <c:pt idx="52">
                  <c:v>0.254</c:v>
                </c:pt>
                <c:pt idx="53">
                  <c:v>0.254</c:v>
                </c:pt>
                <c:pt idx="54">
                  <c:v>0.254</c:v>
                </c:pt>
                <c:pt idx="55">
                  <c:v>0</c:v>
                </c:pt>
                <c:pt idx="56">
                  <c:v>0.50800000000000001</c:v>
                </c:pt>
                <c:pt idx="57">
                  <c:v>0</c:v>
                </c:pt>
                <c:pt idx="58">
                  <c:v>0.254</c:v>
                </c:pt>
                <c:pt idx="59">
                  <c:v>0.254</c:v>
                </c:pt>
                <c:pt idx="60">
                  <c:v>0.254</c:v>
                </c:pt>
                <c:pt idx="61">
                  <c:v>0.254</c:v>
                </c:pt>
                <c:pt idx="62">
                  <c:v>0.7619999999999999</c:v>
                </c:pt>
                <c:pt idx="63">
                  <c:v>0</c:v>
                </c:pt>
                <c:pt idx="64">
                  <c:v>0.254</c:v>
                </c:pt>
                <c:pt idx="65">
                  <c:v>0</c:v>
                </c:pt>
                <c:pt idx="66">
                  <c:v>0.254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0.254</c:v>
                </c:pt>
                <c:pt idx="71">
                  <c:v>1.016</c:v>
                </c:pt>
                <c:pt idx="72">
                  <c:v>1.5239999999999998</c:v>
                </c:pt>
                <c:pt idx="73">
                  <c:v>3.0479999999999996</c:v>
                </c:pt>
                <c:pt idx="74">
                  <c:v>0</c:v>
                </c:pt>
                <c:pt idx="75">
                  <c:v>0.50800000000000001</c:v>
                </c:pt>
                <c:pt idx="76">
                  <c:v>0.7619999999999999</c:v>
                </c:pt>
                <c:pt idx="77">
                  <c:v>0.254</c:v>
                </c:pt>
                <c:pt idx="78">
                  <c:v>0.254</c:v>
                </c:pt>
                <c:pt idx="79">
                  <c:v>0</c:v>
                </c:pt>
                <c:pt idx="80">
                  <c:v>0.254</c:v>
                </c:pt>
                <c:pt idx="81">
                  <c:v>0.254</c:v>
                </c:pt>
                <c:pt idx="82">
                  <c:v>0.254</c:v>
                </c:pt>
                <c:pt idx="83">
                  <c:v>0.254</c:v>
                </c:pt>
                <c:pt idx="84">
                  <c:v>0.254</c:v>
                </c:pt>
                <c:pt idx="85">
                  <c:v>0.7619999999999999</c:v>
                </c:pt>
                <c:pt idx="86">
                  <c:v>0.50800000000000001</c:v>
                </c:pt>
                <c:pt idx="87">
                  <c:v>0.50800000000000001</c:v>
                </c:pt>
                <c:pt idx="88">
                  <c:v>0.254</c:v>
                </c:pt>
                <c:pt idx="89">
                  <c:v>0</c:v>
                </c:pt>
                <c:pt idx="90">
                  <c:v>0.254</c:v>
                </c:pt>
                <c:pt idx="91">
                  <c:v>0.254</c:v>
                </c:pt>
                <c:pt idx="92">
                  <c:v>0</c:v>
                </c:pt>
                <c:pt idx="93">
                  <c:v>0.254</c:v>
                </c:pt>
                <c:pt idx="94">
                  <c:v>0</c:v>
                </c:pt>
                <c:pt idx="95">
                  <c:v>0.254</c:v>
                </c:pt>
                <c:pt idx="96">
                  <c:v>0.7619999999999999</c:v>
                </c:pt>
                <c:pt idx="97">
                  <c:v>0.50800000000000001</c:v>
                </c:pt>
                <c:pt idx="98">
                  <c:v>0.254</c:v>
                </c:pt>
                <c:pt idx="99">
                  <c:v>0.7619999999999999</c:v>
                </c:pt>
                <c:pt idx="100">
                  <c:v>0</c:v>
                </c:pt>
                <c:pt idx="101">
                  <c:v>0.254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0.254</c:v>
                </c:pt>
                <c:pt idx="107">
                  <c:v>0.254</c:v>
                </c:pt>
                <c:pt idx="108">
                  <c:v>1.016</c:v>
                </c:pt>
                <c:pt idx="109">
                  <c:v>2.2859999999999996</c:v>
                </c:pt>
                <c:pt idx="110">
                  <c:v>0</c:v>
                </c:pt>
                <c:pt idx="111">
                  <c:v>0.7619999999999999</c:v>
                </c:pt>
                <c:pt idx="112">
                  <c:v>0</c:v>
                </c:pt>
                <c:pt idx="113">
                  <c:v>0.254</c:v>
                </c:pt>
                <c:pt idx="114">
                  <c:v>0.254</c:v>
                </c:pt>
                <c:pt idx="115">
                  <c:v>0</c:v>
                </c:pt>
                <c:pt idx="116">
                  <c:v>0</c:v>
                </c:pt>
                <c:pt idx="117">
                  <c:v>0.50800000000000001</c:v>
                </c:pt>
                <c:pt idx="118">
                  <c:v>0</c:v>
                </c:pt>
                <c:pt idx="119">
                  <c:v>0.254</c:v>
                </c:pt>
                <c:pt idx="120">
                  <c:v>3.8099999999999996</c:v>
                </c:pt>
                <c:pt idx="121">
                  <c:v>2.2859999999999996</c:v>
                </c:pt>
                <c:pt idx="122">
                  <c:v>0</c:v>
                </c:pt>
                <c:pt idx="123">
                  <c:v>0</c:v>
                </c:pt>
                <c:pt idx="124">
                  <c:v>0.254</c:v>
                </c:pt>
                <c:pt idx="125">
                  <c:v>0.50800000000000001</c:v>
                </c:pt>
                <c:pt idx="126">
                  <c:v>0.254</c:v>
                </c:pt>
                <c:pt idx="127">
                  <c:v>0.254</c:v>
                </c:pt>
                <c:pt idx="128">
                  <c:v>0</c:v>
                </c:pt>
                <c:pt idx="129">
                  <c:v>0.254</c:v>
                </c:pt>
                <c:pt idx="130">
                  <c:v>0.254</c:v>
                </c:pt>
                <c:pt idx="131">
                  <c:v>0.50800000000000001</c:v>
                </c:pt>
                <c:pt idx="132">
                  <c:v>2.032</c:v>
                </c:pt>
                <c:pt idx="133">
                  <c:v>0</c:v>
                </c:pt>
                <c:pt idx="134">
                  <c:v>0.7619999999999999</c:v>
                </c:pt>
                <c:pt idx="135">
                  <c:v>1.016</c:v>
                </c:pt>
                <c:pt idx="136">
                  <c:v>0.7619999999999999</c:v>
                </c:pt>
                <c:pt idx="137">
                  <c:v>0.50800000000000001</c:v>
                </c:pt>
                <c:pt idx="138">
                  <c:v>0.254</c:v>
                </c:pt>
                <c:pt idx="139">
                  <c:v>0.254</c:v>
                </c:pt>
                <c:pt idx="140">
                  <c:v>0.254</c:v>
                </c:pt>
                <c:pt idx="141">
                  <c:v>1.27</c:v>
                </c:pt>
                <c:pt idx="142">
                  <c:v>4.8259999999999996</c:v>
                </c:pt>
                <c:pt idx="143">
                  <c:v>3.302</c:v>
                </c:pt>
                <c:pt idx="144">
                  <c:v>1.778</c:v>
                </c:pt>
                <c:pt idx="145">
                  <c:v>3.6830000000000003</c:v>
                </c:pt>
                <c:pt idx="146">
                  <c:v>5.5880000000000001</c:v>
                </c:pt>
                <c:pt idx="147">
                  <c:v>1.778</c:v>
                </c:pt>
                <c:pt idx="148">
                  <c:v>7.6199999999999992</c:v>
                </c:pt>
                <c:pt idx="149">
                  <c:v>3.0479999999999996</c:v>
                </c:pt>
                <c:pt idx="150">
                  <c:v>5.3339999999999996</c:v>
                </c:pt>
                <c:pt idx="151">
                  <c:v>1.778</c:v>
                </c:pt>
                <c:pt idx="152">
                  <c:v>3.302</c:v>
                </c:pt>
                <c:pt idx="153">
                  <c:v>1.016</c:v>
                </c:pt>
                <c:pt idx="154">
                  <c:v>3.302</c:v>
                </c:pt>
                <c:pt idx="155">
                  <c:v>9.270999999999999</c:v>
                </c:pt>
                <c:pt idx="156">
                  <c:v>15.239999999999998</c:v>
                </c:pt>
                <c:pt idx="157">
                  <c:v>1.27</c:v>
                </c:pt>
                <c:pt idx="158">
                  <c:v>-0.50800000000000001</c:v>
                </c:pt>
                <c:pt idx="159">
                  <c:v>2.794</c:v>
                </c:pt>
                <c:pt idx="160">
                  <c:v>7.6199999999999992</c:v>
                </c:pt>
                <c:pt idx="161">
                  <c:v>5.5880000000000001</c:v>
                </c:pt>
                <c:pt idx="162">
                  <c:v>3.556</c:v>
                </c:pt>
                <c:pt idx="163">
                  <c:v>2.6669999999999998</c:v>
                </c:pt>
                <c:pt idx="164">
                  <c:v>2.54</c:v>
                </c:pt>
                <c:pt idx="165">
                  <c:v>2.2859999999999996</c:v>
                </c:pt>
                <c:pt idx="166">
                  <c:v>5.5880000000000001</c:v>
                </c:pt>
                <c:pt idx="167">
                  <c:v>8.8899999999999988</c:v>
                </c:pt>
                <c:pt idx="168">
                  <c:v>19.558</c:v>
                </c:pt>
                <c:pt idx="169">
                  <c:v>12.7</c:v>
                </c:pt>
                <c:pt idx="170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699936"/>
        <c:axId val="1795707136"/>
      </c:barChart>
      <c:lineChart>
        <c:grouping val="percentStacked"/>
        <c:varyColors val="0"/>
        <c:ser>
          <c:idx val="0"/>
          <c:order val="1"/>
          <c:tx>
            <c:v>Average recharge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'Sabie workbook'!$D$5:$D$175</c:f>
              <c:numCache>
                <c:formatCode>0.000</c:formatCode>
                <c:ptCount val="171"/>
                <c:pt idx="0">
                  <c:v>1.257374269005848</c:v>
                </c:pt>
                <c:pt idx="1">
                  <c:v>1.257374269005848</c:v>
                </c:pt>
                <c:pt idx="2">
                  <c:v>1.257374269005848</c:v>
                </c:pt>
                <c:pt idx="3">
                  <c:v>1.257374269005848</c:v>
                </c:pt>
                <c:pt idx="4">
                  <c:v>1.257374269005848</c:v>
                </c:pt>
                <c:pt idx="5">
                  <c:v>1.257374269005848</c:v>
                </c:pt>
                <c:pt idx="6">
                  <c:v>1.257374269005848</c:v>
                </c:pt>
                <c:pt idx="7">
                  <c:v>1.257374269005848</c:v>
                </c:pt>
                <c:pt idx="8">
                  <c:v>1.257374269005848</c:v>
                </c:pt>
                <c:pt idx="9">
                  <c:v>1.257374269005848</c:v>
                </c:pt>
                <c:pt idx="10">
                  <c:v>1.257374269005848</c:v>
                </c:pt>
                <c:pt idx="11">
                  <c:v>1.257374269005848</c:v>
                </c:pt>
                <c:pt idx="12">
                  <c:v>1.257374269005848</c:v>
                </c:pt>
                <c:pt idx="13">
                  <c:v>1.257374269005848</c:v>
                </c:pt>
                <c:pt idx="14">
                  <c:v>1.257374269005848</c:v>
                </c:pt>
                <c:pt idx="15">
                  <c:v>1.257374269005848</c:v>
                </c:pt>
                <c:pt idx="16">
                  <c:v>1.257374269005848</c:v>
                </c:pt>
                <c:pt idx="17">
                  <c:v>1.257374269005848</c:v>
                </c:pt>
                <c:pt idx="18">
                  <c:v>1.257374269005848</c:v>
                </c:pt>
                <c:pt idx="19">
                  <c:v>1.257374269005848</c:v>
                </c:pt>
                <c:pt idx="20">
                  <c:v>1.257374269005848</c:v>
                </c:pt>
                <c:pt idx="21">
                  <c:v>1.257374269005848</c:v>
                </c:pt>
                <c:pt idx="22">
                  <c:v>1.257374269005848</c:v>
                </c:pt>
                <c:pt idx="23">
                  <c:v>1.257374269005848</c:v>
                </c:pt>
                <c:pt idx="24">
                  <c:v>1.257374269005848</c:v>
                </c:pt>
                <c:pt idx="25">
                  <c:v>1.257374269005848</c:v>
                </c:pt>
                <c:pt idx="26">
                  <c:v>1.257374269005848</c:v>
                </c:pt>
                <c:pt idx="27">
                  <c:v>1.257374269005848</c:v>
                </c:pt>
                <c:pt idx="28">
                  <c:v>1.257374269005848</c:v>
                </c:pt>
                <c:pt idx="29">
                  <c:v>1.257374269005848</c:v>
                </c:pt>
                <c:pt idx="30">
                  <c:v>1.257374269005848</c:v>
                </c:pt>
                <c:pt idx="31">
                  <c:v>1.257374269005848</c:v>
                </c:pt>
                <c:pt idx="32">
                  <c:v>1.257374269005848</c:v>
                </c:pt>
                <c:pt idx="33">
                  <c:v>1.257374269005848</c:v>
                </c:pt>
                <c:pt idx="34">
                  <c:v>1.257374269005848</c:v>
                </c:pt>
                <c:pt idx="35">
                  <c:v>1.257374269005848</c:v>
                </c:pt>
                <c:pt idx="36">
                  <c:v>1.257374269005848</c:v>
                </c:pt>
                <c:pt idx="37">
                  <c:v>1.257374269005848</c:v>
                </c:pt>
                <c:pt idx="38">
                  <c:v>1.257374269005848</c:v>
                </c:pt>
                <c:pt idx="39">
                  <c:v>1.257374269005848</c:v>
                </c:pt>
                <c:pt idx="40">
                  <c:v>1.257374269005848</c:v>
                </c:pt>
                <c:pt idx="41">
                  <c:v>1.257374269005848</c:v>
                </c:pt>
                <c:pt idx="42">
                  <c:v>1.257374269005848</c:v>
                </c:pt>
                <c:pt idx="43">
                  <c:v>1.257374269005848</c:v>
                </c:pt>
                <c:pt idx="44">
                  <c:v>1.257374269005848</c:v>
                </c:pt>
                <c:pt idx="45">
                  <c:v>1.257374269005848</c:v>
                </c:pt>
                <c:pt idx="46">
                  <c:v>1.257374269005848</c:v>
                </c:pt>
                <c:pt idx="47">
                  <c:v>1.257374269005848</c:v>
                </c:pt>
                <c:pt idx="48">
                  <c:v>1.257374269005848</c:v>
                </c:pt>
                <c:pt idx="49">
                  <c:v>1.257374269005848</c:v>
                </c:pt>
                <c:pt idx="50">
                  <c:v>1.257374269005848</c:v>
                </c:pt>
                <c:pt idx="51">
                  <c:v>1.257374269005848</c:v>
                </c:pt>
                <c:pt idx="52">
                  <c:v>1.257374269005848</c:v>
                </c:pt>
                <c:pt idx="53">
                  <c:v>1.257374269005848</c:v>
                </c:pt>
                <c:pt idx="54">
                  <c:v>1.257374269005848</c:v>
                </c:pt>
                <c:pt idx="55">
                  <c:v>1.257374269005848</c:v>
                </c:pt>
                <c:pt idx="56">
                  <c:v>1.257374269005848</c:v>
                </c:pt>
                <c:pt idx="57">
                  <c:v>1.257374269005848</c:v>
                </c:pt>
                <c:pt idx="58">
                  <c:v>1.257374269005848</c:v>
                </c:pt>
                <c:pt idx="59">
                  <c:v>1.257374269005848</c:v>
                </c:pt>
                <c:pt idx="60">
                  <c:v>1.257374269005848</c:v>
                </c:pt>
                <c:pt idx="61">
                  <c:v>1.257374269005848</c:v>
                </c:pt>
                <c:pt idx="62">
                  <c:v>1.257374269005848</c:v>
                </c:pt>
                <c:pt idx="63">
                  <c:v>1.257374269005848</c:v>
                </c:pt>
                <c:pt idx="64">
                  <c:v>1.257374269005848</c:v>
                </c:pt>
                <c:pt idx="65">
                  <c:v>1.257374269005848</c:v>
                </c:pt>
                <c:pt idx="66">
                  <c:v>1.257374269005848</c:v>
                </c:pt>
                <c:pt idx="67">
                  <c:v>1.257374269005848</c:v>
                </c:pt>
                <c:pt idx="68">
                  <c:v>1.257374269005848</c:v>
                </c:pt>
                <c:pt idx="69">
                  <c:v>1.257374269005848</c:v>
                </c:pt>
                <c:pt idx="70">
                  <c:v>1.257374269005848</c:v>
                </c:pt>
                <c:pt idx="71">
                  <c:v>1.257374269005848</c:v>
                </c:pt>
                <c:pt idx="72">
                  <c:v>1.257374269005848</c:v>
                </c:pt>
                <c:pt idx="73">
                  <c:v>1.257374269005848</c:v>
                </c:pt>
                <c:pt idx="74">
                  <c:v>1.257374269005848</c:v>
                </c:pt>
                <c:pt idx="75">
                  <c:v>1.257374269005848</c:v>
                </c:pt>
                <c:pt idx="76">
                  <c:v>1.257374269005848</c:v>
                </c:pt>
                <c:pt idx="77">
                  <c:v>1.257374269005848</c:v>
                </c:pt>
                <c:pt idx="78">
                  <c:v>1.257374269005848</c:v>
                </c:pt>
                <c:pt idx="79">
                  <c:v>1.257374269005848</c:v>
                </c:pt>
                <c:pt idx="80">
                  <c:v>1.257374269005848</c:v>
                </c:pt>
                <c:pt idx="81">
                  <c:v>1.257374269005848</c:v>
                </c:pt>
                <c:pt idx="82">
                  <c:v>1.257374269005848</c:v>
                </c:pt>
                <c:pt idx="83">
                  <c:v>1.257374269005848</c:v>
                </c:pt>
                <c:pt idx="84">
                  <c:v>1.257374269005848</c:v>
                </c:pt>
                <c:pt idx="85">
                  <c:v>1.257374269005848</c:v>
                </c:pt>
                <c:pt idx="86">
                  <c:v>1.257374269005848</c:v>
                </c:pt>
                <c:pt idx="87">
                  <c:v>1.257374269005848</c:v>
                </c:pt>
                <c:pt idx="88">
                  <c:v>1.257374269005848</c:v>
                </c:pt>
                <c:pt idx="89">
                  <c:v>1.257374269005848</c:v>
                </c:pt>
                <c:pt idx="90">
                  <c:v>1.257374269005848</c:v>
                </c:pt>
                <c:pt idx="91">
                  <c:v>1.257374269005848</c:v>
                </c:pt>
                <c:pt idx="92">
                  <c:v>1.257374269005848</c:v>
                </c:pt>
                <c:pt idx="93">
                  <c:v>1.257374269005848</c:v>
                </c:pt>
                <c:pt idx="94">
                  <c:v>1.257374269005848</c:v>
                </c:pt>
                <c:pt idx="95">
                  <c:v>1.257374269005848</c:v>
                </c:pt>
                <c:pt idx="96">
                  <c:v>1.257374269005848</c:v>
                </c:pt>
                <c:pt idx="97">
                  <c:v>1.257374269005848</c:v>
                </c:pt>
                <c:pt idx="98">
                  <c:v>1.257374269005848</c:v>
                </c:pt>
                <c:pt idx="99">
                  <c:v>1.257374269005848</c:v>
                </c:pt>
                <c:pt idx="100">
                  <c:v>1.257374269005848</c:v>
                </c:pt>
                <c:pt idx="101">
                  <c:v>1.257374269005848</c:v>
                </c:pt>
                <c:pt idx="102">
                  <c:v>1.257374269005848</c:v>
                </c:pt>
                <c:pt idx="103">
                  <c:v>1.257374269005848</c:v>
                </c:pt>
                <c:pt idx="104">
                  <c:v>1.257374269005848</c:v>
                </c:pt>
                <c:pt idx="105">
                  <c:v>1.257374269005848</c:v>
                </c:pt>
                <c:pt idx="106">
                  <c:v>1.257374269005848</c:v>
                </c:pt>
                <c:pt idx="107">
                  <c:v>1.257374269005848</c:v>
                </c:pt>
                <c:pt idx="108">
                  <c:v>1.257374269005848</c:v>
                </c:pt>
                <c:pt idx="109">
                  <c:v>1.257374269005848</c:v>
                </c:pt>
                <c:pt idx="110">
                  <c:v>1.257374269005848</c:v>
                </c:pt>
                <c:pt idx="111">
                  <c:v>1.257374269005848</c:v>
                </c:pt>
                <c:pt idx="112">
                  <c:v>1.257374269005848</c:v>
                </c:pt>
                <c:pt idx="113">
                  <c:v>1.257374269005848</c:v>
                </c:pt>
                <c:pt idx="114">
                  <c:v>1.257374269005848</c:v>
                </c:pt>
                <c:pt idx="115">
                  <c:v>1.257374269005848</c:v>
                </c:pt>
                <c:pt idx="116">
                  <c:v>1.257374269005848</c:v>
                </c:pt>
                <c:pt idx="117">
                  <c:v>1.257374269005848</c:v>
                </c:pt>
                <c:pt idx="118">
                  <c:v>1.257374269005848</c:v>
                </c:pt>
                <c:pt idx="119">
                  <c:v>1.257374269005848</c:v>
                </c:pt>
                <c:pt idx="120">
                  <c:v>1.257374269005848</c:v>
                </c:pt>
                <c:pt idx="121">
                  <c:v>1.257374269005848</c:v>
                </c:pt>
                <c:pt idx="122">
                  <c:v>1.257374269005848</c:v>
                </c:pt>
                <c:pt idx="123">
                  <c:v>1.257374269005848</c:v>
                </c:pt>
                <c:pt idx="124">
                  <c:v>1.257374269005848</c:v>
                </c:pt>
                <c:pt idx="125">
                  <c:v>1.257374269005848</c:v>
                </c:pt>
                <c:pt idx="126">
                  <c:v>1.257374269005848</c:v>
                </c:pt>
                <c:pt idx="127">
                  <c:v>1.257374269005848</c:v>
                </c:pt>
                <c:pt idx="128">
                  <c:v>1.257374269005848</c:v>
                </c:pt>
                <c:pt idx="129">
                  <c:v>1.257374269005848</c:v>
                </c:pt>
                <c:pt idx="130">
                  <c:v>1.257374269005848</c:v>
                </c:pt>
                <c:pt idx="131">
                  <c:v>1.257374269005848</c:v>
                </c:pt>
                <c:pt idx="132">
                  <c:v>1.257374269005848</c:v>
                </c:pt>
                <c:pt idx="133">
                  <c:v>1.257374269005848</c:v>
                </c:pt>
                <c:pt idx="134">
                  <c:v>1.257374269005848</c:v>
                </c:pt>
                <c:pt idx="135">
                  <c:v>1.257374269005848</c:v>
                </c:pt>
                <c:pt idx="136">
                  <c:v>1.257374269005848</c:v>
                </c:pt>
                <c:pt idx="137">
                  <c:v>1.257374269005848</c:v>
                </c:pt>
                <c:pt idx="138">
                  <c:v>1.257374269005848</c:v>
                </c:pt>
                <c:pt idx="139">
                  <c:v>1.257374269005848</c:v>
                </c:pt>
                <c:pt idx="140">
                  <c:v>1.257374269005848</c:v>
                </c:pt>
                <c:pt idx="141">
                  <c:v>1.257374269005848</c:v>
                </c:pt>
                <c:pt idx="142">
                  <c:v>1.257374269005848</c:v>
                </c:pt>
                <c:pt idx="143">
                  <c:v>1.257374269005848</c:v>
                </c:pt>
                <c:pt idx="144">
                  <c:v>1.257374269005848</c:v>
                </c:pt>
                <c:pt idx="145">
                  <c:v>1.257374269005848</c:v>
                </c:pt>
                <c:pt idx="146">
                  <c:v>1.257374269005848</c:v>
                </c:pt>
                <c:pt idx="147">
                  <c:v>1.257374269005848</c:v>
                </c:pt>
                <c:pt idx="148">
                  <c:v>1.257374269005848</c:v>
                </c:pt>
                <c:pt idx="149">
                  <c:v>1.257374269005848</c:v>
                </c:pt>
                <c:pt idx="150">
                  <c:v>1.257374269005848</c:v>
                </c:pt>
                <c:pt idx="151">
                  <c:v>1.257374269005848</c:v>
                </c:pt>
                <c:pt idx="152">
                  <c:v>1.257374269005848</c:v>
                </c:pt>
                <c:pt idx="153">
                  <c:v>1.257374269005848</c:v>
                </c:pt>
                <c:pt idx="154">
                  <c:v>1.257374269005848</c:v>
                </c:pt>
                <c:pt idx="155">
                  <c:v>1.257374269005848</c:v>
                </c:pt>
                <c:pt idx="156">
                  <c:v>1.257374269005848</c:v>
                </c:pt>
                <c:pt idx="157">
                  <c:v>1.257374269005848</c:v>
                </c:pt>
                <c:pt idx="158">
                  <c:v>1.257374269005848</c:v>
                </c:pt>
                <c:pt idx="159">
                  <c:v>1.257374269005848</c:v>
                </c:pt>
                <c:pt idx="160">
                  <c:v>1.257374269005848</c:v>
                </c:pt>
                <c:pt idx="161">
                  <c:v>1.257374269005848</c:v>
                </c:pt>
                <c:pt idx="162">
                  <c:v>1.257374269005848</c:v>
                </c:pt>
                <c:pt idx="163">
                  <c:v>1.257374269005848</c:v>
                </c:pt>
                <c:pt idx="164">
                  <c:v>1.257374269005848</c:v>
                </c:pt>
                <c:pt idx="165">
                  <c:v>1.257374269005848</c:v>
                </c:pt>
                <c:pt idx="166">
                  <c:v>1.257374269005848</c:v>
                </c:pt>
                <c:pt idx="167">
                  <c:v>1.257374269005848</c:v>
                </c:pt>
                <c:pt idx="168">
                  <c:v>1.257374269005848</c:v>
                </c:pt>
                <c:pt idx="169">
                  <c:v>1.257374269005848</c:v>
                </c:pt>
                <c:pt idx="170">
                  <c:v>1.257374269005848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99936"/>
        <c:axId val="1795707136"/>
      </c:lineChart>
      <c:catAx>
        <c:axId val="179569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07136"/>
        <c:crosses val="autoZero"/>
        <c:auto val="1"/>
        <c:lblAlgn val="ctr"/>
        <c:lblOffset val="100"/>
        <c:noMultiLvlLbl val="0"/>
      </c:catAx>
      <c:valAx>
        <c:axId val="17957071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1"/>
          <c:tx>
            <c:v>Threshhold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'Sabie workbook'!$H$5:$H$175</c:f>
              <c:numCache>
                <c:formatCode>General</c:formatCode>
                <c:ptCount val="17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0-40C6-8D68-1652789794BD}"/>
            </c:ext>
          </c:extLst>
        </c:ser>
        <c:ser>
          <c:idx val="2"/>
          <c:order val="2"/>
          <c:tx>
            <c:strRef>
              <c:f>'Sabie workbook'!$J$5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'Sabie workbook'!$J$5:$J$175</c:f>
              <c:numCache>
                <c:formatCode>General</c:formatCode>
                <c:ptCount val="17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0-40C6-8D68-16527897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0711839"/>
        <c:axId val="240717599"/>
      </c:barChart>
      <c:lineChart>
        <c:grouping val="standard"/>
        <c:varyColors val="0"/>
        <c:ser>
          <c:idx val="1"/>
          <c:order val="0"/>
          <c:tx>
            <c:strRef>
              <c:f>'Sabie workbook'!$G$4</c:f>
              <c:strCache>
                <c:ptCount val="1"/>
                <c:pt idx="0">
                  <c:v>Standardized recharge 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'Sabie workbook'!$A$5:$A$167</c:f>
              <c:numCache>
                <c:formatCode>yyyy/mm</c:formatCode>
                <c:ptCount val="163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</c:numCache>
            </c:numRef>
          </c:cat>
          <c:val>
            <c:numRef>
              <c:f>'Sabie workbook'!$G$5:$G$167</c:f>
              <c:numCache>
                <c:formatCode>General</c:formatCode>
                <c:ptCount val="163"/>
                <c:pt idx="0">
                  <c:v>0.59563078953302406</c:v>
                </c:pt>
                <c:pt idx="1">
                  <c:v>-0.38893049621030235</c:v>
                </c:pt>
                <c:pt idx="2">
                  <c:v>0.20180627523569347</c:v>
                </c:pt>
                <c:pt idx="3">
                  <c:v>4.8940180870282067E-3</c:v>
                </c:pt>
                <c:pt idx="4">
                  <c:v>-0.19201823906163712</c:v>
                </c:pt>
                <c:pt idx="5">
                  <c:v>-0.38893049621030235</c:v>
                </c:pt>
                <c:pt idx="6">
                  <c:v>-0.19201823906163712</c:v>
                </c:pt>
                <c:pt idx="7">
                  <c:v>-0.38893049621030235</c:v>
                </c:pt>
                <c:pt idx="8">
                  <c:v>-0.38893049621030235</c:v>
                </c:pt>
                <c:pt idx="9">
                  <c:v>-0.38893049621030235</c:v>
                </c:pt>
                <c:pt idx="10">
                  <c:v>-0.38893049621030235</c:v>
                </c:pt>
                <c:pt idx="11">
                  <c:v>4.8940180870282067E-3</c:v>
                </c:pt>
                <c:pt idx="12">
                  <c:v>-0.29047436763596973</c:v>
                </c:pt>
                <c:pt idx="13">
                  <c:v>-0.48738662478463496</c:v>
                </c:pt>
                <c:pt idx="14">
                  <c:v>-0.48738662478463496</c:v>
                </c:pt>
                <c:pt idx="15">
                  <c:v>-0.29047436763596973</c:v>
                </c:pt>
                <c:pt idx="16">
                  <c:v>-0.38893049621030235</c:v>
                </c:pt>
                <c:pt idx="17">
                  <c:v>-0.38893049621030235</c:v>
                </c:pt>
                <c:pt idx="18">
                  <c:v>-0.38893049621030235</c:v>
                </c:pt>
                <c:pt idx="19">
                  <c:v>-0.48738662478463496</c:v>
                </c:pt>
                <c:pt idx="20">
                  <c:v>-0.29047436763596973</c:v>
                </c:pt>
                <c:pt idx="21">
                  <c:v>-0.29047436763596973</c:v>
                </c:pt>
                <c:pt idx="22">
                  <c:v>-0.38893049621030235</c:v>
                </c:pt>
                <c:pt idx="23">
                  <c:v>0.20180627523569347</c:v>
                </c:pt>
                <c:pt idx="24">
                  <c:v>-9.3562110487304437E-2</c:v>
                </c:pt>
                <c:pt idx="25">
                  <c:v>-0.48738662478463496</c:v>
                </c:pt>
                <c:pt idx="26">
                  <c:v>-9.3562110487304437E-2</c:v>
                </c:pt>
                <c:pt idx="27">
                  <c:v>4.8940180870282067E-3</c:v>
                </c:pt>
                <c:pt idx="28">
                  <c:v>-0.29047436763596973</c:v>
                </c:pt>
                <c:pt idx="29">
                  <c:v>-0.38893049621030235</c:v>
                </c:pt>
                <c:pt idx="30">
                  <c:v>-0.38893049621030235</c:v>
                </c:pt>
                <c:pt idx="31">
                  <c:v>-0.38893049621030235</c:v>
                </c:pt>
                <c:pt idx="32">
                  <c:v>-0.48738662478463496</c:v>
                </c:pt>
                <c:pt idx="33">
                  <c:v>-0.29047436763596973</c:v>
                </c:pt>
                <c:pt idx="34">
                  <c:v>-0.29047436763596973</c:v>
                </c:pt>
                <c:pt idx="35">
                  <c:v>0.39871853238435861</c:v>
                </c:pt>
                <c:pt idx="36">
                  <c:v>4.8940180870282067E-3</c:v>
                </c:pt>
                <c:pt idx="37">
                  <c:v>-0.48738662478463496</c:v>
                </c:pt>
                <c:pt idx="38">
                  <c:v>-0.48738662478463496</c:v>
                </c:pt>
                <c:pt idx="39">
                  <c:v>-0.48738662478463496</c:v>
                </c:pt>
                <c:pt idx="40">
                  <c:v>-0.48738662478463496</c:v>
                </c:pt>
                <c:pt idx="41">
                  <c:v>-0.19201823906163712</c:v>
                </c:pt>
                <c:pt idx="42">
                  <c:v>-0.29047436763596973</c:v>
                </c:pt>
                <c:pt idx="43">
                  <c:v>-0.38893049621030235</c:v>
                </c:pt>
                <c:pt idx="44">
                  <c:v>-0.48738662478463496</c:v>
                </c:pt>
                <c:pt idx="45">
                  <c:v>-0.48738662478463496</c:v>
                </c:pt>
                <c:pt idx="46">
                  <c:v>-0.38893049621030235</c:v>
                </c:pt>
                <c:pt idx="47">
                  <c:v>0.20180627523569347</c:v>
                </c:pt>
                <c:pt idx="48">
                  <c:v>-0.29047436763596973</c:v>
                </c:pt>
                <c:pt idx="49">
                  <c:v>-0.38893049621030235</c:v>
                </c:pt>
                <c:pt idx="50">
                  <c:v>-0.29047436763596973</c:v>
                </c:pt>
                <c:pt idx="51">
                  <c:v>-0.19201823906163712</c:v>
                </c:pt>
                <c:pt idx="52">
                  <c:v>-0.38893049621030235</c:v>
                </c:pt>
                <c:pt idx="53">
                  <c:v>-0.38893049621030235</c:v>
                </c:pt>
                <c:pt idx="54">
                  <c:v>-0.38893049621030235</c:v>
                </c:pt>
                <c:pt idx="55">
                  <c:v>-0.48738662478463496</c:v>
                </c:pt>
                <c:pt idx="56">
                  <c:v>-0.29047436763596973</c:v>
                </c:pt>
                <c:pt idx="57">
                  <c:v>-0.48738662478463496</c:v>
                </c:pt>
                <c:pt idx="58">
                  <c:v>-0.38893049621030235</c:v>
                </c:pt>
                <c:pt idx="59">
                  <c:v>-0.38893049621030235</c:v>
                </c:pt>
                <c:pt idx="60">
                  <c:v>-0.38893049621030235</c:v>
                </c:pt>
                <c:pt idx="61">
                  <c:v>-0.38893049621030235</c:v>
                </c:pt>
                <c:pt idx="62">
                  <c:v>-0.19201823906163712</c:v>
                </c:pt>
                <c:pt idx="63">
                  <c:v>-0.48738662478463496</c:v>
                </c:pt>
                <c:pt idx="64">
                  <c:v>-0.38893049621030235</c:v>
                </c:pt>
                <c:pt idx="65">
                  <c:v>-0.48738662478463496</c:v>
                </c:pt>
                <c:pt idx="66">
                  <c:v>-0.38893049621030235</c:v>
                </c:pt>
                <c:pt idx="67">
                  <c:v>-0.48738662478463496</c:v>
                </c:pt>
                <c:pt idx="68">
                  <c:v>-0.48738662478463496</c:v>
                </c:pt>
                <c:pt idx="69">
                  <c:v>-0.48738662478463496</c:v>
                </c:pt>
                <c:pt idx="70">
                  <c:v>-0.38893049621030235</c:v>
                </c:pt>
                <c:pt idx="71">
                  <c:v>-9.3562110487304437E-2</c:v>
                </c:pt>
                <c:pt idx="72">
                  <c:v>0.10335014666136076</c:v>
                </c:pt>
                <c:pt idx="73">
                  <c:v>0.69408691810735645</c:v>
                </c:pt>
                <c:pt idx="74">
                  <c:v>-0.48738662478463496</c:v>
                </c:pt>
                <c:pt idx="75">
                  <c:v>-0.29047436763596973</c:v>
                </c:pt>
                <c:pt idx="76">
                  <c:v>-0.19201823906163712</c:v>
                </c:pt>
                <c:pt idx="77">
                  <c:v>-0.38893049621030235</c:v>
                </c:pt>
                <c:pt idx="78">
                  <c:v>-0.38893049621030235</c:v>
                </c:pt>
                <c:pt idx="79">
                  <c:v>-0.48738662478463496</c:v>
                </c:pt>
                <c:pt idx="80">
                  <c:v>-0.38893049621030235</c:v>
                </c:pt>
                <c:pt idx="81">
                  <c:v>-0.38893049621030235</c:v>
                </c:pt>
                <c:pt idx="82">
                  <c:v>-0.38893049621030235</c:v>
                </c:pt>
                <c:pt idx="83">
                  <c:v>-0.38893049621030235</c:v>
                </c:pt>
                <c:pt idx="84">
                  <c:v>-0.38893049621030235</c:v>
                </c:pt>
                <c:pt idx="85">
                  <c:v>-0.19201823906163712</c:v>
                </c:pt>
                <c:pt idx="86">
                  <c:v>-0.29047436763596973</c:v>
                </c:pt>
                <c:pt idx="87">
                  <c:v>-0.29047436763596973</c:v>
                </c:pt>
                <c:pt idx="88">
                  <c:v>-0.38893049621030235</c:v>
                </c:pt>
                <c:pt idx="89">
                  <c:v>-0.48738662478463496</c:v>
                </c:pt>
                <c:pt idx="90">
                  <c:v>-0.38893049621030235</c:v>
                </c:pt>
                <c:pt idx="91">
                  <c:v>-0.38893049621030235</c:v>
                </c:pt>
                <c:pt idx="92">
                  <c:v>-0.48738662478463496</c:v>
                </c:pt>
                <c:pt idx="93">
                  <c:v>-0.38893049621030235</c:v>
                </c:pt>
                <c:pt idx="94">
                  <c:v>-0.48738662478463496</c:v>
                </c:pt>
                <c:pt idx="95">
                  <c:v>-0.38893049621030235</c:v>
                </c:pt>
                <c:pt idx="96">
                  <c:v>-0.19201823906163712</c:v>
                </c:pt>
                <c:pt idx="97">
                  <c:v>-0.29047436763596973</c:v>
                </c:pt>
                <c:pt idx="98">
                  <c:v>-0.38893049621030235</c:v>
                </c:pt>
                <c:pt idx="99">
                  <c:v>-0.19201823906163712</c:v>
                </c:pt>
                <c:pt idx="100">
                  <c:v>-0.48738662478463496</c:v>
                </c:pt>
                <c:pt idx="101">
                  <c:v>-0.38893049621030235</c:v>
                </c:pt>
                <c:pt idx="102">
                  <c:v>-0.48738662478463496</c:v>
                </c:pt>
                <c:pt idx="103">
                  <c:v>-0.48738662478463496</c:v>
                </c:pt>
                <c:pt idx="104">
                  <c:v>-0.48738662478463496</c:v>
                </c:pt>
                <c:pt idx="105">
                  <c:v>-0.48738662478463496</c:v>
                </c:pt>
                <c:pt idx="106">
                  <c:v>-0.38893049621030235</c:v>
                </c:pt>
                <c:pt idx="107">
                  <c:v>-0.38893049621030235</c:v>
                </c:pt>
                <c:pt idx="108">
                  <c:v>-9.3562110487304437E-2</c:v>
                </c:pt>
                <c:pt idx="109">
                  <c:v>0.39871853238435861</c:v>
                </c:pt>
                <c:pt idx="110">
                  <c:v>-0.48738662478463496</c:v>
                </c:pt>
                <c:pt idx="111">
                  <c:v>-0.19201823906163712</c:v>
                </c:pt>
                <c:pt idx="112">
                  <c:v>-0.48738662478463496</c:v>
                </c:pt>
                <c:pt idx="113">
                  <c:v>-0.38893049621030235</c:v>
                </c:pt>
                <c:pt idx="114">
                  <c:v>-0.38893049621030235</c:v>
                </c:pt>
                <c:pt idx="115">
                  <c:v>-0.48738662478463496</c:v>
                </c:pt>
                <c:pt idx="116">
                  <c:v>-0.48738662478463496</c:v>
                </c:pt>
                <c:pt idx="117">
                  <c:v>-0.29047436763596973</c:v>
                </c:pt>
                <c:pt idx="118">
                  <c:v>-0.48738662478463496</c:v>
                </c:pt>
                <c:pt idx="119">
                  <c:v>-0.38893049621030235</c:v>
                </c:pt>
                <c:pt idx="120">
                  <c:v>0.98945530383035429</c:v>
                </c:pt>
                <c:pt idx="121">
                  <c:v>0.39871853238435861</c:v>
                </c:pt>
                <c:pt idx="122">
                  <c:v>-0.48738662478463496</c:v>
                </c:pt>
                <c:pt idx="123">
                  <c:v>-0.48738662478463496</c:v>
                </c:pt>
                <c:pt idx="124">
                  <c:v>-0.38893049621030235</c:v>
                </c:pt>
                <c:pt idx="125">
                  <c:v>-0.29047436763596973</c:v>
                </c:pt>
                <c:pt idx="126">
                  <c:v>-0.38893049621030235</c:v>
                </c:pt>
                <c:pt idx="127">
                  <c:v>-0.38893049621030235</c:v>
                </c:pt>
                <c:pt idx="128">
                  <c:v>-0.48738662478463496</c:v>
                </c:pt>
                <c:pt idx="129">
                  <c:v>-0.38893049621030235</c:v>
                </c:pt>
                <c:pt idx="130">
                  <c:v>-0.38893049621030235</c:v>
                </c:pt>
                <c:pt idx="131">
                  <c:v>-0.29047436763596973</c:v>
                </c:pt>
                <c:pt idx="132">
                  <c:v>0.30026240381002611</c:v>
                </c:pt>
                <c:pt idx="133">
                  <c:v>-0.48738662478463496</c:v>
                </c:pt>
                <c:pt idx="134">
                  <c:v>-0.19201823906163712</c:v>
                </c:pt>
                <c:pt idx="135">
                  <c:v>-9.3562110487304437E-2</c:v>
                </c:pt>
                <c:pt idx="136">
                  <c:v>-0.19201823906163712</c:v>
                </c:pt>
                <c:pt idx="137">
                  <c:v>-0.29047436763596973</c:v>
                </c:pt>
                <c:pt idx="138">
                  <c:v>-0.38893049621030235</c:v>
                </c:pt>
                <c:pt idx="139">
                  <c:v>-0.38893049621030235</c:v>
                </c:pt>
                <c:pt idx="140">
                  <c:v>-0.38893049621030235</c:v>
                </c:pt>
                <c:pt idx="141">
                  <c:v>4.8940180870282067E-3</c:v>
                </c:pt>
                <c:pt idx="142">
                  <c:v>1.3832798181276849</c:v>
                </c:pt>
                <c:pt idx="143">
                  <c:v>0.7925430466816894</c:v>
                </c:pt>
                <c:pt idx="144">
                  <c:v>0.20180627523569347</c:v>
                </c:pt>
                <c:pt idx="145">
                  <c:v>0.94022723954318843</c:v>
                </c:pt>
                <c:pt idx="146">
                  <c:v>1.6786482038506829</c:v>
                </c:pt>
                <c:pt idx="147">
                  <c:v>0.20180627523569347</c:v>
                </c:pt>
                <c:pt idx="148">
                  <c:v>2.4662972324453438</c:v>
                </c:pt>
                <c:pt idx="149">
                  <c:v>0.69408691810735645</c:v>
                </c:pt>
                <c:pt idx="150">
                  <c:v>1.5801920752763501</c:v>
                </c:pt>
                <c:pt idx="151">
                  <c:v>0.20180627523569347</c:v>
                </c:pt>
                <c:pt idx="152">
                  <c:v>0.7925430466816894</c:v>
                </c:pt>
                <c:pt idx="153">
                  <c:v>-9.3562110487304437E-2</c:v>
                </c:pt>
                <c:pt idx="154">
                  <c:v>0.7925430466816894</c:v>
                </c:pt>
                <c:pt idx="155">
                  <c:v>3.106262068178506</c:v>
                </c:pt>
                <c:pt idx="156">
                  <c:v>5.4199810896753231</c:v>
                </c:pt>
                <c:pt idx="157">
                  <c:v>4.8940180870282067E-3</c:v>
                </c:pt>
                <c:pt idx="158">
                  <c:v>-0.68429888193330024</c:v>
                </c:pt>
                <c:pt idx="159">
                  <c:v>0.59563078953302406</c:v>
                </c:pt>
                <c:pt idx="160">
                  <c:v>2.4662972324453438</c:v>
                </c:pt>
                <c:pt idx="161">
                  <c:v>1.6786482038506829</c:v>
                </c:pt>
                <c:pt idx="162">
                  <c:v>0.8909991752560219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0-40C6-8D68-16527897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711839"/>
        <c:axId val="240717599"/>
      </c:lineChart>
      <c:dateAx>
        <c:axId val="24071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 hydrological years)</a:t>
                </a:r>
              </a:p>
            </c:rich>
          </c:tx>
          <c:layout>
            <c:manualLayout>
              <c:xMode val="edge"/>
              <c:yMode val="edge"/>
              <c:x val="0.38126576469731005"/>
              <c:y val="0.73558951512639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17599"/>
        <c:crosses val="autoZero"/>
        <c:auto val="0"/>
        <c:lblOffset val="100"/>
        <c:baseTimeUnit val="months"/>
      </c:dateAx>
      <c:valAx>
        <c:axId val="240717599"/>
        <c:scaling>
          <c:orientation val="minMax"/>
          <c:max val="4"/>
          <c:min val="-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Drought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118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559875231189722E-2"/>
          <c:y val="0.88742402265506282"/>
          <c:w val="0.89999984496917207"/>
          <c:h val="6.8716328222130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'Sabie workbook'!$G$4</c:f>
              <c:strCache>
                <c:ptCount val="1"/>
                <c:pt idx="0">
                  <c:v>Standardized recharge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'Sabie workbook'!$A$5:$A$175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cat>
          <c:val>
            <c:numRef>
              <c:f>'Sabie workbook'!$G$5:$G$175</c:f>
              <c:numCache>
                <c:formatCode>General</c:formatCode>
                <c:ptCount val="171"/>
                <c:pt idx="0">
                  <c:v>0.59563078953302406</c:v>
                </c:pt>
                <c:pt idx="1">
                  <c:v>-0.38893049621030235</c:v>
                </c:pt>
                <c:pt idx="2">
                  <c:v>0.20180627523569347</c:v>
                </c:pt>
                <c:pt idx="3">
                  <c:v>4.8940180870282067E-3</c:v>
                </c:pt>
                <c:pt idx="4">
                  <c:v>-0.19201823906163712</c:v>
                </c:pt>
                <c:pt idx="5">
                  <c:v>-0.38893049621030235</c:v>
                </c:pt>
                <c:pt idx="6">
                  <c:v>-0.19201823906163712</c:v>
                </c:pt>
                <c:pt idx="7">
                  <c:v>-0.38893049621030235</c:v>
                </c:pt>
                <c:pt idx="8">
                  <c:v>-0.38893049621030235</c:v>
                </c:pt>
                <c:pt idx="9">
                  <c:v>-0.38893049621030235</c:v>
                </c:pt>
                <c:pt idx="10">
                  <c:v>-0.38893049621030235</c:v>
                </c:pt>
                <c:pt idx="11">
                  <c:v>4.8940180870282067E-3</c:v>
                </c:pt>
                <c:pt idx="12">
                  <c:v>-0.29047436763596973</c:v>
                </c:pt>
                <c:pt idx="13">
                  <c:v>-0.48738662478463496</c:v>
                </c:pt>
                <c:pt idx="14">
                  <c:v>-0.48738662478463496</c:v>
                </c:pt>
                <c:pt idx="15">
                  <c:v>-0.29047436763596973</c:v>
                </c:pt>
                <c:pt idx="16">
                  <c:v>-0.38893049621030235</c:v>
                </c:pt>
                <c:pt idx="17">
                  <c:v>-0.38893049621030235</c:v>
                </c:pt>
                <c:pt idx="18">
                  <c:v>-0.38893049621030235</c:v>
                </c:pt>
                <c:pt idx="19">
                  <c:v>-0.48738662478463496</c:v>
                </c:pt>
                <c:pt idx="20">
                  <c:v>-0.29047436763596973</c:v>
                </c:pt>
                <c:pt idx="21">
                  <c:v>-0.29047436763596973</c:v>
                </c:pt>
                <c:pt idx="22">
                  <c:v>-0.38893049621030235</c:v>
                </c:pt>
                <c:pt idx="23">
                  <c:v>0.20180627523569347</c:v>
                </c:pt>
                <c:pt idx="24">
                  <c:v>-9.3562110487304437E-2</c:v>
                </c:pt>
                <c:pt idx="25">
                  <c:v>-0.48738662478463496</c:v>
                </c:pt>
                <c:pt idx="26">
                  <c:v>-9.3562110487304437E-2</c:v>
                </c:pt>
                <c:pt idx="27">
                  <c:v>4.8940180870282067E-3</c:v>
                </c:pt>
                <c:pt idx="28">
                  <c:v>-0.29047436763596973</c:v>
                </c:pt>
                <c:pt idx="29">
                  <c:v>-0.38893049621030235</c:v>
                </c:pt>
                <c:pt idx="30">
                  <c:v>-0.38893049621030235</c:v>
                </c:pt>
                <c:pt idx="31">
                  <c:v>-0.38893049621030235</c:v>
                </c:pt>
                <c:pt idx="32">
                  <c:v>-0.48738662478463496</c:v>
                </c:pt>
                <c:pt idx="33">
                  <c:v>-0.29047436763596973</c:v>
                </c:pt>
                <c:pt idx="34">
                  <c:v>-0.29047436763596973</c:v>
                </c:pt>
                <c:pt idx="35">
                  <c:v>0.39871853238435861</c:v>
                </c:pt>
                <c:pt idx="36">
                  <c:v>4.8940180870282067E-3</c:v>
                </c:pt>
                <c:pt idx="37">
                  <c:v>-0.48738662478463496</c:v>
                </c:pt>
                <c:pt idx="38">
                  <c:v>-0.48738662478463496</c:v>
                </c:pt>
                <c:pt idx="39">
                  <c:v>-0.48738662478463496</c:v>
                </c:pt>
                <c:pt idx="40">
                  <c:v>-0.48738662478463496</c:v>
                </c:pt>
                <c:pt idx="41">
                  <c:v>-0.19201823906163712</c:v>
                </c:pt>
                <c:pt idx="42">
                  <c:v>-0.29047436763596973</c:v>
                </c:pt>
                <c:pt idx="43">
                  <c:v>-0.38893049621030235</c:v>
                </c:pt>
                <c:pt idx="44">
                  <c:v>-0.48738662478463496</c:v>
                </c:pt>
                <c:pt idx="45">
                  <c:v>-0.48738662478463496</c:v>
                </c:pt>
                <c:pt idx="46">
                  <c:v>-0.38893049621030235</c:v>
                </c:pt>
                <c:pt idx="47">
                  <c:v>0.20180627523569347</c:v>
                </c:pt>
                <c:pt idx="48">
                  <c:v>-0.29047436763596973</c:v>
                </c:pt>
                <c:pt idx="49">
                  <c:v>-0.38893049621030235</c:v>
                </c:pt>
                <c:pt idx="50">
                  <c:v>-0.29047436763596973</c:v>
                </c:pt>
                <c:pt idx="51">
                  <c:v>-0.19201823906163712</c:v>
                </c:pt>
                <c:pt idx="52">
                  <c:v>-0.38893049621030235</c:v>
                </c:pt>
                <c:pt idx="53">
                  <c:v>-0.38893049621030235</c:v>
                </c:pt>
                <c:pt idx="54">
                  <c:v>-0.38893049621030235</c:v>
                </c:pt>
                <c:pt idx="55">
                  <c:v>-0.48738662478463496</c:v>
                </c:pt>
                <c:pt idx="56">
                  <c:v>-0.29047436763596973</c:v>
                </c:pt>
                <c:pt idx="57">
                  <c:v>-0.48738662478463496</c:v>
                </c:pt>
                <c:pt idx="58">
                  <c:v>-0.38893049621030235</c:v>
                </c:pt>
                <c:pt idx="59">
                  <c:v>-0.38893049621030235</c:v>
                </c:pt>
                <c:pt idx="60">
                  <c:v>-0.38893049621030235</c:v>
                </c:pt>
                <c:pt idx="61">
                  <c:v>-0.38893049621030235</c:v>
                </c:pt>
                <c:pt idx="62">
                  <c:v>-0.19201823906163712</c:v>
                </c:pt>
                <c:pt idx="63">
                  <c:v>-0.48738662478463496</c:v>
                </c:pt>
                <c:pt idx="64">
                  <c:v>-0.38893049621030235</c:v>
                </c:pt>
                <c:pt idx="65">
                  <c:v>-0.48738662478463496</c:v>
                </c:pt>
                <c:pt idx="66">
                  <c:v>-0.38893049621030235</c:v>
                </c:pt>
                <c:pt idx="67">
                  <c:v>-0.48738662478463496</c:v>
                </c:pt>
                <c:pt idx="68">
                  <c:v>-0.48738662478463496</c:v>
                </c:pt>
                <c:pt idx="69">
                  <c:v>-0.48738662478463496</c:v>
                </c:pt>
                <c:pt idx="70">
                  <c:v>-0.38893049621030235</c:v>
                </c:pt>
                <c:pt idx="71">
                  <c:v>-9.3562110487304437E-2</c:v>
                </c:pt>
                <c:pt idx="72">
                  <c:v>0.10335014666136076</c:v>
                </c:pt>
                <c:pt idx="73">
                  <c:v>0.69408691810735645</c:v>
                </c:pt>
                <c:pt idx="74">
                  <c:v>-0.48738662478463496</c:v>
                </c:pt>
                <c:pt idx="75">
                  <c:v>-0.29047436763596973</c:v>
                </c:pt>
                <c:pt idx="76">
                  <c:v>-0.19201823906163712</c:v>
                </c:pt>
                <c:pt idx="77">
                  <c:v>-0.38893049621030235</c:v>
                </c:pt>
                <c:pt idx="78">
                  <c:v>-0.38893049621030235</c:v>
                </c:pt>
                <c:pt idx="79">
                  <c:v>-0.48738662478463496</c:v>
                </c:pt>
                <c:pt idx="80">
                  <c:v>-0.38893049621030235</c:v>
                </c:pt>
                <c:pt idx="81">
                  <c:v>-0.38893049621030235</c:v>
                </c:pt>
                <c:pt idx="82">
                  <c:v>-0.38893049621030235</c:v>
                </c:pt>
                <c:pt idx="83">
                  <c:v>-0.38893049621030235</c:v>
                </c:pt>
                <c:pt idx="84">
                  <c:v>-0.38893049621030235</c:v>
                </c:pt>
                <c:pt idx="85">
                  <c:v>-0.19201823906163712</c:v>
                </c:pt>
                <c:pt idx="86">
                  <c:v>-0.29047436763596973</c:v>
                </c:pt>
                <c:pt idx="87">
                  <c:v>-0.29047436763596973</c:v>
                </c:pt>
                <c:pt idx="88">
                  <c:v>-0.38893049621030235</c:v>
                </c:pt>
                <c:pt idx="89">
                  <c:v>-0.48738662478463496</c:v>
                </c:pt>
                <c:pt idx="90">
                  <c:v>-0.38893049621030235</c:v>
                </c:pt>
                <c:pt idx="91">
                  <c:v>-0.38893049621030235</c:v>
                </c:pt>
                <c:pt idx="92">
                  <c:v>-0.48738662478463496</c:v>
                </c:pt>
                <c:pt idx="93">
                  <c:v>-0.38893049621030235</c:v>
                </c:pt>
                <c:pt idx="94">
                  <c:v>-0.48738662478463496</c:v>
                </c:pt>
                <c:pt idx="95">
                  <c:v>-0.38893049621030235</c:v>
                </c:pt>
                <c:pt idx="96">
                  <c:v>-0.19201823906163712</c:v>
                </c:pt>
                <c:pt idx="97">
                  <c:v>-0.29047436763596973</c:v>
                </c:pt>
                <c:pt idx="98">
                  <c:v>-0.38893049621030235</c:v>
                </c:pt>
                <c:pt idx="99">
                  <c:v>-0.19201823906163712</c:v>
                </c:pt>
                <c:pt idx="100">
                  <c:v>-0.48738662478463496</c:v>
                </c:pt>
                <c:pt idx="101">
                  <c:v>-0.38893049621030235</c:v>
                </c:pt>
                <c:pt idx="102">
                  <c:v>-0.48738662478463496</c:v>
                </c:pt>
                <c:pt idx="103">
                  <c:v>-0.48738662478463496</c:v>
                </c:pt>
                <c:pt idx="104">
                  <c:v>-0.48738662478463496</c:v>
                </c:pt>
                <c:pt idx="105">
                  <c:v>-0.48738662478463496</c:v>
                </c:pt>
                <c:pt idx="106">
                  <c:v>-0.38893049621030235</c:v>
                </c:pt>
                <c:pt idx="107">
                  <c:v>-0.38893049621030235</c:v>
                </c:pt>
                <c:pt idx="108">
                  <c:v>-9.3562110487304437E-2</c:v>
                </c:pt>
                <c:pt idx="109">
                  <c:v>0.39871853238435861</c:v>
                </c:pt>
                <c:pt idx="110">
                  <c:v>-0.48738662478463496</c:v>
                </c:pt>
                <c:pt idx="111">
                  <c:v>-0.19201823906163712</c:v>
                </c:pt>
                <c:pt idx="112">
                  <c:v>-0.48738662478463496</c:v>
                </c:pt>
                <c:pt idx="113">
                  <c:v>-0.38893049621030235</c:v>
                </c:pt>
                <c:pt idx="114">
                  <c:v>-0.38893049621030235</c:v>
                </c:pt>
                <c:pt idx="115">
                  <c:v>-0.48738662478463496</c:v>
                </c:pt>
                <c:pt idx="116">
                  <c:v>-0.48738662478463496</c:v>
                </c:pt>
                <c:pt idx="117">
                  <c:v>-0.29047436763596973</c:v>
                </c:pt>
                <c:pt idx="118">
                  <c:v>-0.48738662478463496</c:v>
                </c:pt>
                <c:pt idx="119">
                  <c:v>-0.38893049621030235</c:v>
                </c:pt>
                <c:pt idx="120">
                  <c:v>0.98945530383035429</c:v>
                </c:pt>
                <c:pt idx="121">
                  <c:v>0.39871853238435861</c:v>
                </c:pt>
                <c:pt idx="122">
                  <c:v>-0.48738662478463496</c:v>
                </c:pt>
                <c:pt idx="123">
                  <c:v>-0.48738662478463496</c:v>
                </c:pt>
                <c:pt idx="124">
                  <c:v>-0.38893049621030235</c:v>
                </c:pt>
                <c:pt idx="125">
                  <c:v>-0.29047436763596973</c:v>
                </c:pt>
                <c:pt idx="126">
                  <c:v>-0.38893049621030235</c:v>
                </c:pt>
                <c:pt idx="127">
                  <c:v>-0.38893049621030235</c:v>
                </c:pt>
                <c:pt idx="128">
                  <c:v>-0.48738662478463496</c:v>
                </c:pt>
                <c:pt idx="129">
                  <c:v>-0.38893049621030235</c:v>
                </c:pt>
                <c:pt idx="130">
                  <c:v>-0.38893049621030235</c:v>
                </c:pt>
                <c:pt idx="131">
                  <c:v>-0.29047436763596973</c:v>
                </c:pt>
                <c:pt idx="132">
                  <c:v>0.30026240381002611</c:v>
                </c:pt>
                <c:pt idx="133">
                  <c:v>-0.48738662478463496</c:v>
                </c:pt>
                <c:pt idx="134">
                  <c:v>-0.19201823906163712</c:v>
                </c:pt>
                <c:pt idx="135">
                  <c:v>-9.3562110487304437E-2</c:v>
                </c:pt>
                <c:pt idx="136">
                  <c:v>-0.19201823906163712</c:v>
                </c:pt>
                <c:pt idx="137">
                  <c:v>-0.29047436763596973</c:v>
                </c:pt>
                <c:pt idx="138">
                  <c:v>-0.38893049621030235</c:v>
                </c:pt>
                <c:pt idx="139">
                  <c:v>-0.38893049621030235</c:v>
                </c:pt>
                <c:pt idx="140">
                  <c:v>-0.38893049621030235</c:v>
                </c:pt>
                <c:pt idx="141">
                  <c:v>4.8940180870282067E-3</c:v>
                </c:pt>
                <c:pt idx="142">
                  <c:v>1.3832798181276849</c:v>
                </c:pt>
                <c:pt idx="143">
                  <c:v>0.7925430466816894</c:v>
                </c:pt>
                <c:pt idx="144">
                  <c:v>0.20180627523569347</c:v>
                </c:pt>
                <c:pt idx="145">
                  <c:v>0.94022723954318843</c:v>
                </c:pt>
                <c:pt idx="146">
                  <c:v>1.6786482038506829</c:v>
                </c:pt>
                <c:pt idx="147">
                  <c:v>0.20180627523569347</c:v>
                </c:pt>
                <c:pt idx="148">
                  <c:v>2.4662972324453438</c:v>
                </c:pt>
                <c:pt idx="149">
                  <c:v>0.69408691810735645</c:v>
                </c:pt>
                <c:pt idx="150">
                  <c:v>1.5801920752763501</c:v>
                </c:pt>
                <c:pt idx="151">
                  <c:v>0.20180627523569347</c:v>
                </c:pt>
                <c:pt idx="152">
                  <c:v>0.7925430466816894</c:v>
                </c:pt>
                <c:pt idx="153">
                  <c:v>-9.3562110487304437E-2</c:v>
                </c:pt>
                <c:pt idx="154">
                  <c:v>0.7925430466816894</c:v>
                </c:pt>
                <c:pt idx="155">
                  <c:v>3.106262068178506</c:v>
                </c:pt>
                <c:pt idx="156">
                  <c:v>5.4199810896753231</c:v>
                </c:pt>
                <c:pt idx="157">
                  <c:v>4.8940180870282067E-3</c:v>
                </c:pt>
                <c:pt idx="158">
                  <c:v>-0.68429888193330024</c:v>
                </c:pt>
                <c:pt idx="159">
                  <c:v>0.59563078953302406</c:v>
                </c:pt>
                <c:pt idx="160">
                  <c:v>2.4662972324453438</c:v>
                </c:pt>
                <c:pt idx="161">
                  <c:v>1.6786482038506829</c:v>
                </c:pt>
                <c:pt idx="162">
                  <c:v>0.8909991752560219</c:v>
                </c:pt>
                <c:pt idx="163">
                  <c:v>0.54640272524585765</c:v>
                </c:pt>
                <c:pt idx="164">
                  <c:v>0.49717466095869139</c:v>
                </c:pt>
                <c:pt idx="165">
                  <c:v>0.39871853238435861</c:v>
                </c:pt>
                <c:pt idx="166">
                  <c:v>1.6786482038506829</c:v>
                </c:pt>
                <c:pt idx="167">
                  <c:v>2.9585778753170069</c:v>
                </c:pt>
                <c:pt idx="168">
                  <c:v>7.093735275438978</c:v>
                </c:pt>
                <c:pt idx="169">
                  <c:v>4.435419803931997</c:v>
                </c:pt>
                <c:pt idx="170">
                  <c:v>-0.29047436763596973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5C-4A94-B1A8-9AEF4FFC1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099071"/>
        <c:axId val="1590109631"/>
      </c:areaChart>
      <c:scatterChart>
        <c:scatterStyle val="smoothMarker"/>
        <c:varyColors val="0"/>
        <c:ser>
          <c:idx val="6"/>
          <c:order val="1"/>
          <c:tx>
            <c:strRef>
              <c:f>'Sabie workbook'!$H$4</c:f>
              <c:strCache>
                <c:ptCount val="1"/>
                <c:pt idx="0">
                  <c:v>Filure threshold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'Sabie workbook'!$A$5:$A$175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xVal>
          <c:yVal>
            <c:numRef>
              <c:f>'Sabie workbook'!$H$5:$H$175</c:f>
              <c:numCache>
                <c:formatCode>General</c:formatCode>
                <c:ptCount val="17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5C-4A94-B1A8-9AEF4FFC1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099071"/>
        <c:axId val="1590109631"/>
      </c:scatterChart>
      <c:dateAx>
        <c:axId val="159009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09631"/>
        <c:crosses val="autoZero"/>
        <c:auto val="1"/>
        <c:lblOffset val="100"/>
        <c:baseTimeUnit val="days"/>
      </c:dateAx>
      <c:valAx>
        <c:axId val="1590109631"/>
        <c:scaling>
          <c:orientation val="minMax"/>
          <c:max val="7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Performance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9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'Sand workbook'!$G$4</c:f>
              <c:strCache>
                <c:ptCount val="1"/>
                <c:pt idx="0">
                  <c:v>Standardized recharge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'Sand workbook'!$A$5:$A$174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'Sand workbook'!$G$5:$G$174</c:f>
              <c:numCache>
                <c:formatCode>0.0000</c:formatCode>
                <c:ptCount val="170"/>
                <c:pt idx="0">
                  <c:v>-0.55134978039995974</c:v>
                </c:pt>
                <c:pt idx="1">
                  <c:v>0.30094565305193183</c:v>
                </c:pt>
                <c:pt idx="2">
                  <c:v>1.4757312505126476</c:v>
                </c:pt>
                <c:pt idx="3">
                  <c:v>0.89985595763974746</c:v>
                </c:pt>
                <c:pt idx="4">
                  <c:v>0.57736579363092366</c:v>
                </c:pt>
                <c:pt idx="5">
                  <c:v>-0.27492963982096796</c:v>
                </c:pt>
                <c:pt idx="6">
                  <c:v>-0.11368455781655601</c:v>
                </c:pt>
                <c:pt idx="7">
                  <c:v>-0.27492963982096796</c:v>
                </c:pt>
                <c:pt idx="8">
                  <c:v>-0.39010469839554784</c:v>
                </c:pt>
                <c:pt idx="9">
                  <c:v>-0.55134978039995974</c:v>
                </c:pt>
                <c:pt idx="10">
                  <c:v>-0.55134978039995974</c:v>
                </c:pt>
                <c:pt idx="11">
                  <c:v>-0.55134978039995974</c:v>
                </c:pt>
                <c:pt idx="12">
                  <c:v>0.94592598106957937</c:v>
                </c:pt>
                <c:pt idx="13">
                  <c:v>4.756052418785596E-2</c:v>
                </c:pt>
                <c:pt idx="14">
                  <c:v>-0.20582460467621996</c:v>
                </c:pt>
                <c:pt idx="15">
                  <c:v>-0.41313971011046385</c:v>
                </c:pt>
                <c:pt idx="16">
                  <c:v>-0.32099966325079987</c:v>
                </c:pt>
                <c:pt idx="17">
                  <c:v>-0.32099966325079987</c:v>
                </c:pt>
                <c:pt idx="18">
                  <c:v>-0.41313971011046385</c:v>
                </c:pt>
                <c:pt idx="19">
                  <c:v>-0.20582460467621996</c:v>
                </c:pt>
                <c:pt idx="20">
                  <c:v>-0.15975458124638792</c:v>
                </c:pt>
                <c:pt idx="21">
                  <c:v>-0.39010469839554784</c:v>
                </c:pt>
                <c:pt idx="22">
                  <c:v>0.76164588735025152</c:v>
                </c:pt>
                <c:pt idx="23">
                  <c:v>4.2399326563025665</c:v>
                </c:pt>
                <c:pt idx="24">
                  <c:v>2.4662367542540347</c:v>
                </c:pt>
                <c:pt idx="25">
                  <c:v>0.57736579363092366</c:v>
                </c:pt>
                <c:pt idx="26">
                  <c:v>0.3470156764817639</c:v>
                </c:pt>
                <c:pt idx="27">
                  <c:v>7.0595535902771914E-2</c:v>
                </c:pt>
                <c:pt idx="28">
                  <c:v>-0.15975458124638792</c:v>
                </c:pt>
                <c:pt idx="29">
                  <c:v>-0.29796465153588392</c:v>
                </c:pt>
                <c:pt idx="30">
                  <c:v>-0.29796465153588392</c:v>
                </c:pt>
                <c:pt idx="31">
                  <c:v>-0.43617472182537986</c:v>
                </c:pt>
                <c:pt idx="32">
                  <c:v>-0.11368455781655601</c:v>
                </c:pt>
                <c:pt idx="33">
                  <c:v>-0.55134978039995974</c:v>
                </c:pt>
                <c:pt idx="34">
                  <c:v>0.96896099278449555</c:v>
                </c:pt>
                <c:pt idx="35">
                  <c:v>2.452551247293993E-2</c:v>
                </c:pt>
                <c:pt idx="36">
                  <c:v>3.5719173165700022</c:v>
                </c:pt>
                <c:pt idx="37">
                  <c:v>5.6450683709124405</c:v>
                </c:pt>
                <c:pt idx="38">
                  <c:v>0.85378593420991544</c:v>
                </c:pt>
                <c:pt idx="39">
                  <c:v>0.83075092249499949</c:v>
                </c:pt>
                <c:pt idx="40">
                  <c:v>2.452551247293993E-2</c:v>
                </c:pt>
                <c:pt idx="41">
                  <c:v>-9.0649546101639986E-2</c:v>
                </c:pt>
                <c:pt idx="42">
                  <c:v>-0.34403467496571594</c:v>
                </c:pt>
                <c:pt idx="43">
                  <c:v>-0.22885961639113592</c:v>
                </c:pt>
                <c:pt idx="44">
                  <c:v>-0.29796465153588392</c:v>
                </c:pt>
                <c:pt idx="45">
                  <c:v>-0.29796465153588392</c:v>
                </c:pt>
                <c:pt idx="46">
                  <c:v>1.6600113442319751</c:v>
                </c:pt>
                <c:pt idx="47">
                  <c:v>4.756052418785596E-2</c:v>
                </c:pt>
                <c:pt idx="48">
                  <c:v>-0.36706968668063189</c:v>
                </c:pt>
                <c:pt idx="49">
                  <c:v>-2.1544510956892051E-2</c:v>
                </c:pt>
                <c:pt idx="50">
                  <c:v>-0.13671956953147205</c:v>
                </c:pt>
                <c:pt idx="51">
                  <c:v>-0.2518946281060519</c:v>
                </c:pt>
                <c:pt idx="52">
                  <c:v>-0.48224474525521188</c:v>
                </c:pt>
                <c:pt idx="53">
                  <c:v>-0.36706968668063189</c:v>
                </c:pt>
                <c:pt idx="54">
                  <c:v>-0.43617472182537986</c:v>
                </c:pt>
                <c:pt idx="55">
                  <c:v>-0.36706968668063189</c:v>
                </c:pt>
                <c:pt idx="56">
                  <c:v>-0.5283147686850439</c:v>
                </c:pt>
                <c:pt idx="57">
                  <c:v>-0.50527975697012784</c:v>
                </c:pt>
                <c:pt idx="58">
                  <c:v>-0.48224474525521188</c:v>
                </c:pt>
                <c:pt idx="59">
                  <c:v>-0.48224474525521188</c:v>
                </c:pt>
                <c:pt idx="60">
                  <c:v>-0.50527975697012784</c:v>
                </c:pt>
                <c:pt idx="61">
                  <c:v>-0.18278959296130395</c:v>
                </c:pt>
                <c:pt idx="62">
                  <c:v>-0.55134978039995974</c:v>
                </c:pt>
                <c:pt idx="63">
                  <c:v>-0.5283147686850439</c:v>
                </c:pt>
                <c:pt idx="64">
                  <c:v>-0.5283147686850439</c:v>
                </c:pt>
                <c:pt idx="65">
                  <c:v>-0.50527975697012784</c:v>
                </c:pt>
                <c:pt idx="66">
                  <c:v>-0.5283147686850439</c:v>
                </c:pt>
                <c:pt idx="67">
                  <c:v>-0.5283147686850439</c:v>
                </c:pt>
                <c:pt idx="68">
                  <c:v>-0.5283147686850439</c:v>
                </c:pt>
                <c:pt idx="69">
                  <c:v>-0.43617472182537986</c:v>
                </c:pt>
                <c:pt idx="70">
                  <c:v>-0.15975458124638792</c:v>
                </c:pt>
                <c:pt idx="71">
                  <c:v>0.73861087563533567</c:v>
                </c:pt>
                <c:pt idx="72">
                  <c:v>1.8673264496662192</c:v>
                </c:pt>
                <c:pt idx="73">
                  <c:v>0.41612071162651171</c:v>
                </c:pt>
                <c:pt idx="74">
                  <c:v>-6.7614534386724032E-2</c:v>
                </c:pt>
                <c:pt idx="75">
                  <c:v>-9.0649546101639986E-2</c:v>
                </c:pt>
                <c:pt idx="76">
                  <c:v>-0.41313971011046385</c:v>
                </c:pt>
                <c:pt idx="77">
                  <c:v>-0.48224474525521188</c:v>
                </c:pt>
                <c:pt idx="78">
                  <c:v>-0.39010469839554784</c:v>
                </c:pt>
                <c:pt idx="79">
                  <c:v>-0.50527975697012784</c:v>
                </c:pt>
                <c:pt idx="80">
                  <c:v>-0.55134978039995974</c:v>
                </c:pt>
                <c:pt idx="81">
                  <c:v>-0.50527975697012784</c:v>
                </c:pt>
                <c:pt idx="82">
                  <c:v>-0.34403467496571594</c:v>
                </c:pt>
                <c:pt idx="83">
                  <c:v>-0.5283147686850439</c:v>
                </c:pt>
                <c:pt idx="84">
                  <c:v>-0.34403467496571594</c:v>
                </c:pt>
                <c:pt idx="85">
                  <c:v>-0.34403467496571594</c:v>
                </c:pt>
                <c:pt idx="86">
                  <c:v>-0.18278959296130395</c:v>
                </c:pt>
                <c:pt idx="87">
                  <c:v>-0.39010469839554784</c:v>
                </c:pt>
                <c:pt idx="88">
                  <c:v>-0.50527975697012784</c:v>
                </c:pt>
                <c:pt idx="89">
                  <c:v>-0.50527975697012784</c:v>
                </c:pt>
                <c:pt idx="90">
                  <c:v>-0.5283147686850439</c:v>
                </c:pt>
                <c:pt idx="91">
                  <c:v>-0.55134978039995974</c:v>
                </c:pt>
                <c:pt idx="92">
                  <c:v>-0.55134978039995974</c:v>
                </c:pt>
                <c:pt idx="93">
                  <c:v>-0.50527975697012784</c:v>
                </c:pt>
                <c:pt idx="94">
                  <c:v>-0.48224474525521188</c:v>
                </c:pt>
                <c:pt idx="95">
                  <c:v>1.4905007580238994E-3</c:v>
                </c:pt>
                <c:pt idx="96">
                  <c:v>-4.4579522671808001E-2</c:v>
                </c:pt>
                <c:pt idx="97">
                  <c:v>-9.0649546101639986E-2</c:v>
                </c:pt>
                <c:pt idx="98">
                  <c:v>9.3630547617687937E-2</c:v>
                </c:pt>
                <c:pt idx="99">
                  <c:v>-0.48224474525521188</c:v>
                </c:pt>
                <c:pt idx="100">
                  <c:v>-0.43617472182537986</c:v>
                </c:pt>
                <c:pt idx="101">
                  <c:v>-0.5283147686850439</c:v>
                </c:pt>
                <c:pt idx="102">
                  <c:v>-0.5283147686850439</c:v>
                </c:pt>
                <c:pt idx="103">
                  <c:v>-0.55134978039995974</c:v>
                </c:pt>
                <c:pt idx="104">
                  <c:v>-0.55134978039995974</c:v>
                </c:pt>
                <c:pt idx="105">
                  <c:v>-0.39010469839554784</c:v>
                </c:pt>
                <c:pt idx="106">
                  <c:v>-0.41313971011046385</c:v>
                </c:pt>
                <c:pt idx="107">
                  <c:v>0.69254085220550365</c:v>
                </c:pt>
                <c:pt idx="108">
                  <c:v>0.69254085220550365</c:v>
                </c:pt>
                <c:pt idx="109">
                  <c:v>-0.34403467496571594</c:v>
                </c:pt>
                <c:pt idx="110">
                  <c:v>9.3630547617687937E-2</c:v>
                </c:pt>
                <c:pt idx="111">
                  <c:v>-0.48224474525521188</c:v>
                </c:pt>
                <c:pt idx="112">
                  <c:v>-0.50527975697012784</c:v>
                </c:pt>
                <c:pt idx="113">
                  <c:v>-0.5283147686850439</c:v>
                </c:pt>
                <c:pt idx="114">
                  <c:v>-0.55134978039995974</c:v>
                </c:pt>
                <c:pt idx="115">
                  <c:v>-0.50527975697012784</c:v>
                </c:pt>
                <c:pt idx="116">
                  <c:v>-0.20582460467621996</c:v>
                </c:pt>
                <c:pt idx="117">
                  <c:v>-0.5283147686850439</c:v>
                </c:pt>
                <c:pt idx="118">
                  <c:v>0.41612071162651171</c:v>
                </c:pt>
                <c:pt idx="119">
                  <c:v>4.055652562583238</c:v>
                </c:pt>
                <c:pt idx="120">
                  <c:v>0.46219073505634378</c:v>
                </c:pt>
                <c:pt idx="121">
                  <c:v>-9.0649546101639986E-2</c:v>
                </c:pt>
                <c:pt idx="122">
                  <c:v>-0.13671956953147205</c:v>
                </c:pt>
                <c:pt idx="123">
                  <c:v>-0.29796465153588392</c:v>
                </c:pt>
                <c:pt idx="124">
                  <c:v>-0.34403467496571594</c:v>
                </c:pt>
                <c:pt idx="125">
                  <c:v>-0.36706968668063189</c:v>
                </c:pt>
                <c:pt idx="126">
                  <c:v>-0.45920973354029582</c:v>
                </c:pt>
                <c:pt idx="127">
                  <c:v>-0.48224474525521188</c:v>
                </c:pt>
                <c:pt idx="128">
                  <c:v>-0.43617472182537986</c:v>
                </c:pt>
                <c:pt idx="129">
                  <c:v>-0.22885961639113592</c:v>
                </c:pt>
                <c:pt idx="130">
                  <c:v>-0.15975458124638792</c:v>
                </c:pt>
                <c:pt idx="131">
                  <c:v>0.92289096935466364</c:v>
                </c:pt>
                <c:pt idx="132">
                  <c:v>-0.5283147686850439</c:v>
                </c:pt>
                <c:pt idx="133">
                  <c:v>-0.22885961639113592</c:v>
                </c:pt>
                <c:pt idx="134">
                  <c:v>4.756052418785596E-2</c:v>
                </c:pt>
                <c:pt idx="135">
                  <c:v>-0.48224474525521188</c:v>
                </c:pt>
                <c:pt idx="136">
                  <c:v>-0.50527975697012784</c:v>
                </c:pt>
                <c:pt idx="137">
                  <c:v>-0.5283147686850439</c:v>
                </c:pt>
                <c:pt idx="138">
                  <c:v>-0.55134978039995974</c:v>
                </c:pt>
                <c:pt idx="139">
                  <c:v>-0.50527975697012784</c:v>
                </c:pt>
                <c:pt idx="140">
                  <c:v>-0.45920973354029582</c:v>
                </c:pt>
                <c:pt idx="141">
                  <c:v>-0.39010469839554784</c:v>
                </c:pt>
                <c:pt idx="142">
                  <c:v>0.30094565305193183</c:v>
                </c:pt>
                <c:pt idx="143">
                  <c:v>-6.7614534386724032E-2</c:v>
                </c:pt>
                <c:pt idx="144">
                  <c:v>6.6125388629389121</c:v>
                </c:pt>
                <c:pt idx="145">
                  <c:v>-0.32099966325079987</c:v>
                </c:pt>
                <c:pt idx="146">
                  <c:v>0.32398066476684778</c:v>
                </c:pt>
                <c:pt idx="147">
                  <c:v>0.32398066476684778</c:v>
                </c:pt>
                <c:pt idx="148">
                  <c:v>-4.4579522671808001E-2</c:v>
                </c:pt>
                <c:pt idx="149">
                  <c:v>-0.18278959296130395</c:v>
                </c:pt>
                <c:pt idx="150">
                  <c:v>-0.32099966325079987</c:v>
                </c:pt>
                <c:pt idx="151">
                  <c:v>-0.39010469839554784</c:v>
                </c:pt>
                <c:pt idx="152">
                  <c:v>-0.48224474525521188</c:v>
                </c:pt>
                <c:pt idx="153">
                  <c:v>-0.36706968668063189</c:v>
                </c:pt>
                <c:pt idx="154">
                  <c:v>0.96896099278449555</c:v>
                </c:pt>
                <c:pt idx="155">
                  <c:v>0.57736579363092366</c:v>
                </c:pt>
                <c:pt idx="156">
                  <c:v>0.16273558276243588</c:v>
                </c:pt>
                <c:pt idx="157">
                  <c:v>0.23184061790718397</c:v>
                </c:pt>
                <c:pt idx="158">
                  <c:v>2.452551247293993E-2</c:v>
                </c:pt>
                <c:pt idx="159">
                  <c:v>-0.29796465153588392</c:v>
                </c:pt>
                <c:pt idx="160">
                  <c:v>-0.39010469839554784</c:v>
                </c:pt>
                <c:pt idx="161">
                  <c:v>-0.41313971011046385</c:v>
                </c:pt>
                <c:pt idx="162">
                  <c:v>-0.50527975697012784</c:v>
                </c:pt>
                <c:pt idx="163">
                  <c:v>-0.41313971011046385</c:v>
                </c:pt>
                <c:pt idx="164">
                  <c:v>-0.50527975697012784</c:v>
                </c:pt>
                <c:pt idx="165">
                  <c:v>-0.50527975697012784</c:v>
                </c:pt>
                <c:pt idx="166">
                  <c:v>-0.48224474525521188</c:v>
                </c:pt>
                <c:pt idx="167">
                  <c:v>0.37005068819667986</c:v>
                </c:pt>
                <c:pt idx="168">
                  <c:v>0.11666555933260381</c:v>
                </c:pt>
                <c:pt idx="169">
                  <c:v>0.6695058404905877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A6-4A98-AEDA-2E229FB80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773295"/>
        <c:axId val="1864762735"/>
      </c:areaChart>
      <c:scatterChart>
        <c:scatterStyle val="smoothMarker"/>
        <c:varyColors val="0"/>
        <c:ser>
          <c:idx val="6"/>
          <c:order val="1"/>
          <c:tx>
            <c:strRef>
              <c:f>'Sand workbook'!$H$4</c:f>
              <c:strCache>
                <c:ptCount val="1"/>
                <c:pt idx="0">
                  <c:v>Moderate drought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'Sand workbook'!$A$5:$A$174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'Sand workbook'!$H$5:$H$174</c:f>
              <c:numCache>
                <c:formatCode>General</c:formatCode>
                <c:ptCount val="17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A6-4A98-AEDA-2E229FB80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773295"/>
        <c:axId val="1864762735"/>
      </c:scatterChart>
      <c:dateAx>
        <c:axId val="186477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62735"/>
        <c:crosses val="autoZero"/>
        <c:auto val="1"/>
        <c:lblOffset val="100"/>
        <c:baseTimeUnit val="days"/>
      </c:dateAx>
      <c:valAx>
        <c:axId val="1864762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Performance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7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 Upper Komati'!$G$4</c:f>
              <c:strCache>
                <c:ptCount val="1"/>
                <c:pt idx="0">
                  <c:v>Standardised recharge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 Upper Komati'!$A$5:$A$175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cat>
          <c:val>
            <c:numRef>
              <c:f>' Upper Komati'!$G$5:$G$175</c:f>
              <c:numCache>
                <c:formatCode>0.0000</c:formatCode>
                <c:ptCount val="171"/>
                <c:pt idx="0">
                  <c:v>0.33414335469388001</c:v>
                </c:pt>
                <c:pt idx="1">
                  <c:v>-0.38816471448998419</c:v>
                </c:pt>
                <c:pt idx="2">
                  <c:v>0.3599400714504466</c:v>
                </c:pt>
                <c:pt idx="3">
                  <c:v>0.1019729038847809</c:v>
                </c:pt>
                <c:pt idx="4">
                  <c:v>-0.25918113070715132</c:v>
                </c:pt>
                <c:pt idx="5">
                  <c:v>-0.13019754692431831</c:v>
                </c:pt>
                <c:pt idx="6">
                  <c:v>-0.20758769719401812</c:v>
                </c:pt>
                <c:pt idx="7">
                  <c:v>-0.25918113070715132</c:v>
                </c:pt>
                <c:pt idx="8">
                  <c:v>-0.43975814800311741</c:v>
                </c:pt>
                <c:pt idx="9">
                  <c:v>-0.33657128097685107</c:v>
                </c:pt>
                <c:pt idx="10">
                  <c:v>-0.41396143124655077</c:v>
                </c:pt>
                <c:pt idx="11">
                  <c:v>-0.28497784746371785</c:v>
                </c:pt>
                <c:pt idx="12">
                  <c:v>0.69529738928581231</c:v>
                </c:pt>
                <c:pt idx="13">
                  <c:v>-0.33657128097685107</c:v>
                </c:pt>
                <c:pt idx="14">
                  <c:v>-0.43975814800311741</c:v>
                </c:pt>
                <c:pt idx="15">
                  <c:v>-0.33657128097685107</c:v>
                </c:pt>
                <c:pt idx="16">
                  <c:v>-0.49135158151625058</c:v>
                </c:pt>
                <c:pt idx="17">
                  <c:v>-0.49135158151625058</c:v>
                </c:pt>
                <c:pt idx="18">
                  <c:v>-0.51714829827281716</c:v>
                </c:pt>
                <c:pt idx="19">
                  <c:v>-0.56874173178595033</c:v>
                </c:pt>
                <c:pt idx="20">
                  <c:v>-0.18179098043745157</c:v>
                </c:pt>
                <c:pt idx="21">
                  <c:v>-0.18179098043745157</c:v>
                </c:pt>
                <c:pt idx="22">
                  <c:v>-0.10440083016775187</c:v>
                </c:pt>
                <c:pt idx="23">
                  <c:v>0.38573678820701329</c:v>
                </c:pt>
                <c:pt idx="24">
                  <c:v>1.0048579903646111</c:v>
                </c:pt>
                <c:pt idx="25">
                  <c:v>-0.25918113070715132</c:v>
                </c:pt>
                <c:pt idx="26">
                  <c:v>0.20515977091104715</c:v>
                </c:pt>
                <c:pt idx="27">
                  <c:v>0.15356633739791409</c:v>
                </c:pt>
                <c:pt idx="28">
                  <c:v>7.0670864281577588</c:v>
                </c:pt>
                <c:pt idx="29">
                  <c:v>-1.9617644366405458</c:v>
                </c:pt>
                <c:pt idx="30">
                  <c:v>-0.38816471448998419</c:v>
                </c:pt>
                <c:pt idx="31">
                  <c:v>-0.3623679977334176</c:v>
                </c:pt>
                <c:pt idx="32">
                  <c:v>-0.46555486475968394</c:v>
                </c:pt>
                <c:pt idx="33">
                  <c:v>-0.13019754692431831</c:v>
                </c:pt>
                <c:pt idx="34">
                  <c:v>0.61790723901611255</c:v>
                </c:pt>
                <c:pt idx="35">
                  <c:v>0.82428097306864523</c:v>
                </c:pt>
                <c:pt idx="36">
                  <c:v>-0.13019754692431831</c:v>
                </c:pt>
                <c:pt idx="37">
                  <c:v>-0.23338441395058471</c:v>
                </c:pt>
                <c:pt idx="38">
                  <c:v>3.3265624984556039</c:v>
                </c:pt>
                <c:pt idx="39">
                  <c:v>-0.56874173178595033</c:v>
                </c:pt>
                <c:pt idx="40">
                  <c:v>-0.23338441395058471</c:v>
                </c:pt>
                <c:pt idx="41">
                  <c:v>-0.15599426368088495</c:v>
                </c:pt>
                <c:pt idx="42">
                  <c:v>-0.31077456422028443</c:v>
                </c:pt>
                <c:pt idx="43">
                  <c:v>-0.41396143124655077</c:v>
                </c:pt>
                <c:pt idx="44">
                  <c:v>-0.3623679977334176</c:v>
                </c:pt>
                <c:pt idx="45">
                  <c:v>-0.3623679977334176</c:v>
                </c:pt>
                <c:pt idx="46">
                  <c:v>-0.3623679977334176</c:v>
                </c:pt>
                <c:pt idx="47">
                  <c:v>0.82428097306864523</c:v>
                </c:pt>
                <c:pt idx="48">
                  <c:v>-0.15599426368088495</c:v>
                </c:pt>
                <c:pt idx="49">
                  <c:v>-0.28497784746371785</c:v>
                </c:pt>
                <c:pt idx="50">
                  <c:v>-0.46555486475968394</c:v>
                </c:pt>
                <c:pt idx="51">
                  <c:v>-0.38816471448998419</c:v>
                </c:pt>
                <c:pt idx="52">
                  <c:v>-0.46555486475968394</c:v>
                </c:pt>
                <c:pt idx="53">
                  <c:v>-0.46555486475968394</c:v>
                </c:pt>
                <c:pt idx="54">
                  <c:v>-0.41396143124655077</c:v>
                </c:pt>
                <c:pt idx="55">
                  <c:v>-0.46555486475968394</c:v>
                </c:pt>
                <c:pt idx="56">
                  <c:v>-0.46555486475968394</c:v>
                </c:pt>
                <c:pt idx="57">
                  <c:v>-0.46555486475968394</c:v>
                </c:pt>
                <c:pt idx="58">
                  <c:v>-0.51714829827281716</c:v>
                </c:pt>
                <c:pt idx="59">
                  <c:v>-0.33657128097685107</c:v>
                </c:pt>
                <c:pt idx="60">
                  <c:v>-0.41396143124655077</c:v>
                </c:pt>
                <c:pt idx="61">
                  <c:v>-0.43975814800311741</c:v>
                </c:pt>
                <c:pt idx="62">
                  <c:v>-0.20758769719401812</c:v>
                </c:pt>
                <c:pt idx="63">
                  <c:v>-0.49135158151625058</c:v>
                </c:pt>
                <c:pt idx="64">
                  <c:v>-0.43975814800311741</c:v>
                </c:pt>
                <c:pt idx="65">
                  <c:v>-0.49135158151625058</c:v>
                </c:pt>
                <c:pt idx="66">
                  <c:v>-0.43975814800311741</c:v>
                </c:pt>
                <c:pt idx="67">
                  <c:v>-0.46555486475968394</c:v>
                </c:pt>
                <c:pt idx="68">
                  <c:v>-0.49135158151625058</c:v>
                </c:pt>
                <c:pt idx="69">
                  <c:v>-0.46555486475968394</c:v>
                </c:pt>
                <c:pt idx="70">
                  <c:v>-1.2139631414854323E-3</c:v>
                </c:pt>
                <c:pt idx="71">
                  <c:v>-0.20758769719401812</c:v>
                </c:pt>
                <c:pt idx="72">
                  <c:v>-0.13019754692431831</c:v>
                </c:pt>
                <c:pt idx="73">
                  <c:v>0.28254992118074695</c:v>
                </c:pt>
                <c:pt idx="74">
                  <c:v>-0.33657128097685107</c:v>
                </c:pt>
                <c:pt idx="75">
                  <c:v>-0.3623679977334176</c:v>
                </c:pt>
                <c:pt idx="76">
                  <c:v>-0.3623679977334176</c:v>
                </c:pt>
                <c:pt idx="77">
                  <c:v>-0.43975814800311741</c:v>
                </c:pt>
                <c:pt idx="78">
                  <c:v>-0.49135158151625058</c:v>
                </c:pt>
                <c:pt idx="79">
                  <c:v>-0.46555486475968394</c:v>
                </c:pt>
                <c:pt idx="80">
                  <c:v>-0.46555486475968394</c:v>
                </c:pt>
                <c:pt idx="81">
                  <c:v>-0.38816471448998419</c:v>
                </c:pt>
                <c:pt idx="82">
                  <c:v>-0.25918113070715132</c:v>
                </c:pt>
                <c:pt idx="83">
                  <c:v>1.6497759092787756</c:v>
                </c:pt>
                <c:pt idx="84">
                  <c:v>-0.69772531556878314</c:v>
                </c:pt>
                <c:pt idx="85">
                  <c:v>-0.15599426368088495</c:v>
                </c:pt>
                <c:pt idx="86">
                  <c:v>7.6176187128214279E-2</c:v>
                </c:pt>
                <c:pt idx="87">
                  <c:v>0.25675320442418043</c:v>
                </c:pt>
                <c:pt idx="88">
                  <c:v>-0.33657128097685107</c:v>
                </c:pt>
                <c:pt idx="89">
                  <c:v>-0.33657128097685107</c:v>
                </c:pt>
                <c:pt idx="90">
                  <c:v>-0.3623679977334176</c:v>
                </c:pt>
                <c:pt idx="91">
                  <c:v>-0.38816471448998419</c:v>
                </c:pt>
                <c:pt idx="92">
                  <c:v>-0.38816471448998419</c:v>
                </c:pt>
                <c:pt idx="93">
                  <c:v>-0.3623679977334176</c:v>
                </c:pt>
                <c:pt idx="94">
                  <c:v>-0.23338441395058471</c:v>
                </c:pt>
                <c:pt idx="95">
                  <c:v>-0.33657128097685107</c:v>
                </c:pt>
                <c:pt idx="96">
                  <c:v>0.4631269384767131</c:v>
                </c:pt>
                <c:pt idx="97">
                  <c:v>1.881946360087875</c:v>
                </c:pt>
                <c:pt idx="98">
                  <c:v>-0.28497784746371785</c:v>
                </c:pt>
                <c:pt idx="99">
                  <c:v>0.25675320442418043</c:v>
                </c:pt>
                <c:pt idx="100">
                  <c:v>-0.28497784746371785</c:v>
                </c:pt>
                <c:pt idx="101">
                  <c:v>-0.33657128097685107</c:v>
                </c:pt>
                <c:pt idx="102">
                  <c:v>-0.41396143124655077</c:v>
                </c:pt>
                <c:pt idx="103">
                  <c:v>-0.38816471448998419</c:v>
                </c:pt>
                <c:pt idx="104">
                  <c:v>-0.43975814800311741</c:v>
                </c:pt>
                <c:pt idx="105">
                  <c:v>-0.49135158151625058</c:v>
                </c:pt>
                <c:pt idx="106">
                  <c:v>-0.46555486475968394</c:v>
                </c:pt>
                <c:pt idx="107">
                  <c:v>-5.2807396654618602E-2</c:v>
                </c:pt>
                <c:pt idx="108">
                  <c:v>0.15356633739791409</c:v>
                </c:pt>
                <c:pt idx="109">
                  <c:v>-0.31077456422028443</c:v>
                </c:pt>
                <c:pt idx="110">
                  <c:v>-0.33657128097685107</c:v>
                </c:pt>
                <c:pt idx="111">
                  <c:v>-0.28497784746371785</c:v>
                </c:pt>
                <c:pt idx="112">
                  <c:v>-0.54294501502938375</c:v>
                </c:pt>
                <c:pt idx="113">
                  <c:v>-0.43975814800311741</c:v>
                </c:pt>
                <c:pt idx="114">
                  <c:v>-0.46555486475968394</c:v>
                </c:pt>
                <c:pt idx="115">
                  <c:v>-0.56874173178595033</c:v>
                </c:pt>
                <c:pt idx="116">
                  <c:v>-0.43975814800311741</c:v>
                </c:pt>
                <c:pt idx="117">
                  <c:v>-0.46555486475968394</c:v>
                </c:pt>
                <c:pt idx="118">
                  <c:v>-0.46555486475968394</c:v>
                </c:pt>
                <c:pt idx="119">
                  <c:v>-0.3623679977334176</c:v>
                </c:pt>
                <c:pt idx="120">
                  <c:v>0.30834663793731365</c:v>
                </c:pt>
                <c:pt idx="121">
                  <c:v>4.2810410184485672</c:v>
                </c:pt>
                <c:pt idx="122">
                  <c:v>-0.3623679977334176</c:v>
                </c:pt>
                <c:pt idx="123">
                  <c:v>-0.49135158151625058</c:v>
                </c:pt>
                <c:pt idx="124">
                  <c:v>-0.33657128097685107</c:v>
                </c:pt>
                <c:pt idx="125">
                  <c:v>-0.3623679977334176</c:v>
                </c:pt>
                <c:pt idx="126">
                  <c:v>-0.3623679977334176</c:v>
                </c:pt>
                <c:pt idx="127">
                  <c:v>-0.41396143124655077</c:v>
                </c:pt>
                <c:pt idx="128">
                  <c:v>-0.28497784746371785</c:v>
                </c:pt>
                <c:pt idx="129">
                  <c:v>-0.46555486475968394</c:v>
                </c:pt>
                <c:pt idx="130">
                  <c:v>-0.31077456422028443</c:v>
                </c:pt>
                <c:pt idx="131">
                  <c:v>1.2628251579302772</c:v>
                </c:pt>
                <c:pt idx="132">
                  <c:v>1.881946360087875</c:v>
                </c:pt>
                <c:pt idx="133">
                  <c:v>-0.20758769719401812</c:v>
                </c:pt>
                <c:pt idx="134">
                  <c:v>0.97906127360804462</c:v>
                </c:pt>
                <c:pt idx="135">
                  <c:v>1.39180874171311</c:v>
                </c:pt>
                <c:pt idx="136">
                  <c:v>0.23095648766761379</c:v>
                </c:pt>
                <c:pt idx="137">
                  <c:v>0.12776962064134745</c:v>
                </c:pt>
                <c:pt idx="138">
                  <c:v>-0.15599426368088495</c:v>
                </c:pt>
                <c:pt idx="139">
                  <c:v>-0.3623679977334176</c:v>
                </c:pt>
                <c:pt idx="140">
                  <c:v>-0.20758769719401812</c:v>
                </c:pt>
                <c:pt idx="141">
                  <c:v>-0.3623679977334176</c:v>
                </c:pt>
                <c:pt idx="142">
                  <c:v>1.2628251579302772</c:v>
                </c:pt>
                <c:pt idx="143">
                  <c:v>3.5071395157515699</c:v>
                </c:pt>
                <c:pt idx="144">
                  <c:v>-0.77511546583848301</c:v>
                </c:pt>
                <c:pt idx="145">
                  <c:v>3.9198869838566353</c:v>
                </c:pt>
                <c:pt idx="146">
                  <c:v>7.6176187128214279E-2</c:v>
                </c:pt>
                <c:pt idx="147">
                  <c:v>-0.28497784746371785</c:v>
                </c:pt>
                <c:pt idx="148">
                  <c:v>-2.7010679898052063E-2</c:v>
                </c:pt>
                <c:pt idx="149">
                  <c:v>-7.8604113411185228E-2</c:v>
                </c:pt>
                <c:pt idx="150">
                  <c:v>-0.23338441395058471</c:v>
                </c:pt>
                <c:pt idx="151">
                  <c:v>-0.20758769719401812</c:v>
                </c:pt>
                <c:pt idx="152">
                  <c:v>-0.33657128097685107</c:v>
                </c:pt>
                <c:pt idx="153">
                  <c:v>0.1019729038847809</c:v>
                </c:pt>
                <c:pt idx="154">
                  <c:v>-7.8604113411185228E-2</c:v>
                </c:pt>
                <c:pt idx="155">
                  <c:v>2.2173036779232405</c:v>
                </c:pt>
                <c:pt idx="156">
                  <c:v>0.3599400714504466</c:v>
                </c:pt>
                <c:pt idx="157">
                  <c:v>-0.51714829827281716</c:v>
                </c:pt>
                <c:pt idx="158">
                  <c:v>2.4582753615081106E-2</c:v>
                </c:pt>
                <c:pt idx="159">
                  <c:v>-2.7010679898052063E-2</c:v>
                </c:pt>
                <c:pt idx="160">
                  <c:v>-0.28497784746371785</c:v>
                </c:pt>
                <c:pt idx="161">
                  <c:v>-0.33657128097685107</c:v>
                </c:pt>
                <c:pt idx="162">
                  <c:v>-0.33657128097685107</c:v>
                </c:pt>
                <c:pt idx="163">
                  <c:v>-0.41396143124655077</c:v>
                </c:pt>
                <c:pt idx="164">
                  <c:v>-0.43975814800311741</c:v>
                </c:pt>
                <c:pt idx="165">
                  <c:v>-0.18179098043745157</c:v>
                </c:pt>
                <c:pt idx="166">
                  <c:v>-0.18179098043745157</c:v>
                </c:pt>
                <c:pt idx="167">
                  <c:v>0.3599400714504466</c:v>
                </c:pt>
                <c:pt idx="168">
                  <c:v>3.8167001168303694</c:v>
                </c:pt>
                <c:pt idx="169">
                  <c:v>5.0379470371647646E-2</c:v>
                </c:pt>
                <c:pt idx="170">
                  <c:v>0.20515977091104715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80-4A90-82CD-B16BED30E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625311"/>
        <c:axId val="758614271"/>
      </c:areaChart>
      <c:scatterChart>
        <c:scatterStyle val="smoothMarker"/>
        <c:varyColors val="0"/>
        <c:ser>
          <c:idx val="6"/>
          <c:order val="1"/>
          <c:tx>
            <c:strRef>
              <c:f>' Upper Komati'!$H$4</c:f>
              <c:strCache>
                <c:ptCount val="1"/>
                <c:pt idx="0">
                  <c:v>Threshold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 Upper Komati'!$A$5:$A$175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xVal>
          <c:yVal>
            <c:numRef>
              <c:f>' Upper Komati'!$H$5:$H$175</c:f>
              <c:numCache>
                <c:formatCode>General</c:formatCode>
                <c:ptCount val="17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80-4A90-82CD-B16BED30E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625311"/>
        <c:axId val="758614271"/>
      </c:scatterChart>
      <c:dateAx>
        <c:axId val="75862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14271"/>
        <c:crosses val="autoZero"/>
        <c:auto val="1"/>
        <c:lblOffset val="100"/>
        <c:baseTimeUnit val="months"/>
      </c:dateAx>
      <c:valAx>
        <c:axId val="758614271"/>
        <c:scaling>
          <c:orientation val="minMax"/>
          <c:min val="-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Standardsws</a:t>
                </a:r>
                <a:r>
                  <a:rPr lang="en-ZA" baseline="0"/>
                  <a:t> indwex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2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 Lower Komati'!$G$4</c:f>
              <c:strCache>
                <c:ptCount val="1"/>
                <c:pt idx="0">
                  <c:v>Drought index - Recharge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 Lower Komati'!$A$5:$A$175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cat>
          <c:val>
            <c:numRef>
              <c:f>' Lower Komati'!$G$5:$G$175</c:f>
              <c:numCache>
                <c:formatCode>0.0000</c:formatCode>
                <c:ptCount val="171"/>
                <c:pt idx="0">
                  <c:v>1.0857203076701443</c:v>
                </c:pt>
                <c:pt idx="1">
                  <c:v>0.13858777500087138</c:v>
                </c:pt>
                <c:pt idx="2">
                  <c:v>0.37537090816818958</c:v>
                </c:pt>
                <c:pt idx="3">
                  <c:v>0.96732874108648526</c:v>
                </c:pt>
                <c:pt idx="4">
                  <c:v>9.912391947298492E-2</c:v>
                </c:pt>
                <c:pt idx="5">
                  <c:v>-0.17712306922221985</c:v>
                </c:pt>
                <c:pt idx="6">
                  <c:v>-0.295514635805879</c:v>
                </c:pt>
                <c:pt idx="7">
                  <c:v>-0.37444234686165173</c:v>
                </c:pt>
                <c:pt idx="8">
                  <c:v>-0.49283391344531086</c:v>
                </c:pt>
                <c:pt idx="9">
                  <c:v>-0.41390620238953812</c:v>
                </c:pt>
                <c:pt idx="10">
                  <c:v>-0.25605078027799255</c:v>
                </c:pt>
                <c:pt idx="11">
                  <c:v>-5.8731502638560695E-2</c:v>
                </c:pt>
                <c:pt idx="12">
                  <c:v>2.4274913956182815</c:v>
                </c:pt>
                <c:pt idx="13">
                  <c:v>0.25697934158453045</c:v>
                </c:pt>
                <c:pt idx="14">
                  <c:v>-0.45337005791742452</c:v>
                </c:pt>
                <c:pt idx="15">
                  <c:v>-0.25605078027799255</c:v>
                </c:pt>
                <c:pt idx="16">
                  <c:v>-0.49283391344531086</c:v>
                </c:pt>
                <c:pt idx="17">
                  <c:v>-0.45337005791742452</c:v>
                </c:pt>
                <c:pt idx="18">
                  <c:v>-0.49283391344531086</c:v>
                </c:pt>
                <c:pt idx="19">
                  <c:v>-0.53229776897319725</c:v>
                </c:pt>
                <c:pt idx="20">
                  <c:v>-5.8731502638560695E-2</c:v>
                </c:pt>
                <c:pt idx="21">
                  <c:v>0.17805163052875755</c:v>
                </c:pt>
                <c:pt idx="22">
                  <c:v>-0.41390620238953812</c:v>
                </c:pt>
                <c:pt idx="23">
                  <c:v>9.912391947298492E-2</c:v>
                </c:pt>
                <c:pt idx="24">
                  <c:v>4.7558588717635786</c:v>
                </c:pt>
                <c:pt idx="25">
                  <c:v>-0.37444234686165173</c:v>
                </c:pt>
                <c:pt idx="26">
                  <c:v>0.217515486056644</c:v>
                </c:pt>
                <c:pt idx="27">
                  <c:v>0.84893717450282602</c:v>
                </c:pt>
                <c:pt idx="28">
                  <c:v>0.29644319711241679</c:v>
                </c:pt>
                <c:pt idx="29">
                  <c:v>-0.21658692475010616</c:v>
                </c:pt>
                <c:pt idx="30">
                  <c:v>-0.33497849133376534</c:v>
                </c:pt>
                <c:pt idx="31">
                  <c:v>-0.45337005791742452</c:v>
                </c:pt>
                <c:pt idx="32">
                  <c:v>-0.53229776897319725</c:v>
                </c:pt>
                <c:pt idx="33">
                  <c:v>-0.45337005791742452</c:v>
                </c:pt>
                <c:pt idx="34">
                  <c:v>-0.25605078027799255</c:v>
                </c:pt>
                <c:pt idx="35">
                  <c:v>2.8221299508971458</c:v>
                </c:pt>
                <c:pt idx="36">
                  <c:v>-0.295514635805879</c:v>
                </c:pt>
                <c:pt idx="37">
                  <c:v>0.84893717450282602</c:v>
                </c:pt>
                <c:pt idx="38">
                  <c:v>4.7953227272914649</c:v>
                </c:pt>
                <c:pt idx="39">
                  <c:v>0.25697934158453045</c:v>
                </c:pt>
                <c:pt idx="40">
                  <c:v>2.0196208417212147E-2</c:v>
                </c:pt>
                <c:pt idx="41">
                  <c:v>-0.21658692475010616</c:v>
                </c:pt>
                <c:pt idx="42">
                  <c:v>-0.37444234686165173</c:v>
                </c:pt>
                <c:pt idx="43">
                  <c:v>-0.45337005791742452</c:v>
                </c:pt>
                <c:pt idx="44">
                  <c:v>-0.49283391344531086</c:v>
                </c:pt>
                <c:pt idx="45">
                  <c:v>-0.45337005791742452</c:v>
                </c:pt>
                <c:pt idx="46">
                  <c:v>-0.295514635805879</c:v>
                </c:pt>
                <c:pt idx="47">
                  <c:v>0.45429861922396231</c:v>
                </c:pt>
                <c:pt idx="48">
                  <c:v>-0.45337005791742452</c:v>
                </c:pt>
                <c:pt idx="49">
                  <c:v>-5.8731502638560695E-2</c:v>
                </c:pt>
                <c:pt idx="50">
                  <c:v>-0.25605078027799255</c:v>
                </c:pt>
                <c:pt idx="51">
                  <c:v>-0.41390620238953812</c:v>
                </c:pt>
                <c:pt idx="52">
                  <c:v>-0.41390620238953812</c:v>
                </c:pt>
                <c:pt idx="53">
                  <c:v>-0.45337005791742452</c:v>
                </c:pt>
                <c:pt idx="54">
                  <c:v>-0.49283391344531086</c:v>
                </c:pt>
                <c:pt idx="55">
                  <c:v>-0.49283391344531086</c:v>
                </c:pt>
                <c:pt idx="56">
                  <c:v>-0.45337005791742452</c:v>
                </c:pt>
                <c:pt idx="57">
                  <c:v>-0.53229776897319725</c:v>
                </c:pt>
                <c:pt idx="58">
                  <c:v>-0.53229776897319725</c:v>
                </c:pt>
                <c:pt idx="59">
                  <c:v>-0.49283391344531086</c:v>
                </c:pt>
                <c:pt idx="60">
                  <c:v>-0.53229776897319725</c:v>
                </c:pt>
                <c:pt idx="61">
                  <c:v>-0.53229776897319725</c:v>
                </c:pt>
                <c:pt idx="62">
                  <c:v>-0.41390620238953812</c:v>
                </c:pt>
                <c:pt idx="63">
                  <c:v>-0.49283391344531086</c:v>
                </c:pt>
                <c:pt idx="64">
                  <c:v>-0.49283391344531086</c:v>
                </c:pt>
                <c:pt idx="65">
                  <c:v>-0.49283391344531086</c:v>
                </c:pt>
                <c:pt idx="66">
                  <c:v>-0.49283391344531086</c:v>
                </c:pt>
                <c:pt idx="67">
                  <c:v>-0.49283391344531086</c:v>
                </c:pt>
                <c:pt idx="68">
                  <c:v>-0.53229776897319725</c:v>
                </c:pt>
                <c:pt idx="69">
                  <c:v>-0.49283391344531086</c:v>
                </c:pt>
                <c:pt idx="70">
                  <c:v>-0.45337005791742452</c:v>
                </c:pt>
                <c:pt idx="71">
                  <c:v>-0.295514635805879</c:v>
                </c:pt>
                <c:pt idx="72">
                  <c:v>-1.9267647110674239E-2</c:v>
                </c:pt>
                <c:pt idx="73">
                  <c:v>0.17805163052875755</c:v>
                </c:pt>
                <c:pt idx="74">
                  <c:v>-0.21658692475010616</c:v>
                </c:pt>
                <c:pt idx="75">
                  <c:v>-0.45337005791742452</c:v>
                </c:pt>
                <c:pt idx="76">
                  <c:v>-0.33497849133376534</c:v>
                </c:pt>
                <c:pt idx="77">
                  <c:v>-0.49283391344531086</c:v>
                </c:pt>
                <c:pt idx="78">
                  <c:v>-0.49283391344531086</c:v>
                </c:pt>
                <c:pt idx="79">
                  <c:v>-0.49283391344531086</c:v>
                </c:pt>
                <c:pt idx="80">
                  <c:v>-0.49283391344531086</c:v>
                </c:pt>
                <c:pt idx="81">
                  <c:v>-0.49283391344531086</c:v>
                </c:pt>
                <c:pt idx="82">
                  <c:v>-0.37444234686165173</c:v>
                </c:pt>
                <c:pt idx="83">
                  <c:v>-0.25605078027799255</c:v>
                </c:pt>
                <c:pt idx="84">
                  <c:v>-0.33497849133376534</c:v>
                </c:pt>
                <c:pt idx="85">
                  <c:v>-0.21658692475010616</c:v>
                </c:pt>
                <c:pt idx="86">
                  <c:v>-0.295514635805879</c:v>
                </c:pt>
                <c:pt idx="87">
                  <c:v>-0.17712306922221985</c:v>
                </c:pt>
                <c:pt idx="88">
                  <c:v>-0.37444234686165173</c:v>
                </c:pt>
                <c:pt idx="89">
                  <c:v>-0.37444234686165173</c:v>
                </c:pt>
                <c:pt idx="90">
                  <c:v>-0.49283391344531086</c:v>
                </c:pt>
                <c:pt idx="91">
                  <c:v>-0.49283391344531086</c:v>
                </c:pt>
                <c:pt idx="92">
                  <c:v>-0.49283391344531086</c:v>
                </c:pt>
                <c:pt idx="93">
                  <c:v>-0.49283391344531086</c:v>
                </c:pt>
                <c:pt idx="94">
                  <c:v>-0.53229776897319725</c:v>
                </c:pt>
                <c:pt idx="95">
                  <c:v>-0.45337005791742452</c:v>
                </c:pt>
                <c:pt idx="96">
                  <c:v>-0.295514635805879</c:v>
                </c:pt>
                <c:pt idx="97">
                  <c:v>0.29644319711241679</c:v>
                </c:pt>
                <c:pt idx="98">
                  <c:v>-5.8731502638560695E-2</c:v>
                </c:pt>
                <c:pt idx="99">
                  <c:v>-9.8195358166447005E-2</c:v>
                </c:pt>
                <c:pt idx="100">
                  <c:v>-0.49283391344531086</c:v>
                </c:pt>
                <c:pt idx="101">
                  <c:v>-0.49283391344531086</c:v>
                </c:pt>
                <c:pt idx="102">
                  <c:v>-0.49283391344531086</c:v>
                </c:pt>
                <c:pt idx="103">
                  <c:v>-0.49283391344531086</c:v>
                </c:pt>
                <c:pt idx="104">
                  <c:v>-0.49283391344531086</c:v>
                </c:pt>
                <c:pt idx="105">
                  <c:v>-0.49283391344531086</c:v>
                </c:pt>
                <c:pt idx="106">
                  <c:v>-0.45337005791742452</c:v>
                </c:pt>
                <c:pt idx="107">
                  <c:v>0.49376247475184881</c:v>
                </c:pt>
                <c:pt idx="108">
                  <c:v>-0.25605078027799255</c:v>
                </c:pt>
                <c:pt idx="109">
                  <c:v>-1.9267647110674239E-2</c:v>
                </c:pt>
                <c:pt idx="110">
                  <c:v>-0.45337005791742452</c:v>
                </c:pt>
                <c:pt idx="111">
                  <c:v>-0.21658692475010616</c:v>
                </c:pt>
                <c:pt idx="112">
                  <c:v>-0.53229776897319725</c:v>
                </c:pt>
                <c:pt idx="113">
                  <c:v>-0.45337005791742452</c:v>
                </c:pt>
                <c:pt idx="114">
                  <c:v>-0.49283391344531086</c:v>
                </c:pt>
                <c:pt idx="115">
                  <c:v>-0.49283391344531086</c:v>
                </c:pt>
                <c:pt idx="116">
                  <c:v>-0.53229776897319725</c:v>
                </c:pt>
                <c:pt idx="117">
                  <c:v>-0.49283391344531086</c:v>
                </c:pt>
                <c:pt idx="118">
                  <c:v>-0.49283391344531086</c:v>
                </c:pt>
                <c:pt idx="119">
                  <c:v>-0.41390620238953812</c:v>
                </c:pt>
                <c:pt idx="120">
                  <c:v>0.92786488555859892</c:v>
                </c:pt>
                <c:pt idx="121">
                  <c:v>5.2294251380982146</c:v>
                </c:pt>
                <c:pt idx="122">
                  <c:v>0.17805163052875755</c:v>
                </c:pt>
                <c:pt idx="123">
                  <c:v>-0.33497849133376534</c:v>
                </c:pt>
                <c:pt idx="124">
                  <c:v>-0.41390620238953812</c:v>
                </c:pt>
                <c:pt idx="125">
                  <c:v>-0.33497849133376534</c:v>
                </c:pt>
                <c:pt idx="126">
                  <c:v>-0.49283391344531086</c:v>
                </c:pt>
                <c:pt idx="127">
                  <c:v>-0.49283391344531086</c:v>
                </c:pt>
                <c:pt idx="128">
                  <c:v>-0.53229776897319725</c:v>
                </c:pt>
                <c:pt idx="129">
                  <c:v>-0.41390620238953812</c:v>
                </c:pt>
                <c:pt idx="130">
                  <c:v>-5.8731502638560695E-2</c:v>
                </c:pt>
                <c:pt idx="131">
                  <c:v>0.80947331897494001</c:v>
                </c:pt>
                <c:pt idx="132">
                  <c:v>3.5719432059269871</c:v>
                </c:pt>
                <c:pt idx="133">
                  <c:v>-0.21658692475010616</c:v>
                </c:pt>
                <c:pt idx="134">
                  <c:v>0.57269018580762154</c:v>
                </c:pt>
                <c:pt idx="135">
                  <c:v>1.6776781405884404</c:v>
                </c:pt>
                <c:pt idx="136">
                  <c:v>0.84893717450282602</c:v>
                </c:pt>
                <c:pt idx="137">
                  <c:v>0.17805163052875755</c:v>
                </c:pt>
                <c:pt idx="138">
                  <c:v>-9.8195358166447005E-2</c:v>
                </c:pt>
                <c:pt idx="139">
                  <c:v>-0.49283391344531086</c:v>
                </c:pt>
                <c:pt idx="140">
                  <c:v>-0.41390620238953812</c:v>
                </c:pt>
                <c:pt idx="141">
                  <c:v>-0.41390620238953812</c:v>
                </c:pt>
                <c:pt idx="142">
                  <c:v>2.0196208417212147E-2</c:v>
                </c:pt>
                <c:pt idx="143">
                  <c:v>1.6382142850605539</c:v>
                </c:pt>
                <c:pt idx="144">
                  <c:v>0.25697934158453045</c:v>
                </c:pt>
                <c:pt idx="145">
                  <c:v>5.1110335715145556</c:v>
                </c:pt>
                <c:pt idx="146">
                  <c:v>5.9660063945098464E-2</c:v>
                </c:pt>
                <c:pt idx="147">
                  <c:v>0.37537090816818958</c:v>
                </c:pt>
                <c:pt idx="148">
                  <c:v>0.25697934158453045</c:v>
                </c:pt>
                <c:pt idx="149">
                  <c:v>-5.8731502638560695E-2</c:v>
                </c:pt>
                <c:pt idx="150">
                  <c:v>-0.17712306922221985</c:v>
                </c:pt>
                <c:pt idx="151">
                  <c:v>-0.45337005791742452</c:v>
                </c:pt>
                <c:pt idx="152">
                  <c:v>-0.37444234686165173</c:v>
                </c:pt>
                <c:pt idx="153">
                  <c:v>-0.49283391344531086</c:v>
                </c:pt>
                <c:pt idx="154">
                  <c:v>-9.8195358166447005E-2</c:v>
                </c:pt>
                <c:pt idx="155">
                  <c:v>2.5853468177298273</c:v>
                </c:pt>
                <c:pt idx="156">
                  <c:v>-1.9267647110674239E-2</c:v>
                </c:pt>
                <c:pt idx="157">
                  <c:v>-9.8195358166447005E-2</c:v>
                </c:pt>
                <c:pt idx="158">
                  <c:v>0.29644319711241679</c:v>
                </c:pt>
                <c:pt idx="159">
                  <c:v>0.29644319711241679</c:v>
                </c:pt>
                <c:pt idx="160">
                  <c:v>-0.45337005791742452</c:v>
                </c:pt>
                <c:pt idx="161">
                  <c:v>-0.37444234686165173</c:v>
                </c:pt>
                <c:pt idx="162">
                  <c:v>-0.45337005791742452</c:v>
                </c:pt>
                <c:pt idx="163">
                  <c:v>-0.53229776897319725</c:v>
                </c:pt>
                <c:pt idx="164">
                  <c:v>-0.41390620238953812</c:v>
                </c:pt>
                <c:pt idx="165">
                  <c:v>-0.45337005791742452</c:v>
                </c:pt>
                <c:pt idx="166">
                  <c:v>-0.45337005791742452</c:v>
                </c:pt>
                <c:pt idx="167">
                  <c:v>-0.295514635805879</c:v>
                </c:pt>
                <c:pt idx="168">
                  <c:v>1.4014311518932354</c:v>
                </c:pt>
                <c:pt idx="169">
                  <c:v>0.45429861922396231</c:v>
                </c:pt>
                <c:pt idx="170">
                  <c:v>5.9660063945098464E-2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DF-435E-A3AA-C558DCA36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33871"/>
        <c:axId val="257930031"/>
      </c:areaChart>
      <c:scatterChart>
        <c:scatterStyle val="smoothMarker"/>
        <c:varyColors val="0"/>
        <c:ser>
          <c:idx val="6"/>
          <c:order val="1"/>
          <c:tx>
            <c:strRef>
              <c:f>' Lower Komati'!$H$4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 Lower Komati'!$A$5:$A$175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xVal>
          <c:yVal>
            <c:numRef>
              <c:f>' Lower Komati'!$H$5:$H$175</c:f>
              <c:numCache>
                <c:formatCode>General</c:formatCode>
                <c:ptCount val="17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DF-435E-A3AA-C558DCA36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33871"/>
        <c:axId val="257930031"/>
      </c:scatterChart>
      <c:dateAx>
        <c:axId val="25793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30031"/>
        <c:crosses val="autoZero"/>
        <c:auto val="1"/>
        <c:lblOffset val="100"/>
        <c:baseTimeUnit val="months"/>
        <c:majorUnit val="1"/>
        <c:majorTimeUnit val="years"/>
      </c:dateAx>
      <c:valAx>
        <c:axId val="257930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Standardised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Ngwempisi!$G$4</c:f>
              <c:strCache>
                <c:ptCount val="1"/>
                <c:pt idx="0">
                  <c:v>Recharge index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Ngwempisi!$A$5:$A$175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cat>
          <c:val>
            <c:numRef>
              <c:f>Ngwempisi!$G$5:$G$175</c:f>
              <c:numCache>
                <c:formatCode>0.0000</c:formatCode>
                <c:ptCount val="171"/>
                <c:pt idx="0">
                  <c:v>2.0106638714288025</c:v>
                </c:pt>
                <c:pt idx="1">
                  <c:v>-0.58564346649949217</c:v>
                </c:pt>
                <c:pt idx="2">
                  <c:v>8.2712877917692579E-2</c:v>
                </c:pt>
                <c:pt idx="3">
                  <c:v>-0.12293522805682573</c:v>
                </c:pt>
                <c:pt idx="4">
                  <c:v>-0.40570137377178855</c:v>
                </c:pt>
                <c:pt idx="5">
                  <c:v>-0.37999536052497379</c:v>
                </c:pt>
                <c:pt idx="6">
                  <c:v>-0.40570137377178855</c:v>
                </c:pt>
                <c:pt idx="7">
                  <c:v>-0.35428934727815897</c:v>
                </c:pt>
                <c:pt idx="8">
                  <c:v>-0.50852542675904777</c:v>
                </c:pt>
                <c:pt idx="9">
                  <c:v>-0.25146529429089981</c:v>
                </c:pt>
                <c:pt idx="10">
                  <c:v>-0.40570137377178855</c:v>
                </c:pt>
                <c:pt idx="11">
                  <c:v>0.18553693090495169</c:v>
                </c:pt>
                <c:pt idx="12">
                  <c:v>1.1880714475307292</c:v>
                </c:pt>
                <c:pt idx="13">
                  <c:v>-0.27717130753771457</c:v>
                </c:pt>
                <c:pt idx="14">
                  <c:v>-0.45711340026541819</c:v>
                </c:pt>
                <c:pt idx="15">
                  <c:v>-0.40570137377178855</c:v>
                </c:pt>
                <c:pt idx="16">
                  <c:v>-0.50852542675904777</c:v>
                </c:pt>
                <c:pt idx="17">
                  <c:v>-0.53423144000586265</c:v>
                </c:pt>
                <c:pt idx="18">
                  <c:v>-0.53423144000586265</c:v>
                </c:pt>
                <c:pt idx="19">
                  <c:v>-0.53423144000586265</c:v>
                </c:pt>
                <c:pt idx="20">
                  <c:v>-0.30287732078452939</c:v>
                </c:pt>
                <c:pt idx="21">
                  <c:v>-0.35428934727815897</c:v>
                </c:pt>
                <c:pt idx="22">
                  <c:v>-0.43140738701860343</c:v>
                </c:pt>
                <c:pt idx="23">
                  <c:v>0.21124294415176653</c:v>
                </c:pt>
                <c:pt idx="24">
                  <c:v>0.67395118259443287</c:v>
                </c:pt>
                <c:pt idx="25">
                  <c:v>0.67395118259443287</c:v>
                </c:pt>
                <c:pt idx="26">
                  <c:v>5.700686467087774E-2</c:v>
                </c:pt>
                <c:pt idx="27">
                  <c:v>1.1880714475307292</c:v>
                </c:pt>
                <c:pt idx="28">
                  <c:v>0.57112712960717382</c:v>
                </c:pt>
                <c:pt idx="29">
                  <c:v>-0.12293522805682573</c:v>
                </c:pt>
                <c:pt idx="30">
                  <c:v>-0.40570137377178855</c:v>
                </c:pt>
                <c:pt idx="31">
                  <c:v>-0.27717130753771457</c:v>
                </c:pt>
                <c:pt idx="32">
                  <c:v>-0.40570137377178855</c:v>
                </c:pt>
                <c:pt idx="33">
                  <c:v>-0.40570137377178855</c:v>
                </c:pt>
                <c:pt idx="34">
                  <c:v>-0.22575928104408496</c:v>
                </c:pt>
                <c:pt idx="35">
                  <c:v>0.4683030766199146</c:v>
                </c:pt>
                <c:pt idx="36">
                  <c:v>-0.43140738701860343</c:v>
                </c:pt>
                <c:pt idx="37">
                  <c:v>-0.32858333403134421</c:v>
                </c:pt>
                <c:pt idx="38">
                  <c:v>3.6301427059781339</c:v>
                </c:pt>
                <c:pt idx="39">
                  <c:v>-4.5817188316381374E-2</c:v>
                </c:pt>
                <c:pt idx="40">
                  <c:v>-0.22575928104408496</c:v>
                </c:pt>
                <c:pt idx="41">
                  <c:v>-0.32858333403134421</c:v>
                </c:pt>
                <c:pt idx="42">
                  <c:v>-0.37999536052497379</c:v>
                </c:pt>
                <c:pt idx="43">
                  <c:v>-0.45711340026541819</c:v>
                </c:pt>
                <c:pt idx="44">
                  <c:v>-0.50852542675904777</c:v>
                </c:pt>
                <c:pt idx="45">
                  <c:v>-0.50852542675904777</c:v>
                </c:pt>
                <c:pt idx="46">
                  <c:v>-0.35428934727815897</c:v>
                </c:pt>
                <c:pt idx="47">
                  <c:v>0.90530530181576596</c:v>
                </c:pt>
                <c:pt idx="48">
                  <c:v>-0.37999536052497379</c:v>
                </c:pt>
                <c:pt idx="49">
                  <c:v>-0.40570137377178855</c:v>
                </c:pt>
                <c:pt idx="50">
                  <c:v>-0.50852542675904777</c:v>
                </c:pt>
                <c:pt idx="51">
                  <c:v>-0.40570137377178855</c:v>
                </c:pt>
                <c:pt idx="52">
                  <c:v>-0.50852542675904777</c:v>
                </c:pt>
                <c:pt idx="53">
                  <c:v>-0.48281941351223301</c:v>
                </c:pt>
                <c:pt idx="54">
                  <c:v>-0.55993745325267741</c:v>
                </c:pt>
                <c:pt idx="55">
                  <c:v>-0.53423144000586265</c:v>
                </c:pt>
                <c:pt idx="56">
                  <c:v>-0.50852542675904777</c:v>
                </c:pt>
                <c:pt idx="57">
                  <c:v>-0.50852542675904777</c:v>
                </c:pt>
                <c:pt idx="58">
                  <c:v>-0.50852542675904777</c:v>
                </c:pt>
                <c:pt idx="59">
                  <c:v>-0.50852542675904777</c:v>
                </c:pt>
                <c:pt idx="60">
                  <c:v>-0.35428934727815897</c:v>
                </c:pt>
                <c:pt idx="61">
                  <c:v>-0.43140738701860343</c:v>
                </c:pt>
                <c:pt idx="62">
                  <c:v>5.5948381772482278E-3</c:v>
                </c:pt>
                <c:pt idx="63">
                  <c:v>-0.48281941351223301</c:v>
                </c:pt>
                <c:pt idx="64">
                  <c:v>-0.48281941351223301</c:v>
                </c:pt>
                <c:pt idx="65">
                  <c:v>-0.50852542675904777</c:v>
                </c:pt>
                <c:pt idx="66">
                  <c:v>-0.53423144000586265</c:v>
                </c:pt>
                <c:pt idx="67">
                  <c:v>-0.50852542675904777</c:v>
                </c:pt>
                <c:pt idx="68">
                  <c:v>-0.55993745325267741</c:v>
                </c:pt>
                <c:pt idx="69">
                  <c:v>-0.50852542675904777</c:v>
                </c:pt>
                <c:pt idx="70">
                  <c:v>0.28836098389221099</c:v>
                </c:pt>
                <c:pt idx="71">
                  <c:v>-0.22575928104408496</c:v>
                </c:pt>
                <c:pt idx="72">
                  <c:v>0.31406699713902592</c:v>
                </c:pt>
                <c:pt idx="73">
                  <c:v>0.87959928856895142</c:v>
                </c:pt>
                <c:pt idx="74">
                  <c:v>-0.50852542675904777</c:v>
                </c:pt>
                <c:pt idx="75">
                  <c:v>-0.40570137377178855</c:v>
                </c:pt>
                <c:pt idx="76">
                  <c:v>-0.35428934727815897</c:v>
                </c:pt>
                <c:pt idx="77">
                  <c:v>-0.50852542675904777</c:v>
                </c:pt>
                <c:pt idx="78">
                  <c:v>-0.50852542675904777</c:v>
                </c:pt>
                <c:pt idx="79">
                  <c:v>-0.48281941351223301</c:v>
                </c:pt>
                <c:pt idx="80">
                  <c:v>-0.53423144000586265</c:v>
                </c:pt>
                <c:pt idx="81">
                  <c:v>-0.45711340026541819</c:v>
                </c:pt>
                <c:pt idx="82">
                  <c:v>-0.14864124130364056</c:v>
                </c:pt>
                <c:pt idx="83">
                  <c:v>0.95671732830939571</c:v>
                </c:pt>
                <c:pt idx="84">
                  <c:v>-0.45711340026541819</c:v>
                </c:pt>
                <c:pt idx="85">
                  <c:v>-0.35428934727815897</c:v>
                </c:pt>
                <c:pt idx="86">
                  <c:v>8.2712877917692579E-2</c:v>
                </c:pt>
                <c:pt idx="87">
                  <c:v>-2.0111175069566618E-2</c:v>
                </c:pt>
                <c:pt idx="88">
                  <c:v>-0.35428934727815897</c:v>
                </c:pt>
                <c:pt idx="89">
                  <c:v>-0.45711340026541819</c:v>
                </c:pt>
                <c:pt idx="90">
                  <c:v>-0.40570137377178855</c:v>
                </c:pt>
                <c:pt idx="91">
                  <c:v>-0.48281941351223301</c:v>
                </c:pt>
                <c:pt idx="92">
                  <c:v>-0.48281941351223301</c:v>
                </c:pt>
                <c:pt idx="93">
                  <c:v>-0.37999536052497379</c:v>
                </c:pt>
                <c:pt idx="94">
                  <c:v>-0.37999536052497379</c:v>
                </c:pt>
                <c:pt idx="95">
                  <c:v>-4.5817188316381374E-2</c:v>
                </c:pt>
                <c:pt idx="96">
                  <c:v>0.18553693090495169</c:v>
                </c:pt>
                <c:pt idx="97">
                  <c:v>1.5479556329861357</c:v>
                </c:pt>
                <c:pt idx="98">
                  <c:v>-7.152320156319622E-2</c:v>
                </c:pt>
                <c:pt idx="99">
                  <c:v>0.23694895739858138</c:v>
                </c:pt>
                <c:pt idx="100">
                  <c:v>-0.40570137377178855</c:v>
                </c:pt>
                <c:pt idx="101">
                  <c:v>-0.32858333403134421</c:v>
                </c:pt>
                <c:pt idx="102">
                  <c:v>-0.35428934727815897</c:v>
                </c:pt>
                <c:pt idx="103">
                  <c:v>-0.53423144000586265</c:v>
                </c:pt>
                <c:pt idx="104">
                  <c:v>-0.53423144000586265</c:v>
                </c:pt>
                <c:pt idx="105">
                  <c:v>-0.53423144000586265</c:v>
                </c:pt>
                <c:pt idx="106">
                  <c:v>-0.43140738701860343</c:v>
                </c:pt>
                <c:pt idx="107">
                  <c:v>0.75106922233487727</c:v>
                </c:pt>
                <c:pt idx="108">
                  <c:v>-0.12293522805682573</c:v>
                </c:pt>
                <c:pt idx="109">
                  <c:v>-0.35428934727815897</c:v>
                </c:pt>
                <c:pt idx="110">
                  <c:v>-0.14864124130364056</c:v>
                </c:pt>
                <c:pt idx="111">
                  <c:v>0.13412490441132219</c:v>
                </c:pt>
                <c:pt idx="112">
                  <c:v>-0.53423144000586265</c:v>
                </c:pt>
                <c:pt idx="113">
                  <c:v>-0.40570137377178855</c:v>
                </c:pt>
                <c:pt idx="114">
                  <c:v>-0.50852542675904777</c:v>
                </c:pt>
                <c:pt idx="115">
                  <c:v>-0.48281941351223301</c:v>
                </c:pt>
                <c:pt idx="116">
                  <c:v>-0.50852542675904777</c:v>
                </c:pt>
                <c:pt idx="117">
                  <c:v>-0.45711340026541819</c:v>
                </c:pt>
                <c:pt idx="118">
                  <c:v>-0.43140738701860343</c:v>
                </c:pt>
                <c:pt idx="119">
                  <c:v>-0.48281941351223301</c:v>
                </c:pt>
                <c:pt idx="120">
                  <c:v>1.6507796859733952</c:v>
                </c:pt>
                <c:pt idx="121">
                  <c:v>4.2470870239016891</c:v>
                </c:pt>
                <c:pt idx="122">
                  <c:v>-0.32858333403134421</c:v>
                </c:pt>
                <c:pt idx="123">
                  <c:v>-0.12293522805682573</c:v>
                </c:pt>
                <c:pt idx="124">
                  <c:v>-0.30287732078452939</c:v>
                </c:pt>
                <c:pt idx="125">
                  <c:v>-0.27717130753771457</c:v>
                </c:pt>
                <c:pt idx="126">
                  <c:v>-0.37999536052497379</c:v>
                </c:pt>
                <c:pt idx="127">
                  <c:v>-0.37999536052497379</c:v>
                </c:pt>
                <c:pt idx="128">
                  <c:v>-0.20005326779727017</c:v>
                </c:pt>
                <c:pt idx="129">
                  <c:v>-0.48281941351223301</c:v>
                </c:pt>
                <c:pt idx="130">
                  <c:v>-0.37999536052497379</c:v>
                </c:pt>
                <c:pt idx="131">
                  <c:v>3.3473765602631715</c:v>
                </c:pt>
                <c:pt idx="132">
                  <c:v>0.75106922233487727</c:v>
                </c:pt>
                <c:pt idx="133">
                  <c:v>1.1623654342839143</c:v>
                </c:pt>
                <c:pt idx="134">
                  <c:v>1.1623654342839143</c:v>
                </c:pt>
                <c:pt idx="135">
                  <c:v>6.8948063883236141</c:v>
                </c:pt>
                <c:pt idx="136">
                  <c:v>0.59683314285398859</c:v>
                </c:pt>
                <c:pt idx="137">
                  <c:v>0.4425970633730999</c:v>
                </c:pt>
                <c:pt idx="138">
                  <c:v>-9.7229214810011066E-2</c:v>
                </c:pt>
                <c:pt idx="139">
                  <c:v>-0.14864124130364056</c:v>
                </c:pt>
                <c:pt idx="140">
                  <c:v>-0.30287732078452939</c:v>
                </c:pt>
                <c:pt idx="141">
                  <c:v>-0.37999536052497379</c:v>
                </c:pt>
                <c:pt idx="142">
                  <c:v>0.15983091765813703</c:v>
                </c:pt>
                <c:pt idx="143">
                  <c:v>0.98242334155621047</c:v>
                </c:pt>
                <c:pt idx="144">
                  <c:v>0.64824516934761811</c:v>
                </c:pt>
                <c:pt idx="145">
                  <c:v>5.3781516067615405</c:v>
                </c:pt>
                <c:pt idx="146">
                  <c:v>0.59683314285398859</c:v>
                </c:pt>
                <c:pt idx="147">
                  <c:v>-4.5817188316381374E-2</c:v>
                </c:pt>
                <c:pt idx="148">
                  <c:v>0.13412490441132219</c:v>
                </c:pt>
                <c:pt idx="149">
                  <c:v>-0.45711340026541819</c:v>
                </c:pt>
                <c:pt idx="150">
                  <c:v>-0.20005326779727017</c:v>
                </c:pt>
                <c:pt idx="151">
                  <c:v>-0.43140738701860343</c:v>
                </c:pt>
                <c:pt idx="152">
                  <c:v>-0.45711340026541819</c:v>
                </c:pt>
                <c:pt idx="153">
                  <c:v>-0.20005326779727017</c:v>
                </c:pt>
                <c:pt idx="154">
                  <c:v>-0.40570137377178855</c:v>
                </c:pt>
                <c:pt idx="155">
                  <c:v>0.4940090898667292</c:v>
                </c:pt>
                <c:pt idx="156">
                  <c:v>0.21124294415176653</c:v>
                </c:pt>
                <c:pt idx="157">
                  <c:v>-7.152320156319622E-2</c:v>
                </c:pt>
                <c:pt idx="158">
                  <c:v>-0.14864124130364056</c:v>
                </c:pt>
                <c:pt idx="159">
                  <c:v>-0.27717130753771457</c:v>
                </c:pt>
                <c:pt idx="160">
                  <c:v>-0.43140738701860343</c:v>
                </c:pt>
                <c:pt idx="161">
                  <c:v>-0.37999536052497379</c:v>
                </c:pt>
                <c:pt idx="162">
                  <c:v>-0.53423144000586265</c:v>
                </c:pt>
                <c:pt idx="163">
                  <c:v>-0.50852542675904777</c:v>
                </c:pt>
                <c:pt idx="164">
                  <c:v>-0.50852542675904777</c:v>
                </c:pt>
                <c:pt idx="165">
                  <c:v>-0.48281941351223301</c:v>
                </c:pt>
                <c:pt idx="166">
                  <c:v>-0.53423144000586265</c:v>
                </c:pt>
                <c:pt idx="167">
                  <c:v>-0.37999536052497379</c:v>
                </c:pt>
                <c:pt idx="168">
                  <c:v>2.2934300171437658</c:v>
                </c:pt>
                <c:pt idx="169">
                  <c:v>0.80248124882850702</c:v>
                </c:pt>
                <c:pt idx="170">
                  <c:v>-0.12293522805682573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94-4E66-94D6-6FEE92C5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398543"/>
        <c:axId val="1579393743"/>
      </c:areaChart>
      <c:scatterChart>
        <c:scatterStyle val="smoothMarker"/>
        <c:varyColors val="0"/>
        <c:ser>
          <c:idx val="6"/>
          <c:order val="1"/>
          <c:tx>
            <c:strRef>
              <c:f>Ngwempisi!$H$4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Ngwempisi!$A$5:$A$175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xVal>
          <c:yVal>
            <c:numRef>
              <c:f>Ngwempisi!$H$5:$H$175</c:f>
              <c:numCache>
                <c:formatCode>General</c:formatCode>
                <c:ptCount val="17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94-4E66-94D6-6FEE92C5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398543"/>
        <c:axId val="1579393743"/>
      </c:scatterChart>
      <c:dateAx>
        <c:axId val="157939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93743"/>
        <c:crosses val="autoZero"/>
        <c:auto val="1"/>
        <c:lblOffset val="100"/>
        <c:baseTimeUnit val="months"/>
      </c:dateAx>
      <c:valAx>
        <c:axId val="1579393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Perfocmance index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9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Assegai!$G$4</c:f>
              <c:strCache>
                <c:ptCount val="1"/>
                <c:pt idx="0">
                  <c:v>Recharge index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Assegai!$A$5:$A$175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cat>
          <c:val>
            <c:numRef>
              <c:f>Assegai!$G$5:$G$175</c:f>
              <c:numCache>
                <c:formatCode>0.0000</c:formatCode>
                <c:ptCount val="171"/>
                <c:pt idx="0">
                  <c:v>0.92382786543215589</c:v>
                </c:pt>
                <c:pt idx="1">
                  <c:v>5.8717872802891417E-2</c:v>
                </c:pt>
                <c:pt idx="2">
                  <c:v>-0.42041996926870118</c:v>
                </c:pt>
                <c:pt idx="3">
                  <c:v>-3.44478187110294E-2</c:v>
                </c:pt>
                <c:pt idx="4">
                  <c:v>-0.26070735524483696</c:v>
                </c:pt>
                <c:pt idx="5">
                  <c:v>-0.20746981723688226</c:v>
                </c:pt>
                <c:pt idx="6">
                  <c:v>-0.22077920173887094</c:v>
                </c:pt>
                <c:pt idx="7">
                  <c:v>-0.27401673974682567</c:v>
                </c:pt>
                <c:pt idx="8">
                  <c:v>-0.34056366225676915</c:v>
                </c:pt>
                <c:pt idx="9">
                  <c:v>-0.12761351022495013</c:v>
                </c:pt>
                <c:pt idx="10">
                  <c:v>-0.20746981723688226</c:v>
                </c:pt>
                <c:pt idx="11">
                  <c:v>-0.12761351022495013</c:v>
                </c:pt>
                <c:pt idx="12">
                  <c:v>0.55116509937647284</c:v>
                </c:pt>
                <c:pt idx="13">
                  <c:v>3.2099103798914001E-2</c:v>
                </c:pt>
                <c:pt idx="14">
                  <c:v>-0.32725427775478044</c:v>
                </c:pt>
                <c:pt idx="15">
                  <c:v>-0.27401673974682567</c:v>
                </c:pt>
                <c:pt idx="16">
                  <c:v>-0.28732612424881437</c:v>
                </c:pt>
                <c:pt idx="17">
                  <c:v>-0.28732612424881437</c:v>
                </c:pt>
                <c:pt idx="18">
                  <c:v>-0.27401673974682567</c:v>
                </c:pt>
                <c:pt idx="19">
                  <c:v>-0.30063550875080303</c:v>
                </c:pt>
                <c:pt idx="20">
                  <c:v>-2.1138434209040689E-2</c:v>
                </c:pt>
                <c:pt idx="21">
                  <c:v>0.12526479531283477</c:v>
                </c:pt>
                <c:pt idx="22">
                  <c:v>9.8646026308857548E-2</c:v>
                </c:pt>
                <c:pt idx="23">
                  <c:v>9.8646026308857548E-2</c:v>
                </c:pt>
                <c:pt idx="24">
                  <c:v>1.6292252440375561</c:v>
                </c:pt>
                <c:pt idx="25">
                  <c:v>7.2027257304880132E-2</c:v>
                </c:pt>
                <c:pt idx="26">
                  <c:v>1.2033249399739181</c:v>
                </c:pt>
                <c:pt idx="27">
                  <c:v>0.53785571487448414</c:v>
                </c:pt>
                <c:pt idx="28">
                  <c:v>-2.1138434209040689E-2</c:v>
                </c:pt>
                <c:pt idx="29">
                  <c:v>-0.23408858624085965</c:v>
                </c:pt>
                <c:pt idx="30">
                  <c:v>-0.19416043273489358</c:v>
                </c:pt>
                <c:pt idx="31">
                  <c:v>-0.26070735524483696</c:v>
                </c:pt>
                <c:pt idx="32">
                  <c:v>-0.26070735524483696</c:v>
                </c:pt>
                <c:pt idx="33">
                  <c:v>-0.1675416637309162</c:v>
                </c:pt>
                <c:pt idx="34">
                  <c:v>-0.19416043273489358</c:v>
                </c:pt>
                <c:pt idx="35">
                  <c:v>1.4961313990176692</c:v>
                </c:pt>
                <c:pt idx="36">
                  <c:v>0.39145248535260857</c:v>
                </c:pt>
                <c:pt idx="37">
                  <c:v>-0.27401673974682567</c:v>
                </c:pt>
                <c:pt idx="38">
                  <c:v>0.84397155842022376</c:v>
                </c:pt>
                <c:pt idx="39">
                  <c:v>-0.23408858624085965</c:v>
                </c:pt>
                <c:pt idx="40">
                  <c:v>-0.1675416637309162</c:v>
                </c:pt>
                <c:pt idx="41">
                  <c:v>-0.28732612424881437</c:v>
                </c:pt>
                <c:pt idx="42">
                  <c:v>-0.26070735524483696</c:v>
                </c:pt>
                <c:pt idx="43">
                  <c:v>-0.30063550875080303</c:v>
                </c:pt>
                <c:pt idx="44">
                  <c:v>-0.28732612424881437</c:v>
                </c:pt>
                <c:pt idx="45">
                  <c:v>-0.28732612424881437</c:v>
                </c:pt>
                <c:pt idx="46">
                  <c:v>-0.18085104823290488</c:v>
                </c:pt>
                <c:pt idx="47">
                  <c:v>0.93713724993414449</c:v>
                </c:pt>
                <c:pt idx="48">
                  <c:v>-0.38049181576273516</c:v>
                </c:pt>
                <c:pt idx="49">
                  <c:v>-0.34056366225676915</c:v>
                </c:pt>
                <c:pt idx="50">
                  <c:v>-0.24739797074284831</c:v>
                </c:pt>
                <c:pt idx="51">
                  <c:v>-0.27401673974682567</c:v>
                </c:pt>
                <c:pt idx="52">
                  <c:v>-0.31394489325279173</c:v>
                </c:pt>
                <c:pt idx="53">
                  <c:v>-0.30063550875080303</c:v>
                </c:pt>
                <c:pt idx="54">
                  <c:v>-0.31394489325279173</c:v>
                </c:pt>
                <c:pt idx="55">
                  <c:v>-0.32725427775478044</c:v>
                </c:pt>
                <c:pt idx="56">
                  <c:v>-0.32725427775478044</c:v>
                </c:pt>
                <c:pt idx="57">
                  <c:v>-0.32725427775478044</c:v>
                </c:pt>
                <c:pt idx="58">
                  <c:v>-0.3538730467587578</c:v>
                </c:pt>
                <c:pt idx="59">
                  <c:v>-0.31394489325279173</c:v>
                </c:pt>
                <c:pt idx="60">
                  <c:v>-0.20746981723688226</c:v>
                </c:pt>
                <c:pt idx="61">
                  <c:v>-0.30063550875080303</c:v>
                </c:pt>
                <c:pt idx="62">
                  <c:v>-0.14092289472693884</c:v>
                </c:pt>
                <c:pt idx="63">
                  <c:v>-0.31394489325279173</c:v>
                </c:pt>
                <c:pt idx="64">
                  <c:v>-0.28732612424881437</c:v>
                </c:pt>
                <c:pt idx="65">
                  <c:v>-0.32725427775478044</c:v>
                </c:pt>
                <c:pt idx="66">
                  <c:v>-0.32725427775478044</c:v>
                </c:pt>
                <c:pt idx="67">
                  <c:v>-0.34056366225676915</c:v>
                </c:pt>
                <c:pt idx="68">
                  <c:v>-0.34056366225676915</c:v>
                </c:pt>
                <c:pt idx="69">
                  <c:v>-0.32725427775478044</c:v>
                </c:pt>
                <c:pt idx="70">
                  <c:v>-0.15423227922892754</c:v>
                </c:pt>
                <c:pt idx="71">
                  <c:v>-0.23408858624085965</c:v>
                </c:pt>
                <c:pt idx="72">
                  <c:v>-0.23408858624085965</c:v>
                </c:pt>
                <c:pt idx="73">
                  <c:v>-0.1675416637309162</c:v>
                </c:pt>
                <c:pt idx="74">
                  <c:v>-0.20746981723688226</c:v>
                </c:pt>
                <c:pt idx="75">
                  <c:v>-0.32725427775478044</c:v>
                </c:pt>
                <c:pt idx="76">
                  <c:v>-0.30063550875080303</c:v>
                </c:pt>
                <c:pt idx="77">
                  <c:v>-0.31394489325279173</c:v>
                </c:pt>
                <c:pt idx="78">
                  <c:v>-0.28732612424881437</c:v>
                </c:pt>
                <c:pt idx="79">
                  <c:v>-0.31394489325279173</c:v>
                </c:pt>
                <c:pt idx="80">
                  <c:v>-0.3538730467587578</c:v>
                </c:pt>
                <c:pt idx="81">
                  <c:v>-0.26070735524483696</c:v>
                </c:pt>
                <c:pt idx="82">
                  <c:v>-0.23408858624085965</c:v>
                </c:pt>
                <c:pt idx="83">
                  <c:v>-3.44478187110294E-2</c:v>
                </c:pt>
                <c:pt idx="84">
                  <c:v>-0.20746981723688226</c:v>
                </c:pt>
                <c:pt idx="85">
                  <c:v>-8.7685356718984087E-2</c:v>
                </c:pt>
                <c:pt idx="86">
                  <c:v>4.5408488300902709E-2</c:v>
                </c:pt>
                <c:pt idx="87">
                  <c:v>-0.24739797074284831</c:v>
                </c:pt>
                <c:pt idx="88">
                  <c:v>-0.26070735524483696</c:v>
                </c:pt>
                <c:pt idx="89">
                  <c:v>-0.32725427775478044</c:v>
                </c:pt>
                <c:pt idx="90">
                  <c:v>-0.31394489325279173</c:v>
                </c:pt>
                <c:pt idx="91">
                  <c:v>-0.31394489325279173</c:v>
                </c:pt>
                <c:pt idx="92">
                  <c:v>-0.28732612424881437</c:v>
                </c:pt>
                <c:pt idx="93">
                  <c:v>-0.26070735524483696</c:v>
                </c:pt>
                <c:pt idx="94">
                  <c:v>-0.3538730467587578</c:v>
                </c:pt>
                <c:pt idx="95">
                  <c:v>-0.3538730467587578</c:v>
                </c:pt>
                <c:pt idx="96">
                  <c:v>-0.3538730467587578</c:v>
                </c:pt>
                <c:pt idx="97">
                  <c:v>-0.3538730467587578</c:v>
                </c:pt>
                <c:pt idx="98">
                  <c:v>-0.3538730467587578</c:v>
                </c:pt>
                <c:pt idx="99">
                  <c:v>-0.3538730467587578</c:v>
                </c:pt>
                <c:pt idx="100">
                  <c:v>-0.3538730467587578</c:v>
                </c:pt>
                <c:pt idx="101">
                  <c:v>-0.30063550875080303</c:v>
                </c:pt>
                <c:pt idx="102">
                  <c:v>-0.31394489325279173</c:v>
                </c:pt>
                <c:pt idx="103">
                  <c:v>-0.31394489325279173</c:v>
                </c:pt>
                <c:pt idx="104">
                  <c:v>-0.31394489325279173</c:v>
                </c:pt>
                <c:pt idx="105">
                  <c:v>-0.31394489325279173</c:v>
                </c:pt>
                <c:pt idx="106">
                  <c:v>-0.27401673974682567</c:v>
                </c:pt>
                <c:pt idx="107">
                  <c:v>-0.20746981723688226</c:v>
                </c:pt>
                <c:pt idx="108">
                  <c:v>-0.14092289472693884</c:v>
                </c:pt>
                <c:pt idx="109">
                  <c:v>-0.15423227922892754</c:v>
                </c:pt>
                <c:pt idx="110">
                  <c:v>-0.18085104823290488</c:v>
                </c:pt>
                <c:pt idx="111">
                  <c:v>-0.12761351022495013</c:v>
                </c:pt>
                <c:pt idx="112">
                  <c:v>-0.34056366225676915</c:v>
                </c:pt>
                <c:pt idx="113">
                  <c:v>-0.28732612424881437</c:v>
                </c:pt>
                <c:pt idx="114">
                  <c:v>-0.32725427775478044</c:v>
                </c:pt>
                <c:pt idx="115">
                  <c:v>-0.31394489325279173</c:v>
                </c:pt>
                <c:pt idx="116">
                  <c:v>-0.30063550875080303</c:v>
                </c:pt>
                <c:pt idx="117">
                  <c:v>-0.27401673974682567</c:v>
                </c:pt>
                <c:pt idx="118">
                  <c:v>-0.27401673974682567</c:v>
                </c:pt>
                <c:pt idx="119">
                  <c:v>-0.1675416637309162</c:v>
                </c:pt>
                <c:pt idx="120">
                  <c:v>0.29828679383868772</c:v>
                </c:pt>
                <c:pt idx="121">
                  <c:v>0.71087771340033701</c:v>
                </c:pt>
                <c:pt idx="122">
                  <c:v>-0.3538730467587578</c:v>
                </c:pt>
                <c:pt idx="123">
                  <c:v>-0.27401673974682567</c:v>
                </c:pt>
                <c:pt idx="124">
                  <c:v>-0.27401673974682567</c:v>
                </c:pt>
                <c:pt idx="125">
                  <c:v>-0.27401673974682567</c:v>
                </c:pt>
                <c:pt idx="126">
                  <c:v>-0.31394489325279173</c:v>
                </c:pt>
                <c:pt idx="127">
                  <c:v>-0.26070735524483696</c:v>
                </c:pt>
                <c:pt idx="128">
                  <c:v>-0.31394489325279173</c:v>
                </c:pt>
                <c:pt idx="129">
                  <c:v>-0.26070735524483696</c:v>
                </c:pt>
                <c:pt idx="130">
                  <c:v>-0.20746981723688226</c:v>
                </c:pt>
                <c:pt idx="131">
                  <c:v>0.77742463591028044</c:v>
                </c:pt>
                <c:pt idx="132">
                  <c:v>1.5493689370256238</c:v>
                </c:pt>
                <c:pt idx="133">
                  <c:v>-0.22077920173887094</c:v>
                </c:pt>
                <c:pt idx="134">
                  <c:v>0.6975683288983483</c:v>
                </c:pt>
                <c:pt idx="135">
                  <c:v>1.4562032455117035</c:v>
                </c:pt>
                <c:pt idx="136">
                  <c:v>-2.1138434209040689E-2</c:v>
                </c:pt>
                <c:pt idx="137">
                  <c:v>-0.14092289472693884</c:v>
                </c:pt>
                <c:pt idx="138">
                  <c:v>-0.23408858624085965</c:v>
                </c:pt>
                <c:pt idx="139">
                  <c:v>-0.23408858624085965</c:v>
                </c:pt>
                <c:pt idx="140">
                  <c:v>-0.23408858624085965</c:v>
                </c:pt>
                <c:pt idx="141">
                  <c:v>-0.27401673974682567</c:v>
                </c:pt>
                <c:pt idx="142">
                  <c:v>-8.7685356718984087E-2</c:v>
                </c:pt>
                <c:pt idx="143">
                  <c:v>3.8785112248736446</c:v>
                </c:pt>
                <c:pt idx="144">
                  <c:v>1.1900155554719294</c:v>
                </c:pt>
                <c:pt idx="145">
                  <c:v>7.0328353518449624</c:v>
                </c:pt>
                <c:pt idx="146">
                  <c:v>-0.62006073679853146</c:v>
                </c:pt>
                <c:pt idx="147">
                  <c:v>-0.42041996926870118</c:v>
                </c:pt>
                <c:pt idx="148">
                  <c:v>-0.14092289472693884</c:v>
                </c:pt>
                <c:pt idx="149">
                  <c:v>-0.26070735524483696</c:v>
                </c:pt>
                <c:pt idx="150">
                  <c:v>-0.26070735524483696</c:v>
                </c:pt>
                <c:pt idx="151">
                  <c:v>-0.30063550875080303</c:v>
                </c:pt>
                <c:pt idx="152">
                  <c:v>-0.32725427775478044</c:v>
                </c:pt>
                <c:pt idx="153">
                  <c:v>-0.23408858624085965</c:v>
                </c:pt>
                <c:pt idx="154">
                  <c:v>-0.30063550875080303</c:v>
                </c:pt>
                <c:pt idx="155">
                  <c:v>8.5336641806868785E-2</c:v>
                </c:pt>
                <c:pt idx="156">
                  <c:v>0.21843048682675559</c:v>
                </c:pt>
                <c:pt idx="157">
                  <c:v>4.5408488300902709E-2</c:v>
                </c:pt>
                <c:pt idx="158">
                  <c:v>-0.23408858624085965</c:v>
                </c:pt>
                <c:pt idx="159">
                  <c:v>0.20512110232476694</c:v>
                </c:pt>
                <c:pt idx="160">
                  <c:v>-0.3538730467587578</c:v>
                </c:pt>
                <c:pt idx="161">
                  <c:v>-0.30063550875080303</c:v>
                </c:pt>
                <c:pt idx="162">
                  <c:v>-0.32725427775478044</c:v>
                </c:pt>
                <c:pt idx="163">
                  <c:v>-0.34056366225676915</c:v>
                </c:pt>
                <c:pt idx="164">
                  <c:v>-0.28732612424881437</c:v>
                </c:pt>
                <c:pt idx="165">
                  <c:v>-0.30063550875080303</c:v>
                </c:pt>
                <c:pt idx="166">
                  <c:v>-0.32725427775478044</c:v>
                </c:pt>
                <c:pt idx="167">
                  <c:v>0.6975683288983483</c:v>
                </c:pt>
                <c:pt idx="168">
                  <c:v>8.7098177990955357</c:v>
                </c:pt>
                <c:pt idx="169">
                  <c:v>0.19181171782277817</c:v>
                </c:pt>
                <c:pt idx="170">
                  <c:v>0.7374964824043142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E9-450E-8A87-9FFE438BB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13407"/>
        <c:axId val="1600421087"/>
      </c:areaChart>
      <c:scatterChart>
        <c:scatterStyle val="smoothMarker"/>
        <c:varyColors val="0"/>
        <c:ser>
          <c:idx val="6"/>
          <c:order val="1"/>
          <c:tx>
            <c:strRef>
              <c:f>Assegai!$H$4</c:f>
              <c:strCache>
                <c:ptCount val="1"/>
                <c:pt idx="0">
                  <c:v>Filure threshold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Assegai!$A$5:$A$175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xVal>
          <c:yVal>
            <c:numRef>
              <c:f>Assegai!$H$5:$H$175</c:f>
              <c:numCache>
                <c:formatCode>General</c:formatCode>
                <c:ptCount val="17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E9-450E-8A87-9FFE438BB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13407"/>
        <c:axId val="1600421087"/>
      </c:scatterChart>
      <c:dateAx>
        <c:axId val="160041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21087"/>
        <c:crosses val="autoZero"/>
        <c:auto val="1"/>
        <c:lblOffset val="100"/>
        <c:baseTimeUnit val="months"/>
      </c:dateAx>
      <c:valAx>
        <c:axId val="1600421087"/>
        <c:scaling>
          <c:orientation val="minMax"/>
          <c:max val="8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Performance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1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140970</xdr:colOff>
      <xdr:row>62</xdr:row>
      <xdr:rowOff>13335</xdr:rowOff>
    </xdr:from>
    <xdr:to>
      <xdr:col>30</xdr:col>
      <xdr:colOff>569595</xdr:colOff>
      <xdr:row>88</xdr:row>
      <xdr:rowOff>13335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B8182CA-6EB7-69BD-76A4-E8E476B8413F}"/>
            </a:ext>
            <a:ext uri="{147F2762-F138-4A5C-976F-8EAC2B608ADB}">
              <a16:predDERef xmlns:a16="http://schemas.microsoft.com/office/drawing/2014/main" pred="{EF66D998-A2A7-44CB-8B8B-9E656F27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771526</xdr:colOff>
      <xdr:row>4</xdr:row>
      <xdr:rowOff>190499</xdr:rowOff>
    </xdr:from>
    <xdr:to>
      <xdr:col>14</xdr:col>
      <xdr:colOff>1190625</xdr:colOff>
      <xdr:row>21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DF7A50-6618-4FF9-B3BF-CF96C448A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163</xdr:row>
      <xdr:rowOff>52386</xdr:rowOff>
    </xdr:from>
    <xdr:to>
      <xdr:col>3</xdr:col>
      <xdr:colOff>1485899</xdr:colOff>
      <xdr:row>179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2B810-F2DC-0DBB-B63D-C29505D7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9</xdr:row>
      <xdr:rowOff>180975</xdr:rowOff>
    </xdr:from>
    <xdr:to>
      <xdr:col>11</xdr:col>
      <xdr:colOff>872490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9B3E1-C375-40FC-8589-D4D0EF1C6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347661</xdr:colOff>
      <xdr:row>134</xdr:row>
      <xdr:rowOff>76200</xdr:rowOff>
    </xdr:from>
    <xdr:to>
      <xdr:col>6</xdr:col>
      <xdr:colOff>190499</xdr:colOff>
      <xdr:row>152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B96461-433E-71B6-AB4D-206E0260F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134470</xdr:colOff>
      <xdr:row>114</xdr:row>
      <xdr:rowOff>100853</xdr:rowOff>
    </xdr:from>
    <xdr:to>
      <xdr:col>6</xdr:col>
      <xdr:colOff>672351</xdr:colOff>
      <xdr:row>134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B53487-7978-DCD6-820D-0AAEE9669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1232647</xdr:colOff>
      <xdr:row>150</xdr:row>
      <xdr:rowOff>156883</xdr:rowOff>
    </xdr:from>
    <xdr:to>
      <xdr:col>7</xdr:col>
      <xdr:colOff>33618</xdr:colOff>
      <xdr:row>170</xdr:row>
      <xdr:rowOff>43703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523EB0-7488-92BE-3E58-1F782C36A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5603</xdr:colOff>
      <xdr:row>153</xdr:row>
      <xdr:rowOff>11206</xdr:rowOff>
    </xdr:from>
    <xdr:to>
      <xdr:col>8</xdr:col>
      <xdr:colOff>341779</xdr:colOff>
      <xdr:row>172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B249B-2040-A619-1CA1-5100F6193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324971</xdr:colOff>
      <xdr:row>166</xdr:row>
      <xdr:rowOff>78440</xdr:rowOff>
    </xdr:from>
    <xdr:to>
      <xdr:col>20</xdr:col>
      <xdr:colOff>509869</xdr:colOff>
      <xdr:row>193</xdr:row>
      <xdr:rowOff>67234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8978B-0CE9-2984-49E5-EADCD5343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78442</xdr:colOff>
      <xdr:row>151</xdr:row>
      <xdr:rowOff>190499</xdr:rowOff>
    </xdr:from>
    <xdr:to>
      <xdr:col>9</xdr:col>
      <xdr:colOff>44823</xdr:colOff>
      <xdr:row>172</xdr:row>
      <xdr:rowOff>89646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F4B5E-C99C-9C63-0A15-8A564277C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HL174"/>
  <sheetViews>
    <sheetView tabSelected="1" workbookViewId="0">
      <selection activeCell="C5" sqref="C5"/>
    </sheetView>
  </sheetViews>
  <sheetFormatPr defaultRowHeight="15" x14ac:dyDescent="0.25"/>
  <cols>
    <col min="1" max="1" width="13.5703125" style="5" bestFit="1" customWidth="1"/>
    <col min="2" max="2" width="17.85546875" style="5" customWidth="1"/>
    <col min="3" max="3" width="17.28515625" style="14" customWidth="1"/>
    <col min="4" max="4" width="17.140625" style="6" customWidth="1"/>
    <col min="5" max="5" width="10" style="6" customWidth="1"/>
    <col min="6" max="6" width="11.28515625" style="10" customWidth="1"/>
    <col min="7" max="7" width="21.5703125" style="6" bestFit="1" customWidth="1"/>
    <col min="8" max="8" width="11.42578125" style="11" customWidth="1"/>
    <col min="9" max="9" width="8.28515625" customWidth="1"/>
    <col min="10" max="10" width="18.7109375" bestFit="1" customWidth="1"/>
    <col min="11" max="11" width="21.28515625" customWidth="1"/>
    <col min="12" max="12" width="14" customWidth="1"/>
    <col min="13" max="13" width="18.28515625" bestFit="1" customWidth="1"/>
    <col min="14" max="14" width="12.28515625" bestFit="1" customWidth="1"/>
    <col min="15" max="15" width="18" bestFit="1" customWidth="1"/>
    <col min="16" max="16" width="15.5703125" bestFit="1" customWidth="1"/>
    <col min="17" max="17" width="18.7109375" bestFit="1" customWidth="1"/>
    <col min="18" max="20" width="8.85546875"/>
    <col min="21" max="21" width="18" bestFit="1" customWidth="1"/>
    <col min="22" max="24" width="8.85546875"/>
    <col min="27" max="27" width="14.140625" bestFit="1" customWidth="1"/>
  </cols>
  <sheetData>
    <row r="1" spans="1:27" ht="19.5" x14ac:dyDescent="0.4">
      <c r="A1" s="66" t="s">
        <v>0</v>
      </c>
      <c r="B1" s="66"/>
      <c r="C1" s="66"/>
      <c r="D1" s="66"/>
      <c r="E1" s="66"/>
      <c r="F1" s="66"/>
      <c r="G1" s="66"/>
      <c r="H1" s="21"/>
      <c r="U1" s="21"/>
      <c r="V1" s="21"/>
      <c r="W1" s="21"/>
      <c r="X1" s="21"/>
      <c r="Y1" s="21"/>
      <c r="Z1" s="21"/>
      <c r="AA1" s="21"/>
    </row>
    <row r="2" spans="1:27" x14ac:dyDescent="0.25">
      <c r="A2" s="64" t="s">
        <v>1</v>
      </c>
      <c r="B2" s="64"/>
      <c r="C2" s="64"/>
      <c r="D2" s="64"/>
      <c r="E2" s="64"/>
      <c r="F2" s="65"/>
      <c r="G2" s="65"/>
      <c r="H2" s="12"/>
    </row>
    <row r="3" spans="1:27" x14ac:dyDescent="0.25">
      <c r="A3" s="3" t="s">
        <v>2</v>
      </c>
      <c r="B3" s="3" t="s">
        <v>3</v>
      </c>
      <c r="C3" s="26" t="s">
        <v>18</v>
      </c>
      <c r="D3" s="4" t="s">
        <v>4</v>
      </c>
      <c r="E3" s="53" t="s">
        <v>5</v>
      </c>
      <c r="F3" s="51"/>
      <c r="G3" s="52" t="s">
        <v>19</v>
      </c>
      <c r="I3" s="18" t="s">
        <v>7</v>
      </c>
      <c r="J3" s="18" t="s">
        <v>8</v>
      </c>
      <c r="K3" s="18" t="s">
        <v>9</v>
      </c>
      <c r="L3" s="18" t="s">
        <v>10</v>
      </c>
      <c r="M3" s="18" t="s">
        <v>11</v>
      </c>
      <c r="N3" s="18" t="s">
        <v>12</v>
      </c>
      <c r="O3" s="19" t="s">
        <v>7</v>
      </c>
      <c r="P3" s="19" t="s">
        <v>8</v>
      </c>
      <c r="Q3" s="19" t="s">
        <v>13</v>
      </c>
      <c r="R3" s="19" t="s">
        <v>10</v>
      </c>
      <c r="S3" s="19" t="s">
        <v>14</v>
      </c>
      <c r="T3" s="19" t="s">
        <v>12</v>
      </c>
      <c r="U3" s="12"/>
      <c r="Z3" s="22"/>
    </row>
    <row r="4" spans="1:27" x14ac:dyDescent="0.25">
      <c r="A4" s="30">
        <v>40553</v>
      </c>
      <c r="B4" s="28">
        <v>0.31</v>
      </c>
      <c r="C4" s="31">
        <f>B4*$H$4</f>
        <v>7.8739999999999997</v>
      </c>
      <c r="D4" s="32">
        <f>AVERAGE($C$4:$C$174)</f>
        <v>4.1798596491228075</v>
      </c>
      <c r="E4" s="32">
        <f>_xlfn.STDEV.S($C$4:$C$174)</f>
        <v>7.8491009498771449</v>
      </c>
      <c r="F4" s="33">
        <f t="shared" ref="F4" si="0">C4-D4</f>
        <v>3.6941403508771922</v>
      </c>
      <c r="G4" s="33">
        <f t="shared" ref="G4" si="1">F4/E4</f>
        <v>0.47064502985338891</v>
      </c>
      <c r="H4" s="20">
        <v>25.4</v>
      </c>
      <c r="I4" s="18">
        <v>-0.5</v>
      </c>
      <c r="J4" s="18">
        <v>0.5</v>
      </c>
      <c r="K4" s="18">
        <v>-2</v>
      </c>
      <c r="L4" s="18">
        <v>1</v>
      </c>
      <c r="M4" s="18">
        <v>1.5</v>
      </c>
      <c r="N4" s="18">
        <v>2</v>
      </c>
      <c r="O4" s="19">
        <f>-1</f>
        <v>-1</v>
      </c>
      <c r="P4" s="19">
        <v>-0.5</v>
      </c>
      <c r="Q4" s="19">
        <v>-4</v>
      </c>
      <c r="R4" s="19">
        <v>1</v>
      </c>
      <c r="S4" s="19">
        <v>0.5</v>
      </c>
      <c r="T4" s="19">
        <v>2.5</v>
      </c>
      <c r="U4" s="13"/>
      <c r="Z4" s="13"/>
      <c r="AA4" s="23"/>
    </row>
    <row r="5" spans="1:27" x14ac:dyDescent="0.25">
      <c r="A5" s="34">
        <v>40584</v>
      </c>
      <c r="B5" s="28">
        <v>0.15</v>
      </c>
      <c r="C5" s="31">
        <f t="shared" ref="C5:C67" si="2">B5*$H$4</f>
        <v>3.8099999999999996</v>
      </c>
      <c r="D5" s="32">
        <f t="shared" ref="D5:D68" si="3">AVERAGE($C$4:$C$174)</f>
        <v>4.1798596491228075</v>
      </c>
      <c r="E5" s="32">
        <f t="shared" ref="E5:E68" si="4">_xlfn.STDEV.S($C$4:$C$174)</f>
        <v>7.8491009498771449</v>
      </c>
      <c r="F5" s="33">
        <f t="shared" ref="F5:F68" si="5">C5-D5</f>
        <v>-0.36985964912280789</v>
      </c>
      <c r="G5" s="33">
        <f t="shared" ref="G5:G68" si="6">F5/E5</f>
        <v>-4.7121275606551723E-2</v>
      </c>
      <c r="I5" s="18">
        <v>-0.5</v>
      </c>
      <c r="J5" s="18">
        <v>0.5</v>
      </c>
      <c r="K5" s="18">
        <v>-2</v>
      </c>
      <c r="L5" s="18">
        <v>1</v>
      </c>
      <c r="M5" s="18">
        <v>1.5</v>
      </c>
      <c r="N5" s="18">
        <v>2</v>
      </c>
      <c r="O5" s="19">
        <f t="shared" ref="O5:O68" si="7">-1</f>
        <v>-1</v>
      </c>
      <c r="P5" s="19">
        <v>-0.5</v>
      </c>
      <c r="Q5" s="19">
        <v>-4</v>
      </c>
      <c r="R5" s="19">
        <v>1</v>
      </c>
      <c r="S5" s="19">
        <v>0.5</v>
      </c>
      <c r="T5" s="19">
        <v>2.5</v>
      </c>
      <c r="U5" s="13"/>
      <c r="Z5" s="13"/>
      <c r="AA5" s="23"/>
    </row>
    <row r="6" spans="1:27" x14ac:dyDescent="0.25">
      <c r="A6" s="30">
        <v>40612</v>
      </c>
      <c r="B6" s="28">
        <v>0.28000000000000003</v>
      </c>
      <c r="C6" s="31">
        <f t="shared" si="2"/>
        <v>7.1120000000000001</v>
      </c>
      <c r="D6" s="32">
        <f t="shared" si="3"/>
        <v>4.1798596491228075</v>
      </c>
      <c r="E6" s="32">
        <f t="shared" si="4"/>
        <v>7.8491009498771449</v>
      </c>
      <c r="F6" s="33">
        <f t="shared" si="5"/>
        <v>2.9321403508771926</v>
      </c>
      <c r="G6" s="33">
        <f t="shared" si="6"/>
        <v>0.37356384757965011</v>
      </c>
      <c r="I6" s="18">
        <v>-0.5</v>
      </c>
      <c r="J6" s="18">
        <v>0.5</v>
      </c>
      <c r="K6" s="18">
        <v>-2</v>
      </c>
      <c r="L6" s="18">
        <v>1</v>
      </c>
      <c r="M6" s="18">
        <v>1.5</v>
      </c>
      <c r="N6" s="18">
        <v>2</v>
      </c>
      <c r="O6" s="19">
        <f t="shared" si="7"/>
        <v>-1</v>
      </c>
      <c r="P6" s="19">
        <v>-0.5</v>
      </c>
      <c r="Q6" s="19">
        <v>-4</v>
      </c>
      <c r="R6" s="19">
        <v>1</v>
      </c>
      <c r="S6" s="19">
        <v>0.5</v>
      </c>
      <c r="T6" s="19">
        <v>2.5</v>
      </c>
      <c r="U6" s="13"/>
      <c r="Z6" s="13"/>
      <c r="AA6" s="23"/>
    </row>
    <row r="7" spans="1:27" x14ac:dyDescent="0.25">
      <c r="A7" s="30">
        <v>40643</v>
      </c>
      <c r="B7" s="28">
        <v>0.39</v>
      </c>
      <c r="C7" s="31">
        <f t="shared" si="2"/>
        <v>9.9060000000000006</v>
      </c>
      <c r="D7" s="32">
        <f t="shared" si="3"/>
        <v>4.1798596491228075</v>
      </c>
      <c r="E7" s="32">
        <f t="shared" si="4"/>
        <v>7.8491009498771449</v>
      </c>
      <c r="F7" s="33">
        <f t="shared" si="5"/>
        <v>5.7261403508771931</v>
      </c>
      <c r="G7" s="33">
        <f t="shared" si="6"/>
        <v>0.72952818258335939</v>
      </c>
      <c r="I7" s="18">
        <v>-0.5</v>
      </c>
      <c r="J7" s="18">
        <v>0.5</v>
      </c>
      <c r="K7" s="18">
        <v>-2</v>
      </c>
      <c r="L7" s="18">
        <v>1</v>
      </c>
      <c r="M7" s="18">
        <v>1.5</v>
      </c>
      <c r="N7" s="18">
        <v>2</v>
      </c>
      <c r="O7" s="19">
        <f t="shared" si="7"/>
        <v>-1</v>
      </c>
      <c r="P7" s="19">
        <v>-0.5</v>
      </c>
      <c r="Q7" s="19">
        <v>-4</v>
      </c>
      <c r="R7" s="19">
        <v>1</v>
      </c>
      <c r="S7" s="19">
        <v>0.5</v>
      </c>
      <c r="T7" s="19">
        <v>2.5</v>
      </c>
      <c r="U7" s="13"/>
      <c r="Z7" s="13"/>
      <c r="AA7" s="23"/>
    </row>
    <row r="8" spans="1:27" x14ac:dyDescent="0.25">
      <c r="A8" s="30">
        <v>40673</v>
      </c>
      <c r="B8" s="28">
        <v>0.36</v>
      </c>
      <c r="C8" s="31">
        <f t="shared" si="2"/>
        <v>9.1439999999999984</v>
      </c>
      <c r="D8" s="32">
        <f t="shared" si="3"/>
        <v>4.1798596491228075</v>
      </c>
      <c r="E8" s="32">
        <f t="shared" si="4"/>
        <v>7.8491009498771449</v>
      </c>
      <c r="F8" s="33">
        <f t="shared" si="5"/>
        <v>4.9641403508771909</v>
      </c>
      <c r="G8" s="33">
        <f t="shared" si="6"/>
        <v>0.6324470003096202</v>
      </c>
      <c r="I8" s="18">
        <v>-0.5</v>
      </c>
      <c r="J8" s="18">
        <v>0.5</v>
      </c>
      <c r="K8" s="18">
        <v>-2</v>
      </c>
      <c r="L8" s="18">
        <v>1</v>
      </c>
      <c r="M8" s="18">
        <v>1.5</v>
      </c>
      <c r="N8" s="18">
        <v>2</v>
      </c>
      <c r="O8" s="19">
        <f t="shared" si="7"/>
        <v>-1</v>
      </c>
      <c r="P8" s="19">
        <v>-0.5</v>
      </c>
      <c r="Q8" s="19">
        <v>-4</v>
      </c>
      <c r="R8" s="19">
        <v>1</v>
      </c>
      <c r="S8" s="19">
        <v>0.5</v>
      </c>
      <c r="T8" s="19">
        <v>2.5</v>
      </c>
      <c r="U8" s="13"/>
      <c r="Z8" s="13"/>
      <c r="AA8" s="23"/>
    </row>
    <row r="9" spans="1:27" x14ac:dyDescent="0.25">
      <c r="A9" s="30">
        <v>40704</v>
      </c>
      <c r="B9" s="28">
        <v>0.08</v>
      </c>
      <c r="C9" s="31">
        <f t="shared" si="2"/>
        <v>2.032</v>
      </c>
      <c r="D9" s="32">
        <f t="shared" si="3"/>
        <v>4.1798596491228075</v>
      </c>
      <c r="E9" s="32">
        <f t="shared" si="4"/>
        <v>7.8491009498771449</v>
      </c>
      <c r="F9" s="33">
        <f t="shared" si="5"/>
        <v>-2.1478596491228075</v>
      </c>
      <c r="G9" s="33">
        <f t="shared" si="6"/>
        <v>-0.27364403424527572</v>
      </c>
      <c r="I9" s="18">
        <v>-0.5</v>
      </c>
      <c r="J9" s="18">
        <v>0.5</v>
      </c>
      <c r="K9" s="18">
        <v>-2</v>
      </c>
      <c r="L9" s="18">
        <v>1</v>
      </c>
      <c r="M9" s="18">
        <v>1.5</v>
      </c>
      <c r="N9" s="18">
        <v>2</v>
      </c>
      <c r="O9" s="19">
        <f t="shared" si="7"/>
        <v>-1</v>
      </c>
      <c r="P9" s="19">
        <v>-0.5</v>
      </c>
      <c r="Q9" s="19">
        <v>-4</v>
      </c>
      <c r="R9" s="19">
        <v>1</v>
      </c>
      <c r="S9" s="19">
        <v>0.5</v>
      </c>
      <c r="T9" s="19">
        <v>2.5</v>
      </c>
      <c r="U9" s="13"/>
      <c r="AA9" s="23"/>
    </row>
    <row r="10" spans="1:27" x14ac:dyDescent="0.25">
      <c r="A10" s="30">
        <v>40734</v>
      </c>
      <c r="B10" s="28">
        <v>0.08</v>
      </c>
      <c r="C10" s="31">
        <f t="shared" si="2"/>
        <v>2.032</v>
      </c>
      <c r="D10" s="32">
        <f t="shared" si="3"/>
        <v>4.1798596491228075</v>
      </c>
      <c r="E10" s="32">
        <f t="shared" si="4"/>
        <v>7.8491009498771449</v>
      </c>
      <c r="F10" s="33">
        <f t="shared" si="5"/>
        <v>-2.1478596491228075</v>
      </c>
      <c r="G10" s="33">
        <f t="shared" si="6"/>
        <v>-0.27364403424527572</v>
      </c>
      <c r="I10" s="18">
        <v>-0.5</v>
      </c>
      <c r="J10" s="18">
        <v>0.5</v>
      </c>
      <c r="K10" s="18">
        <v>-2</v>
      </c>
      <c r="L10" s="18">
        <v>1</v>
      </c>
      <c r="M10" s="18">
        <v>1.5</v>
      </c>
      <c r="N10" s="18">
        <v>2</v>
      </c>
      <c r="O10" s="19">
        <f t="shared" si="7"/>
        <v>-1</v>
      </c>
      <c r="P10" s="19">
        <v>-0.5</v>
      </c>
      <c r="Q10" s="19">
        <v>-4</v>
      </c>
      <c r="R10" s="19">
        <v>1</v>
      </c>
      <c r="S10" s="19">
        <v>0.5</v>
      </c>
      <c r="T10" s="19">
        <v>2.5</v>
      </c>
      <c r="U10" s="13"/>
      <c r="AA10" s="23"/>
    </row>
    <row r="11" spans="1:27" x14ac:dyDescent="0.25">
      <c r="A11" s="30">
        <v>40765</v>
      </c>
      <c r="B11" s="28">
        <v>-0.05</v>
      </c>
      <c r="C11" s="31">
        <f t="shared" si="2"/>
        <v>-1.27</v>
      </c>
      <c r="D11" s="32">
        <f t="shared" si="3"/>
        <v>4.1798596491228075</v>
      </c>
      <c r="E11" s="32">
        <f t="shared" si="4"/>
        <v>7.8491009498771449</v>
      </c>
      <c r="F11" s="33">
        <f t="shared" si="5"/>
        <v>-5.4498596491228071</v>
      </c>
      <c r="G11" s="33">
        <f t="shared" si="6"/>
        <v>-0.69432915743147738</v>
      </c>
      <c r="I11" s="18">
        <v>-0.5</v>
      </c>
      <c r="J11" s="18">
        <v>0.5</v>
      </c>
      <c r="K11" s="18">
        <v>-2</v>
      </c>
      <c r="L11" s="18">
        <v>1</v>
      </c>
      <c r="M11" s="18">
        <v>1.5</v>
      </c>
      <c r="N11" s="18">
        <v>2</v>
      </c>
      <c r="O11" s="19">
        <f t="shared" si="7"/>
        <v>-1</v>
      </c>
      <c r="P11" s="19">
        <v>-0.5</v>
      </c>
      <c r="Q11" s="19">
        <v>-4</v>
      </c>
      <c r="R11" s="19">
        <v>1</v>
      </c>
      <c r="S11" s="19">
        <v>0.5</v>
      </c>
      <c r="T11" s="19">
        <v>2.5</v>
      </c>
      <c r="U11" s="13"/>
      <c r="AA11" s="23"/>
    </row>
    <row r="12" spans="1:27" x14ac:dyDescent="0.25">
      <c r="A12" s="30">
        <v>40796</v>
      </c>
      <c r="B12" s="28">
        <v>0.01</v>
      </c>
      <c r="C12" s="31">
        <f t="shared" si="2"/>
        <v>0.254</v>
      </c>
      <c r="D12" s="32">
        <f t="shared" si="3"/>
        <v>4.1798596491228075</v>
      </c>
      <c r="E12" s="32">
        <f t="shared" si="4"/>
        <v>7.8491009498771449</v>
      </c>
      <c r="F12" s="33">
        <f t="shared" si="5"/>
        <v>-3.9258596491228075</v>
      </c>
      <c r="G12" s="33">
        <f t="shared" si="6"/>
        <v>-0.50016679288399968</v>
      </c>
      <c r="I12" s="18">
        <v>-0.5</v>
      </c>
      <c r="J12" s="18">
        <v>0.5</v>
      </c>
      <c r="K12" s="18">
        <v>-2</v>
      </c>
      <c r="L12" s="18">
        <v>1</v>
      </c>
      <c r="M12" s="18">
        <v>1.5</v>
      </c>
      <c r="N12" s="18">
        <v>2</v>
      </c>
      <c r="O12" s="19">
        <f t="shared" si="7"/>
        <v>-1</v>
      </c>
      <c r="P12" s="19">
        <v>-0.5</v>
      </c>
      <c r="Q12" s="19">
        <v>-4</v>
      </c>
      <c r="R12" s="19">
        <v>1</v>
      </c>
      <c r="S12" s="19">
        <v>0.5</v>
      </c>
      <c r="T12" s="19">
        <v>2.5</v>
      </c>
      <c r="U12" s="13"/>
      <c r="AA12" s="23"/>
    </row>
    <row r="13" spans="1:27" x14ac:dyDescent="0.25">
      <c r="A13" s="34">
        <v>40826</v>
      </c>
      <c r="B13" s="28">
        <v>0.15</v>
      </c>
      <c r="C13" s="31">
        <f t="shared" si="2"/>
        <v>3.8099999999999996</v>
      </c>
      <c r="D13" s="32">
        <f t="shared" si="3"/>
        <v>4.1798596491228075</v>
      </c>
      <c r="E13" s="32">
        <f t="shared" si="4"/>
        <v>7.8491009498771449</v>
      </c>
      <c r="F13" s="33">
        <f t="shared" si="5"/>
        <v>-0.36985964912280789</v>
      </c>
      <c r="G13" s="33">
        <f t="shared" si="6"/>
        <v>-4.7121275606551723E-2</v>
      </c>
      <c r="I13" s="18">
        <v>-0.5</v>
      </c>
      <c r="J13" s="18">
        <v>0.5</v>
      </c>
      <c r="K13" s="18">
        <v>-2</v>
      </c>
      <c r="L13" s="18">
        <v>1</v>
      </c>
      <c r="M13" s="18">
        <v>1.5</v>
      </c>
      <c r="N13" s="18">
        <v>2</v>
      </c>
      <c r="O13" s="19">
        <f t="shared" si="7"/>
        <v>-1</v>
      </c>
      <c r="P13" s="19">
        <v>-0.5</v>
      </c>
      <c r="Q13" s="19">
        <v>-4</v>
      </c>
      <c r="R13" s="19">
        <v>1</v>
      </c>
      <c r="S13" s="19">
        <v>0.5</v>
      </c>
      <c r="T13" s="19">
        <v>2.5</v>
      </c>
      <c r="U13" s="13"/>
      <c r="AA13" s="23"/>
    </row>
    <row r="14" spans="1:27" x14ac:dyDescent="0.25">
      <c r="A14" s="30">
        <v>40857</v>
      </c>
      <c r="B14" s="28">
        <v>0.03</v>
      </c>
      <c r="C14" s="31">
        <f t="shared" si="2"/>
        <v>0.7619999999999999</v>
      </c>
      <c r="D14" s="32">
        <f t="shared" si="3"/>
        <v>4.1798596491228075</v>
      </c>
      <c r="E14" s="32">
        <f t="shared" si="4"/>
        <v>7.8491009498771449</v>
      </c>
      <c r="F14" s="33">
        <f t="shared" si="5"/>
        <v>-3.4178596491228075</v>
      </c>
      <c r="G14" s="33">
        <f t="shared" si="6"/>
        <v>-0.43544600470150713</v>
      </c>
      <c r="I14" s="18">
        <v>-0.5</v>
      </c>
      <c r="J14" s="18">
        <v>0.5</v>
      </c>
      <c r="K14" s="18">
        <v>-2</v>
      </c>
      <c r="L14" s="18">
        <v>1</v>
      </c>
      <c r="M14" s="18">
        <v>1.5</v>
      </c>
      <c r="N14" s="18">
        <v>2</v>
      </c>
      <c r="O14" s="19">
        <f t="shared" si="7"/>
        <v>-1</v>
      </c>
      <c r="P14" s="19">
        <v>-0.5</v>
      </c>
      <c r="Q14" s="19">
        <v>-4</v>
      </c>
      <c r="R14" s="19">
        <v>1</v>
      </c>
      <c r="S14" s="19">
        <v>0.5</v>
      </c>
      <c r="T14" s="19">
        <v>2.5</v>
      </c>
      <c r="U14" s="13"/>
      <c r="AA14" s="23"/>
    </row>
    <row r="15" spans="1:27" x14ac:dyDescent="0.25">
      <c r="A15" s="30">
        <v>40887</v>
      </c>
      <c r="B15" s="28">
        <v>0.37</v>
      </c>
      <c r="C15" s="31">
        <f t="shared" si="2"/>
        <v>9.3979999999999997</v>
      </c>
      <c r="D15" s="32">
        <f t="shared" si="3"/>
        <v>4.1798596491228075</v>
      </c>
      <c r="E15" s="32">
        <f t="shared" si="4"/>
        <v>7.8491009498771449</v>
      </c>
      <c r="F15" s="33">
        <f t="shared" si="5"/>
        <v>5.2181403508771922</v>
      </c>
      <c r="G15" s="33">
        <f t="shared" si="6"/>
        <v>0.66480739440086667</v>
      </c>
      <c r="I15" s="18">
        <v>-0.5</v>
      </c>
      <c r="J15" s="18">
        <v>0.5</v>
      </c>
      <c r="K15" s="18">
        <v>-2</v>
      </c>
      <c r="L15" s="18">
        <v>1</v>
      </c>
      <c r="M15" s="18">
        <v>1.5</v>
      </c>
      <c r="N15" s="18">
        <v>2</v>
      </c>
      <c r="O15" s="19">
        <f t="shared" si="7"/>
        <v>-1</v>
      </c>
      <c r="P15" s="19">
        <v>-0.5</v>
      </c>
      <c r="Q15" s="19">
        <v>-4</v>
      </c>
      <c r="R15" s="19">
        <v>1</v>
      </c>
      <c r="S15" s="19">
        <v>0.5</v>
      </c>
      <c r="T15" s="19">
        <v>2.5</v>
      </c>
      <c r="U15" s="13"/>
      <c r="AA15" s="23"/>
    </row>
    <row r="16" spans="1:27" x14ac:dyDescent="0.25">
      <c r="A16" s="30">
        <v>40918</v>
      </c>
      <c r="B16" s="28">
        <v>1.1299999999999999</v>
      </c>
      <c r="C16" s="31">
        <f t="shared" si="2"/>
        <v>28.701999999999995</v>
      </c>
      <c r="D16" s="32">
        <f t="shared" si="3"/>
        <v>4.1798596491228075</v>
      </c>
      <c r="E16" s="32">
        <f t="shared" si="4"/>
        <v>7.8491009498771449</v>
      </c>
      <c r="F16" s="33">
        <f t="shared" si="5"/>
        <v>24.522140350877187</v>
      </c>
      <c r="G16" s="33">
        <f t="shared" si="6"/>
        <v>3.1241973453355842</v>
      </c>
      <c r="I16" s="18">
        <v>-0.5</v>
      </c>
      <c r="J16" s="18">
        <v>0.5</v>
      </c>
      <c r="K16" s="18">
        <v>-2</v>
      </c>
      <c r="L16" s="18">
        <v>1</v>
      </c>
      <c r="M16" s="18">
        <v>1.5</v>
      </c>
      <c r="N16" s="18">
        <v>2</v>
      </c>
      <c r="O16" s="19">
        <f t="shared" si="7"/>
        <v>-1</v>
      </c>
      <c r="P16" s="19">
        <v>-0.5</v>
      </c>
      <c r="Q16" s="19">
        <v>-4</v>
      </c>
      <c r="R16" s="19">
        <v>1</v>
      </c>
      <c r="S16" s="19">
        <v>0.5</v>
      </c>
      <c r="T16" s="19">
        <v>2.5</v>
      </c>
      <c r="U16" s="13"/>
      <c r="AA16" s="23"/>
    </row>
    <row r="17" spans="1:220" x14ac:dyDescent="0.25">
      <c r="A17" s="30">
        <v>40949</v>
      </c>
      <c r="B17" s="28">
        <v>0.19</v>
      </c>
      <c r="C17" s="31">
        <f t="shared" si="2"/>
        <v>4.8259999999999996</v>
      </c>
      <c r="D17" s="32">
        <f t="shared" si="3"/>
        <v>4.1798596491228075</v>
      </c>
      <c r="E17" s="32">
        <f t="shared" si="4"/>
        <v>7.8491009498771449</v>
      </c>
      <c r="F17" s="33">
        <f t="shared" si="5"/>
        <v>0.64614035087719213</v>
      </c>
      <c r="G17" s="33">
        <f t="shared" si="6"/>
        <v>8.232030075843344E-2</v>
      </c>
      <c r="I17" s="18">
        <v>-0.5</v>
      </c>
      <c r="J17" s="18">
        <v>0.5</v>
      </c>
      <c r="K17" s="18">
        <v>-2</v>
      </c>
      <c r="L17" s="18">
        <v>1</v>
      </c>
      <c r="M17" s="18">
        <v>1.5</v>
      </c>
      <c r="N17" s="18">
        <v>2</v>
      </c>
      <c r="O17" s="19">
        <f t="shared" si="7"/>
        <v>-1</v>
      </c>
      <c r="P17" s="19">
        <v>-0.5</v>
      </c>
      <c r="Q17" s="19">
        <v>-4</v>
      </c>
      <c r="R17" s="19">
        <v>1</v>
      </c>
      <c r="S17" s="19">
        <v>0.5</v>
      </c>
      <c r="T17" s="19">
        <v>2.5</v>
      </c>
      <c r="U17" s="13"/>
      <c r="AA17" s="23"/>
    </row>
    <row r="18" spans="1:220" x14ac:dyDescent="0.25">
      <c r="A18" s="30">
        <v>40978</v>
      </c>
      <c r="B18" s="28">
        <v>0.02</v>
      </c>
      <c r="C18" s="31">
        <f t="shared" si="2"/>
        <v>0.50800000000000001</v>
      </c>
      <c r="D18" s="32">
        <f t="shared" si="3"/>
        <v>4.1798596491228075</v>
      </c>
      <c r="E18" s="32">
        <f t="shared" si="4"/>
        <v>7.8491009498771449</v>
      </c>
      <c r="F18" s="33">
        <f t="shared" si="5"/>
        <v>-3.6718596491228075</v>
      </c>
      <c r="G18" s="33">
        <f t="shared" si="6"/>
        <v>-0.46780639879275343</v>
      </c>
      <c r="I18" s="18">
        <v>-0.5</v>
      </c>
      <c r="J18" s="18">
        <v>0.5</v>
      </c>
      <c r="K18" s="18">
        <v>-2</v>
      </c>
      <c r="L18" s="18">
        <v>1</v>
      </c>
      <c r="M18" s="18">
        <v>1.5</v>
      </c>
      <c r="N18" s="18">
        <v>2</v>
      </c>
      <c r="O18" s="19">
        <f t="shared" si="7"/>
        <v>-1</v>
      </c>
      <c r="P18" s="19">
        <v>-0.5</v>
      </c>
      <c r="Q18" s="19">
        <v>-4</v>
      </c>
      <c r="R18" s="19">
        <v>1</v>
      </c>
      <c r="S18" s="19">
        <v>0.5</v>
      </c>
      <c r="T18" s="19">
        <v>2.5</v>
      </c>
      <c r="U18" s="13"/>
      <c r="AA18" s="23"/>
    </row>
    <row r="19" spans="1:220" x14ac:dyDescent="0.25">
      <c r="A19" s="30">
        <v>41009</v>
      </c>
      <c r="B19" s="28">
        <v>0.11</v>
      </c>
      <c r="C19" s="31">
        <f t="shared" si="2"/>
        <v>2.794</v>
      </c>
      <c r="D19" s="32">
        <f t="shared" si="3"/>
        <v>4.1798596491228075</v>
      </c>
      <c r="E19" s="32">
        <f t="shared" si="4"/>
        <v>7.8491009498771449</v>
      </c>
      <c r="F19" s="33">
        <f t="shared" si="5"/>
        <v>-1.3858596491228075</v>
      </c>
      <c r="G19" s="33">
        <f t="shared" si="6"/>
        <v>-0.17656285197153682</v>
      </c>
      <c r="I19" s="18">
        <v>-0.5</v>
      </c>
      <c r="J19" s="18">
        <v>0.5</v>
      </c>
      <c r="K19" s="18">
        <v>-2</v>
      </c>
      <c r="L19" s="18">
        <v>1</v>
      </c>
      <c r="M19" s="18">
        <v>1.5</v>
      </c>
      <c r="N19" s="18">
        <v>2</v>
      </c>
      <c r="O19" s="19">
        <f t="shared" si="7"/>
        <v>-1</v>
      </c>
      <c r="P19" s="19">
        <v>-0.5</v>
      </c>
      <c r="Q19" s="19">
        <v>-4</v>
      </c>
      <c r="R19" s="19">
        <v>1</v>
      </c>
      <c r="S19" s="19">
        <v>0.5</v>
      </c>
      <c r="T19" s="19">
        <v>2.5</v>
      </c>
      <c r="U19" s="13"/>
      <c r="AA19" s="23"/>
    </row>
    <row r="20" spans="1:220" x14ac:dyDescent="0.25">
      <c r="A20" s="30">
        <v>41039</v>
      </c>
      <c r="B20" s="28">
        <v>0.02</v>
      </c>
      <c r="C20" s="31">
        <f t="shared" si="2"/>
        <v>0.50800000000000001</v>
      </c>
      <c r="D20" s="32">
        <f t="shared" si="3"/>
        <v>4.1798596491228075</v>
      </c>
      <c r="E20" s="32">
        <f t="shared" si="4"/>
        <v>7.8491009498771449</v>
      </c>
      <c r="F20" s="33">
        <f t="shared" si="5"/>
        <v>-3.6718596491228075</v>
      </c>
      <c r="G20" s="33">
        <f t="shared" si="6"/>
        <v>-0.46780639879275343</v>
      </c>
      <c r="I20" s="18">
        <v>-0.5</v>
      </c>
      <c r="J20" s="18">
        <v>0.5</v>
      </c>
      <c r="K20" s="18">
        <v>-2</v>
      </c>
      <c r="L20" s="18">
        <v>1</v>
      </c>
      <c r="M20" s="18">
        <v>1.5</v>
      </c>
      <c r="N20" s="18">
        <v>2</v>
      </c>
      <c r="O20" s="19">
        <f t="shared" si="7"/>
        <v>-1</v>
      </c>
      <c r="P20" s="19">
        <v>-0.5</v>
      </c>
      <c r="Q20" s="19">
        <v>-4</v>
      </c>
      <c r="R20" s="19">
        <v>1</v>
      </c>
      <c r="S20" s="19">
        <v>0.5</v>
      </c>
      <c r="T20" s="19">
        <v>2.5</v>
      </c>
      <c r="U20" s="13"/>
      <c r="AA20" s="23"/>
    </row>
    <row r="21" spans="1:220" x14ac:dyDescent="0.25">
      <c r="A21" s="34">
        <v>41070</v>
      </c>
      <c r="B21" s="28">
        <v>0.02</v>
      </c>
      <c r="C21" s="31">
        <f t="shared" si="2"/>
        <v>0.50800000000000001</v>
      </c>
      <c r="D21" s="32">
        <f t="shared" si="3"/>
        <v>4.1798596491228075</v>
      </c>
      <c r="E21" s="32">
        <f t="shared" si="4"/>
        <v>7.8491009498771449</v>
      </c>
      <c r="F21" s="33">
        <f t="shared" si="5"/>
        <v>-3.6718596491228075</v>
      </c>
      <c r="G21" s="33">
        <f t="shared" si="6"/>
        <v>-0.46780639879275343</v>
      </c>
      <c r="I21" s="18">
        <v>-0.5</v>
      </c>
      <c r="J21" s="18">
        <v>0.5</v>
      </c>
      <c r="K21" s="18">
        <v>-2</v>
      </c>
      <c r="L21" s="18">
        <v>1</v>
      </c>
      <c r="M21" s="18">
        <v>1.5</v>
      </c>
      <c r="N21" s="18">
        <v>2</v>
      </c>
      <c r="O21" s="19">
        <f t="shared" si="7"/>
        <v>-1</v>
      </c>
      <c r="P21" s="19">
        <v>-0.5</v>
      </c>
      <c r="Q21" s="19">
        <v>-4</v>
      </c>
      <c r="R21" s="19">
        <v>1</v>
      </c>
      <c r="S21" s="19">
        <v>0.5</v>
      </c>
      <c r="T21" s="19">
        <v>2.5</v>
      </c>
      <c r="U21" s="13"/>
      <c r="AA21" s="23"/>
    </row>
    <row r="22" spans="1:220" x14ac:dyDescent="0.25">
      <c r="A22" s="30">
        <v>41100</v>
      </c>
      <c r="B22" s="28">
        <v>0.01</v>
      </c>
      <c r="C22" s="31">
        <f t="shared" si="2"/>
        <v>0.254</v>
      </c>
      <c r="D22" s="32">
        <f t="shared" si="3"/>
        <v>4.1798596491228075</v>
      </c>
      <c r="E22" s="32">
        <f t="shared" si="4"/>
        <v>7.8491009498771449</v>
      </c>
      <c r="F22" s="33">
        <f t="shared" si="5"/>
        <v>-3.9258596491228075</v>
      </c>
      <c r="G22" s="33">
        <f t="shared" si="6"/>
        <v>-0.50016679288399968</v>
      </c>
      <c r="I22" s="18">
        <v>-0.5</v>
      </c>
      <c r="J22" s="18">
        <v>0.5</v>
      </c>
      <c r="K22" s="18">
        <v>-2</v>
      </c>
      <c r="L22" s="18">
        <v>1</v>
      </c>
      <c r="M22" s="18">
        <v>1.5</v>
      </c>
      <c r="N22" s="18">
        <v>2</v>
      </c>
      <c r="O22" s="19">
        <f t="shared" si="7"/>
        <v>-1</v>
      </c>
      <c r="P22" s="19">
        <v>-0.5</v>
      </c>
      <c r="Q22" s="19">
        <v>-4</v>
      </c>
      <c r="R22" s="19">
        <v>1</v>
      </c>
      <c r="S22" s="19">
        <v>0.5</v>
      </c>
      <c r="T22" s="19">
        <v>2.5</v>
      </c>
      <c r="U22" s="13"/>
      <c r="AA22" s="23"/>
    </row>
    <row r="23" spans="1:220" x14ac:dyDescent="0.25">
      <c r="A23" s="30">
        <v>41131</v>
      </c>
      <c r="B23" s="28">
        <v>0</v>
      </c>
      <c r="C23" s="31">
        <f t="shared" si="2"/>
        <v>0</v>
      </c>
      <c r="D23" s="32">
        <f t="shared" si="3"/>
        <v>4.1798596491228075</v>
      </c>
      <c r="E23" s="32">
        <f t="shared" si="4"/>
        <v>7.8491009498771449</v>
      </c>
      <c r="F23" s="33">
        <f t="shared" si="5"/>
        <v>-4.1798596491228075</v>
      </c>
      <c r="G23" s="33">
        <f t="shared" si="6"/>
        <v>-0.53252718697524604</v>
      </c>
      <c r="I23" s="18">
        <v>-0.5</v>
      </c>
      <c r="J23" s="18">
        <v>0.5</v>
      </c>
      <c r="K23" s="18">
        <v>-2</v>
      </c>
      <c r="L23" s="18">
        <v>1</v>
      </c>
      <c r="M23" s="18">
        <v>1.5</v>
      </c>
      <c r="N23" s="18">
        <v>2</v>
      </c>
      <c r="O23" s="19">
        <f t="shared" si="7"/>
        <v>-1</v>
      </c>
      <c r="P23" s="19">
        <v>-0.5</v>
      </c>
      <c r="Q23" s="19">
        <v>-4</v>
      </c>
      <c r="R23" s="19">
        <v>1</v>
      </c>
      <c r="S23" s="19">
        <v>0.5</v>
      </c>
      <c r="T23" s="19">
        <v>2.5</v>
      </c>
      <c r="U23" s="13"/>
      <c r="AA23" s="23"/>
    </row>
    <row r="24" spans="1:220" s="17" customFormat="1" x14ac:dyDescent="0.25">
      <c r="A24" s="30">
        <v>41162</v>
      </c>
      <c r="B24" s="28">
        <v>0.15</v>
      </c>
      <c r="C24" s="31">
        <f t="shared" si="2"/>
        <v>3.8099999999999996</v>
      </c>
      <c r="D24" s="32">
        <f t="shared" si="3"/>
        <v>4.1798596491228075</v>
      </c>
      <c r="E24" s="32">
        <f t="shared" si="4"/>
        <v>7.8491009498771449</v>
      </c>
      <c r="F24" s="33">
        <f t="shared" si="5"/>
        <v>-0.36985964912280789</v>
      </c>
      <c r="G24" s="33">
        <f t="shared" si="6"/>
        <v>-4.7121275606551723E-2</v>
      </c>
      <c r="H24" s="11"/>
      <c r="I24" s="18">
        <v>-0.5</v>
      </c>
      <c r="J24" s="18">
        <v>0.5</v>
      </c>
      <c r="K24" s="18">
        <v>-2</v>
      </c>
      <c r="L24" s="18">
        <v>1</v>
      </c>
      <c r="M24" s="18">
        <v>1.5</v>
      </c>
      <c r="N24" s="18">
        <v>2</v>
      </c>
      <c r="O24" s="19">
        <f t="shared" si="7"/>
        <v>-1</v>
      </c>
      <c r="P24" s="19">
        <v>-0.5</v>
      </c>
      <c r="Q24" s="19">
        <v>-4</v>
      </c>
      <c r="R24" s="19">
        <v>1</v>
      </c>
      <c r="S24" s="19">
        <v>0.5</v>
      </c>
      <c r="T24" s="19">
        <v>2.5</v>
      </c>
      <c r="U24" s="13"/>
      <c r="V24"/>
      <c r="W24"/>
      <c r="X24"/>
      <c r="Y24"/>
      <c r="Z24"/>
      <c r="AA24" s="23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</row>
    <row r="25" spans="1:220" x14ac:dyDescent="0.25">
      <c r="A25" s="30">
        <v>41192</v>
      </c>
      <c r="B25" s="28">
        <v>0.26</v>
      </c>
      <c r="C25" s="31">
        <f t="shared" si="2"/>
        <v>6.6040000000000001</v>
      </c>
      <c r="D25" s="32">
        <f t="shared" si="3"/>
        <v>4.1798596491228075</v>
      </c>
      <c r="E25" s="32">
        <f t="shared" si="4"/>
        <v>7.8491009498771449</v>
      </c>
      <c r="F25" s="33">
        <f t="shared" si="5"/>
        <v>2.4241403508771926</v>
      </c>
      <c r="G25" s="33">
        <f t="shared" si="6"/>
        <v>0.3088430593971575</v>
      </c>
      <c r="I25" s="18">
        <v>-0.5</v>
      </c>
      <c r="J25" s="18">
        <v>0.5</v>
      </c>
      <c r="K25" s="18">
        <v>-2</v>
      </c>
      <c r="L25" s="18">
        <v>1</v>
      </c>
      <c r="M25" s="18">
        <v>1.5</v>
      </c>
      <c r="N25" s="18">
        <v>2</v>
      </c>
      <c r="O25" s="19">
        <f t="shared" si="7"/>
        <v>-1</v>
      </c>
      <c r="P25" s="19">
        <v>-0.5</v>
      </c>
      <c r="Q25" s="19">
        <v>-4</v>
      </c>
      <c r="R25" s="19">
        <v>1</v>
      </c>
      <c r="S25" s="19">
        <v>0.5</v>
      </c>
      <c r="T25" s="19">
        <v>2.5</v>
      </c>
      <c r="U25" s="13"/>
    </row>
    <row r="26" spans="1:220" x14ac:dyDescent="0.25">
      <c r="A26" s="30">
        <v>41223</v>
      </c>
      <c r="B26" s="28">
        <v>0.17</v>
      </c>
      <c r="C26" s="31">
        <f t="shared" si="2"/>
        <v>4.3180000000000005</v>
      </c>
      <c r="D26" s="32">
        <f t="shared" si="3"/>
        <v>4.1798596491228075</v>
      </c>
      <c r="E26" s="32">
        <f t="shared" si="4"/>
        <v>7.8491009498771449</v>
      </c>
      <c r="F26" s="33">
        <f t="shared" si="5"/>
        <v>0.13814035087719301</v>
      </c>
      <c r="G26" s="33">
        <f t="shared" si="6"/>
        <v>1.7599512575940966E-2</v>
      </c>
      <c r="I26" s="18">
        <v>-0.5</v>
      </c>
      <c r="J26" s="18">
        <v>0.5</v>
      </c>
      <c r="K26" s="18">
        <v>-2</v>
      </c>
      <c r="L26" s="18">
        <v>1</v>
      </c>
      <c r="M26" s="18">
        <v>1.5</v>
      </c>
      <c r="N26" s="18">
        <v>2</v>
      </c>
      <c r="O26" s="19">
        <f t="shared" si="7"/>
        <v>-1</v>
      </c>
      <c r="P26" s="19">
        <v>-0.5</v>
      </c>
      <c r="Q26" s="19">
        <v>-4</v>
      </c>
      <c r="R26" s="19">
        <v>1</v>
      </c>
      <c r="S26" s="19">
        <v>0.5</v>
      </c>
      <c r="T26" s="19">
        <v>2.5</v>
      </c>
      <c r="U26" s="13"/>
    </row>
    <row r="27" spans="1:220" x14ac:dyDescent="0.25">
      <c r="A27" s="30">
        <v>41253</v>
      </c>
      <c r="B27" s="28">
        <v>0.43</v>
      </c>
      <c r="C27" s="31">
        <f t="shared" si="2"/>
        <v>10.921999999999999</v>
      </c>
      <c r="D27" s="32">
        <f t="shared" si="3"/>
        <v>4.1798596491228075</v>
      </c>
      <c r="E27" s="32">
        <f t="shared" si="4"/>
        <v>7.8491009498771449</v>
      </c>
      <c r="F27" s="33">
        <f t="shared" si="5"/>
        <v>6.7421403508771913</v>
      </c>
      <c r="G27" s="33">
        <f t="shared" si="6"/>
        <v>0.85896975894834426</v>
      </c>
      <c r="I27" s="18">
        <v>-0.5</v>
      </c>
      <c r="J27" s="18">
        <v>0.5</v>
      </c>
      <c r="K27" s="18">
        <v>-2</v>
      </c>
      <c r="L27" s="18">
        <v>1</v>
      </c>
      <c r="M27" s="18">
        <v>1.5</v>
      </c>
      <c r="N27" s="18">
        <v>2</v>
      </c>
      <c r="O27" s="19">
        <f t="shared" si="7"/>
        <v>-1</v>
      </c>
      <c r="P27" s="19">
        <v>-0.5</v>
      </c>
      <c r="Q27" s="19">
        <v>-4</v>
      </c>
      <c r="R27" s="19">
        <v>1</v>
      </c>
      <c r="S27" s="19">
        <v>0.5</v>
      </c>
      <c r="T27" s="19">
        <v>2.5</v>
      </c>
      <c r="U27" s="13"/>
    </row>
    <row r="28" spans="1:220" x14ac:dyDescent="0.25">
      <c r="A28" s="30">
        <v>41284</v>
      </c>
      <c r="B28" s="28">
        <v>1.97</v>
      </c>
      <c r="C28" s="31">
        <f t="shared" si="2"/>
        <v>50.037999999999997</v>
      </c>
      <c r="D28" s="32">
        <f t="shared" si="3"/>
        <v>4.1798596491228075</v>
      </c>
      <c r="E28" s="32">
        <f t="shared" si="4"/>
        <v>7.8491009498771449</v>
      </c>
      <c r="F28" s="33">
        <f t="shared" si="5"/>
        <v>45.858140350877193</v>
      </c>
      <c r="G28" s="33">
        <f t="shared" si="6"/>
        <v>5.842470449000273</v>
      </c>
      <c r="I28" s="18">
        <v>-0.5</v>
      </c>
      <c r="J28" s="18">
        <v>0.5</v>
      </c>
      <c r="K28" s="18">
        <v>-2</v>
      </c>
      <c r="L28" s="18">
        <v>1</v>
      </c>
      <c r="M28" s="18">
        <v>1.5</v>
      </c>
      <c r="N28" s="18">
        <v>2</v>
      </c>
      <c r="O28" s="19">
        <f t="shared" si="7"/>
        <v>-1</v>
      </c>
      <c r="P28" s="19">
        <v>-0.5</v>
      </c>
      <c r="Q28" s="19">
        <v>-4</v>
      </c>
      <c r="R28" s="19">
        <v>1</v>
      </c>
      <c r="S28" s="19">
        <v>0.5</v>
      </c>
      <c r="T28" s="19">
        <v>2.5</v>
      </c>
      <c r="U28" s="13"/>
    </row>
    <row r="29" spans="1:220" x14ac:dyDescent="0.25">
      <c r="A29" s="34">
        <v>41315</v>
      </c>
      <c r="B29" s="28">
        <v>0.31</v>
      </c>
      <c r="C29" s="31">
        <f t="shared" si="2"/>
        <v>7.8739999999999997</v>
      </c>
      <c r="D29" s="32">
        <f t="shared" si="3"/>
        <v>4.1798596491228075</v>
      </c>
      <c r="E29" s="32">
        <f t="shared" si="4"/>
        <v>7.8491009498771449</v>
      </c>
      <c r="F29" s="33">
        <f t="shared" si="5"/>
        <v>3.6941403508771922</v>
      </c>
      <c r="G29" s="33">
        <f t="shared" si="6"/>
        <v>0.47064502985338891</v>
      </c>
      <c r="I29" s="18">
        <v>-0.5</v>
      </c>
      <c r="J29" s="18">
        <v>0.5</v>
      </c>
      <c r="K29" s="18">
        <v>-2</v>
      </c>
      <c r="L29" s="18">
        <v>1</v>
      </c>
      <c r="M29" s="18">
        <v>1.5</v>
      </c>
      <c r="N29" s="18">
        <v>2</v>
      </c>
      <c r="O29" s="19">
        <f t="shared" si="7"/>
        <v>-1</v>
      </c>
      <c r="P29" s="19">
        <v>-0.5</v>
      </c>
      <c r="Q29" s="19">
        <v>-4</v>
      </c>
      <c r="R29" s="19">
        <v>1</v>
      </c>
      <c r="S29" s="19">
        <v>0.5</v>
      </c>
      <c r="T29" s="19">
        <v>2.5</v>
      </c>
      <c r="U29" s="13"/>
    </row>
    <row r="30" spans="1:220" x14ac:dyDescent="0.25">
      <c r="A30" s="30">
        <v>41343</v>
      </c>
      <c r="B30" s="28">
        <v>0.44</v>
      </c>
      <c r="C30" s="31">
        <f t="shared" si="2"/>
        <v>11.176</v>
      </c>
      <c r="D30" s="32">
        <f t="shared" si="3"/>
        <v>4.1798596491228075</v>
      </c>
      <c r="E30" s="32">
        <f t="shared" si="4"/>
        <v>7.8491009498771449</v>
      </c>
      <c r="F30" s="33">
        <f t="shared" si="5"/>
        <v>6.9961403508771927</v>
      </c>
      <c r="G30" s="33">
        <f t="shared" si="6"/>
        <v>0.89133015303959073</v>
      </c>
      <c r="I30" s="18">
        <v>-0.5</v>
      </c>
      <c r="J30" s="18">
        <v>0.5</v>
      </c>
      <c r="K30" s="18">
        <v>-2</v>
      </c>
      <c r="L30" s="18">
        <v>1</v>
      </c>
      <c r="M30" s="18">
        <v>1.5</v>
      </c>
      <c r="N30" s="18">
        <v>2</v>
      </c>
      <c r="O30" s="19">
        <f t="shared" si="7"/>
        <v>-1</v>
      </c>
      <c r="P30" s="19">
        <v>-0.5</v>
      </c>
      <c r="Q30" s="19">
        <v>-4</v>
      </c>
      <c r="R30" s="19">
        <v>1</v>
      </c>
      <c r="S30" s="19">
        <v>0.5</v>
      </c>
      <c r="T30" s="19">
        <v>2.5</v>
      </c>
      <c r="U30" s="13"/>
    </row>
    <row r="31" spans="1:220" x14ac:dyDescent="0.25">
      <c r="A31" s="30">
        <v>41374</v>
      </c>
      <c r="B31" s="28">
        <v>0.36</v>
      </c>
      <c r="C31" s="31">
        <f t="shared" si="2"/>
        <v>9.1439999999999984</v>
      </c>
      <c r="D31" s="32">
        <f t="shared" si="3"/>
        <v>4.1798596491228075</v>
      </c>
      <c r="E31" s="32">
        <f t="shared" si="4"/>
        <v>7.8491009498771449</v>
      </c>
      <c r="F31" s="33">
        <f t="shared" si="5"/>
        <v>4.9641403508771909</v>
      </c>
      <c r="G31" s="33">
        <f t="shared" si="6"/>
        <v>0.6324470003096202</v>
      </c>
      <c r="I31" s="18">
        <v>-0.5</v>
      </c>
      <c r="J31" s="18">
        <v>0.5</v>
      </c>
      <c r="K31" s="18">
        <v>-2</v>
      </c>
      <c r="L31" s="18">
        <v>1</v>
      </c>
      <c r="M31" s="18">
        <v>1.5</v>
      </c>
      <c r="N31" s="18">
        <v>2</v>
      </c>
      <c r="O31" s="19">
        <f t="shared" si="7"/>
        <v>-1</v>
      </c>
      <c r="P31" s="19">
        <v>-0.5</v>
      </c>
      <c r="Q31" s="19">
        <v>-4</v>
      </c>
      <c r="R31" s="19">
        <v>1</v>
      </c>
      <c r="S31" s="19">
        <v>0.5</v>
      </c>
      <c r="T31" s="19">
        <v>2.5</v>
      </c>
      <c r="U31" s="13"/>
    </row>
    <row r="32" spans="1:220" x14ac:dyDescent="0.25">
      <c r="A32" s="30">
        <v>41404</v>
      </c>
      <c r="B32" s="28">
        <v>0.24</v>
      </c>
      <c r="C32" s="31">
        <f t="shared" si="2"/>
        <v>6.0959999999999992</v>
      </c>
      <c r="D32" s="32">
        <f t="shared" si="3"/>
        <v>4.1798596491228075</v>
      </c>
      <c r="E32" s="32">
        <f t="shared" si="4"/>
        <v>7.8491009498771449</v>
      </c>
      <c r="F32" s="33">
        <f t="shared" si="5"/>
        <v>1.9161403508771917</v>
      </c>
      <c r="G32" s="33">
        <f t="shared" si="6"/>
        <v>0.24412227121466482</v>
      </c>
      <c r="I32" s="18">
        <v>-0.5</v>
      </c>
      <c r="J32" s="18">
        <v>0.5</v>
      </c>
      <c r="K32" s="18">
        <v>-2</v>
      </c>
      <c r="L32" s="18">
        <v>1</v>
      </c>
      <c r="M32" s="18">
        <v>1.5</v>
      </c>
      <c r="N32" s="18">
        <v>2</v>
      </c>
      <c r="O32" s="19">
        <f t="shared" si="7"/>
        <v>-1</v>
      </c>
      <c r="P32" s="19">
        <v>-0.5</v>
      </c>
      <c r="Q32" s="19">
        <v>-4</v>
      </c>
      <c r="R32" s="19">
        <v>1</v>
      </c>
      <c r="S32" s="19">
        <v>0.5</v>
      </c>
      <c r="T32" s="19">
        <v>2.5</v>
      </c>
      <c r="U32" s="13"/>
    </row>
    <row r="33" spans="1:21" x14ac:dyDescent="0.25">
      <c r="A33" s="30">
        <v>41435</v>
      </c>
      <c r="B33" s="28">
        <v>0.11</v>
      </c>
      <c r="C33" s="31">
        <f t="shared" si="2"/>
        <v>2.794</v>
      </c>
      <c r="D33" s="32">
        <f t="shared" si="3"/>
        <v>4.1798596491228075</v>
      </c>
      <c r="E33" s="32">
        <f t="shared" si="4"/>
        <v>7.8491009498771449</v>
      </c>
      <c r="F33" s="33">
        <f t="shared" si="5"/>
        <v>-1.3858596491228075</v>
      </c>
      <c r="G33" s="33">
        <f t="shared" si="6"/>
        <v>-0.17656285197153682</v>
      </c>
      <c r="I33" s="18">
        <v>-0.5</v>
      </c>
      <c r="J33" s="18">
        <v>0.5</v>
      </c>
      <c r="K33" s="18">
        <v>-2</v>
      </c>
      <c r="L33" s="18">
        <v>1</v>
      </c>
      <c r="M33" s="18">
        <v>1.5</v>
      </c>
      <c r="N33" s="18">
        <v>2</v>
      </c>
      <c r="O33" s="19">
        <f t="shared" si="7"/>
        <v>-1</v>
      </c>
      <c r="P33" s="19">
        <v>-0.5</v>
      </c>
      <c r="Q33" s="19">
        <v>-4</v>
      </c>
      <c r="R33" s="19">
        <v>1</v>
      </c>
      <c r="S33" s="19">
        <v>0.5</v>
      </c>
      <c r="T33" s="19">
        <v>2.5</v>
      </c>
      <c r="U33" s="13"/>
    </row>
    <row r="34" spans="1:21" x14ac:dyDescent="0.25">
      <c r="A34" s="30">
        <v>41465</v>
      </c>
      <c r="B34" s="28">
        <v>7.0000000000000007E-2</v>
      </c>
      <c r="C34" s="31">
        <f t="shared" si="2"/>
        <v>1.778</v>
      </c>
      <c r="D34" s="32">
        <f t="shared" si="3"/>
        <v>4.1798596491228075</v>
      </c>
      <c r="E34" s="32">
        <f t="shared" si="4"/>
        <v>7.8491009498771449</v>
      </c>
      <c r="F34" s="33">
        <f t="shared" si="5"/>
        <v>-2.4018596491228075</v>
      </c>
      <c r="G34" s="33">
        <f t="shared" si="6"/>
        <v>-0.30600442833652197</v>
      </c>
      <c r="I34" s="18">
        <v>-0.5</v>
      </c>
      <c r="J34" s="18">
        <v>0.5</v>
      </c>
      <c r="K34" s="18">
        <v>-2</v>
      </c>
      <c r="L34" s="18">
        <v>1</v>
      </c>
      <c r="M34" s="18">
        <v>1.5</v>
      </c>
      <c r="N34" s="18">
        <v>2</v>
      </c>
      <c r="O34" s="19">
        <f t="shared" si="7"/>
        <v>-1</v>
      </c>
      <c r="P34" s="19">
        <v>-0.5</v>
      </c>
      <c r="Q34" s="19">
        <v>-4</v>
      </c>
      <c r="R34" s="19">
        <v>1</v>
      </c>
      <c r="S34" s="19">
        <v>0.5</v>
      </c>
      <c r="T34" s="19">
        <v>2.5</v>
      </c>
      <c r="U34" s="13"/>
    </row>
    <row r="35" spans="1:21" x14ac:dyDescent="0.25">
      <c r="A35" s="30">
        <v>41496</v>
      </c>
      <c r="B35" s="28">
        <v>0.03</v>
      </c>
      <c r="C35" s="31">
        <f t="shared" si="2"/>
        <v>0.7619999999999999</v>
      </c>
      <c r="D35" s="32">
        <f t="shared" si="3"/>
        <v>4.1798596491228075</v>
      </c>
      <c r="E35" s="32">
        <f t="shared" si="4"/>
        <v>7.8491009498771449</v>
      </c>
      <c r="F35" s="33">
        <f t="shared" si="5"/>
        <v>-3.4178596491228075</v>
      </c>
      <c r="G35" s="33">
        <f t="shared" si="6"/>
        <v>-0.43544600470150713</v>
      </c>
      <c r="I35" s="18">
        <v>-0.5</v>
      </c>
      <c r="J35" s="18">
        <v>0.5</v>
      </c>
      <c r="K35" s="18">
        <v>-2</v>
      </c>
      <c r="L35" s="18">
        <v>1</v>
      </c>
      <c r="M35" s="18">
        <v>1.5</v>
      </c>
      <c r="N35" s="18">
        <v>2</v>
      </c>
      <c r="O35" s="19">
        <f t="shared" si="7"/>
        <v>-1</v>
      </c>
      <c r="P35" s="19">
        <v>-0.5</v>
      </c>
      <c r="Q35" s="19">
        <v>-4</v>
      </c>
      <c r="R35" s="19">
        <v>1</v>
      </c>
      <c r="S35" s="19">
        <v>0.5</v>
      </c>
      <c r="T35" s="19">
        <v>2.5</v>
      </c>
      <c r="U35" s="13"/>
    </row>
    <row r="36" spans="1:21" x14ac:dyDescent="0.25">
      <c r="A36" s="30">
        <v>41527</v>
      </c>
      <c r="B36" s="28">
        <v>0.02</v>
      </c>
      <c r="C36" s="31">
        <f t="shared" si="2"/>
        <v>0.50800000000000001</v>
      </c>
      <c r="D36" s="32">
        <f t="shared" si="3"/>
        <v>4.1798596491228075</v>
      </c>
      <c r="E36" s="32">
        <f t="shared" si="4"/>
        <v>7.8491009498771449</v>
      </c>
      <c r="F36" s="33">
        <f t="shared" si="5"/>
        <v>-3.6718596491228075</v>
      </c>
      <c r="G36" s="33">
        <f t="shared" si="6"/>
        <v>-0.46780639879275343</v>
      </c>
      <c r="I36" s="18">
        <v>-0.5</v>
      </c>
      <c r="J36" s="18">
        <v>0.5</v>
      </c>
      <c r="K36" s="18">
        <v>-2</v>
      </c>
      <c r="L36" s="18">
        <v>1</v>
      </c>
      <c r="M36" s="18">
        <v>1.5</v>
      </c>
      <c r="N36" s="18">
        <v>2</v>
      </c>
      <c r="O36" s="19">
        <f t="shared" si="7"/>
        <v>-1</v>
      </c>
      <c r="P36" s="19">
        <v>-0.5</v>
      </c>
      <c r="Q36" s="19">
        <v>-4</v>
      </c>
      <c r="R36" s="19">
        <v>1</v>
      </c>
      <c r="S36" s="19">
        <v>0.5</v>
      </c>
      <c r="T36" s="19">
        <v>2.5</v>
      </c>
      <c r="U36" s="13"/>
    </row>
    <row r="37" spans="1:21" x14ac:dyDescent="0.25">
      <c r="A37" s="34">
        <v>41557</v>
      </c>
      <c r="B37" s="28">
        <v>0.02</v>
      </c>
      <c r="C37" s="31">
        <f t="shared" si="2"/>
        <v>0.50800000000000001</v>
      </c>
      <c r="D37" s="32">
        <f t="shared" si="3"/>
        <v>4.1798596491228075</v>
      </c>
      <c r="E37" s="32">
        <f t="shared" si="4"/>
        <v>7.8491009498771449</v>
      </c>
      <c r="F37" s="33">
        <f t="shared" si="5"/>
        <v>-3.6718596491228075</v>
      </c>
      <c r="G37" s="33">
        <f t="shared" si="6"/>
        <v>-0.46780639879275343</v>
      </c>
      <c r="I37" s="18">
        <v>-0.5</v>
      </c>
      <c r="J37" s="18">
        <v>0.5</v>
      </c>
      <c r="K37" s="18">
        <v>-2</v>
      </c>
      <c r="L37" s="18">
        <v>1</v>
      </c>
      <c r="M37" s="18">
        <v>1.5</v>
      </c>
      <c r="N37" s="18">
        <v>2</v>
      </c>
      <c r="O37" s="19">
        <f t="shared" si="7"/>
        <v>-1</v>
      </c>
      <c r="P37" s="19">
        <v>-0.5</v>
      </c>
      <c r="Q37" s="19">
        <v>-4</v>
      </c>
      <c r="R37" s="19">
        <v>1</v>
      </c>
      <c r="S37" s="19">
        <v>0.5</v>
      </c>
      <c r="T37" s="19">
        <v>2.5</v>
      </c>
      <c r="U37" s="13"/>
    </row>
    <row r="38" spans="1:21" x14ac:dyDescent="0.25">
      <c r="A38" s="30">
        <v>41588</v>
      </c>
      <c r="B38" s="28">
        <v>0.09</v>
      </c>
      <c r="C38" s="31">
        <f t="shared" si="2"/>
        <v>2.2859999999999996</v>
      </c>
      <c r="D38" s="32">
        <f t="shared" si="3"/>
        <v>4.1798596491228075</v>
      </c>
      <c r="E38" s="32">
        <f t="shared" si="4"/>
        <v>7.8491009498771449</v>
      </c>
      <c r="F38" s="33">
        <f t="shared" si="5"/>
        <v>-1.8938596491228079</v>
      </c>
      <c r="G38" s="33">
        <f t="shared" si="6"/>
        <v>-0.24128364015402948</v>
      </c>
      <c r="I38" s="18">
        <v>-0.5</v>
      </c>
      <c r="J38" s="18">
        <v>0.5</v>
      </c>
      <c r="K38" s="18">
        <v>-2</v>
      </c>
      <c r="L38" s="18">
        <v>1</v>
      </c>
      <c r="M38" s="18">
        <v>1.5</v>
      </c>
      <c r="N38" s="18">
        <v>2</v>
      </c>
      <c r="O38" s="19">
        <f t="shared" si="7"/>
        <v>-1</v>
      </c>
      <c r="P38" s="19">
        <v>-0.5</v>
      </c>
      <c r="Q38" s="19">
        <v>-4</v>
      </c>
      <c r="R38" s="19">
        <v>1</v>
      </c>
      <c r="S38" s="19">
        <v>0.5</v>
      </c>
      <c r="T38" s="19">
        <v>2.5</v>
      </c>
    </row>
    <row r="39" spans="1:21" x14ac:dyDescent="0.25">
      <c r="A39" s="30">
        <v>41618</v>
      </c>
      <c r="B39" s="28">
        <v>0.83</v>
      </c>
      <c r="C39" s="31">
        <f t="shared" si="2"/>
        <v>21.081999999999997</v>
      </c>
      <c r="D39" s="32">
        <f t="shared" si="3"/>
        <v>4.1798596491228075</v>
      </c>
      <c r="E39" s="32">
        <f t="shared" si="4"/>
        <v>7.8491009498771449</v>
      </c>
      <c r="F39" s="33">
        <f t="shared" si="5"/>
        <v>16.90214035087719</v>
      </c>
      <c r="G39" s="33">
        <f t="shared" si="6"/>
        <v>2.1533855225981955</v>
      </c>
      <c r="I39" s="18">
        <v>-0.5</v>
      </c>
      <c r="J39" s="18">
        <v>0.5</v>
      </c>
      <c r="K39" s="18">
        <v>-2</v>
      </c>
      <c r="L39" s="18">
        <v>1</v>
      </c>
      <c r="M39" s="18">
        <v>1.5</v>
      </c>
      <c r="N39" s="18">
        <v>2</v>
      </c>
      <c r="O39" s="19">
        <f t="shared" si="7"/>
        <v>-1</v>
      </c>
      <c r="P39" s="19">
        <v>-0.5</v>
      </c>
      <c r="Q39" s="19">
        <v>-4</v>
      </c>
      <c r="R39" s="19">
        <v>1</v>
      </c>
      <c r="S39" s="19">
        <v>0.5</v>
      </c>
      <c r="T39" s="19">
        <v>2.5</v>
      </c>
    </row>
    <row r="40" spans="1:21" x14ac:dyDescent="0.25">
      <c r="A40" s="30">
        <v>41649</v>
      </c>
      <c r="B40" s="28">
        <v>0.08</v>
      </c>
      <c r="C40" s="31">
        <f t="shared" si="2"/>
        <v>2.032</v>
      </c>
      <c r="D40" s="32">
        <f t="shared" si="3"/>
        <v>4.1798596491228075</v>
      </c>
      <c r="E40" s="32">
        <f t="shared" si="4"/>
        <v>7.8491009498771449</v>
      </c>
      <c r="F40" s="33">
        <f t="shared" si="5"/>
        <v>-2.1478596491228075</v>
      </c>
      <c r="G40" s="33">
        <f t="shared" si="6"/>
        <v>-0.27364403424527572</v>
      </c>
      <c r="I40" s="18">
        <v>-0.5</v>
      </c>
      <c r="J40" s="18">
        <v>0.5</v>
      </c>
      <c r="K40" s="18">
        <v>-2</v>
      </c>
      <c r="L40" s="18">
        <v>1</v>
      </c>
      <c r="M40" s="18">
        <v>1.5</v>
      </c>
      <c r="N40" s="18">
        <v>2</v>
      </c>
      <c r="O40" s="19">
        <f t="shared" si="7"/>
        <v>-1</v>
      </c>
      <c r="P40" s="19">
        <v>-0.5</v>
      </c>
      <c r="Q40" s="19">
        <v>-4</v>
      </c>
      <c r="R40" s="19">
        <v>1</v>
      </c>
      <c r="S40" s="19">
        <v>0.5</v>
      </c>
      <c r="T40" s="19">
        <v>2.5</v>
      </c>
    </row>
    <row r="41" spans="1:21" x14ac:dyDescent="0.25">
      <c r="A41" s="30">
        <v>41680</v>
      </c>
      <c r="B41" s="28">
        <v>0.39</v>
      </c>
      <c r="C41" s="31">
        <f t="shared" si="2"/>
        <v>9.9060000000000006</v>
      </c>
      <c r="D41" s="32">
        <f t="shared" si="3"/>
        <v>4.1798596491228075</v>
      </c>
      <c r="E41" s="32">
        <f t="shared" si="4"/>
        <v>7.8491009498771449</v>
      </c>
      <c r="F41" s="33">
        <f t="shared" si="5"/>
        <v>5.7261403508771931</v>
      </c>
      <c r="G41" s="33">
        <f t="shared" si="6"/>
        <v>0.72952818258335939</v>
      </c>
      <c r="I41" s="18">
        <v>-0.5</v>
      </c>
      <c r="J41" s="18">
        <v>0.5</v>
      </c>
      <c r="K41" s="18">
        <v>-2</v>
      </c>
      <c r="L41" s="18">
        <v>1</v>
      </c>
      <c r="M41" s="18">
        <v>1.5</v>
      </c>
      <c r="N41" s="18">
        <v>2</v>
      </c>
      <c r="O41" s="19">
        <f t="shared" si="7"/>
        <v>-1</v>
      </c>
      <c r="P41" s="19">
        <v>-0.5</v>
      </c>
      <c r="Q41" s="19">
        <v>-4</v>
      </c>
      <c r="R41" s="19">
        <v>1</v>
      </c>
      <c r="S41" s="19">
        <v>0.5</v>
      </c>
      <c r="T41" s="19">
        <v>2.5</v>
      </c>
    </row>
    <row r="42" spans="1:21" x14ac:dyDescent="0.25">
      <c r="A42" s="30">
        <v>41708</v>
      </c>
      <c r="B42" s="28">
        <v>2.2999999999999998</v>
      </c>
      <c r="C42" s="31">
        <f t="shared" si="2"/>
        <v>58.419999999999995</v>
      </c>
      <c r="D42" s="32">
        <f t="shared" si="3"/>
        <v>4.1798596491228075</v>
      </c>
      <c r="E42" s="32">
        <f t="shared" si="4"/>
        <v>7.8491009498771449</v>
      </c>
      <c r="F42" s="33">
        <f t="shared" si="5"/>
        <v>54.240140350877184</v>
      </c>
      <c r="G42" s="33">
        <f t="shared" si="6"/>
        <v>6.9103634540113994</v>
      </c>
      <c r="I42" s="18">
        <v>-0.5</v>
      </c>
      <c r="J42" s="18">
        <v>0.5</v>
      </c>
      <c r="K42" s="18">
        <v>-2</v>
      </c>
      <c r="L42" s="18">
        <v>1</v>
      </c>
      <c r="M42" s="18">
        <v>1.5</v>
      </c>
      <c r="N42" s="18">
        <v>2</v>
      </c>
      <c r="O42" s="19">
        <f t="shared" si="7"/>
        <v>-1</v>
      </c>
      <c r="P42" s="19">
        <v>-0.5</v>
      </c>
      <c r="Q42" s="19">
        <v>-4</v>
      </c>
      <c r="R42" s="19">
        <v>1</v>
      </c>
      <c r="S42" s="19">
        <v>0.5</v>
      </c>
      <c r="T42" s="19">
        <v>2.5</v>
      </c>
    </row>
    <row r="43" spans="1:21" x14ac:dyDescent="0.25">
      <c r="A43" s="30">
        <v>41739</v>
      </c>
      <c r="B43" s="28">
        <v>0.41</v>
      </c>
      <c r="C43" s="31">
        <f t="shared" si="2"/>
        <v>10.413999999999998</v>
      </c>
      <c r="D43" s="32">
        <f t="shared" si="3"/>
        <v>4.1798596491228075</v>
      </c>
      <c r="E43" s="32">
        <f t="shared" si="4"/>
        <v>7.8491009498771449</v>
      </c>
      <c r="F43" s="33">
        <f t="shared" si="5"/>
        <v>6.2341403508771904</v>
      </c>
      <c r="G43" s="33">
        <f t="shared" si="6"/>
        <v>0.79424897076585155</v>
      </c>
      <c r="I43" s="18">
        <v>-0.5</v>
      </c>
      <c r="J43" s="18">
        <v>0.5</v>
      </c>
      <c r="K43" s="18">
        <v>-2</v>
      </c>
      <c r="L43" s="18">
        <v>1</v>
      </c>
      <c r="M43" s="18">
        <v>1.5</v>
      </c>
      <c r="N43" s="18">
        <v>2</v>
      </c>
      <c r="O43" s="19">
        <f t="shared" si="7"/>
        <v>-1</v>
      </c>
      <c r="P43" s="19">
        <v>-0.5</v>
      </c>
      <c r="Q43" s="19">
        <v>-4</v>
      </c>
      <c r="R43" s="19">
        <v>1</v>
      </c>
      <c r="S43" s="19">
        <v>0.5</v>
      </c>
      <c r="T43" s="19">
        <v>2.5</v>
      </c>
    </row>
    <row r="44" spans="1:21" x14ac:dyDescent="0.25">
      <c r="A44" s="30">
        <v>41769</v>
      </c>
      <c r="B44" s="28">
        <v>0.27</v>
      </c>
      <c r="C44" s="31">
        <f t="shared" si="2"/>
        <v>6.8579999999999997</v>
      </c>
      <c r="D44" s="32">
        <f t="shared" si="3"/>
        <v>4.1798596491228075</v>
      </c>
      <c r="E44" s="32">
        <f t="shared" si="4"/>
        <v>7.8491009498771449</v>
      </c>
      <c r="F44" s="33">
        <f t="shared" si="5"/>
        <v>2.6781403508771922</v>
      </c>
      <c r="G44" s="33">
        <f t="shared" si="6"/>
        <v>0.34120345348840375</v>
      </c>
      <c r="I44" s="18">
        <v>-0.5</v>
      </c>
      <c r="J44" s="18">
        <v>0.5</v>
      </c>
      <c r="K44" s="18">
        <v>-2</v>
      </c>
      <c r="L44" s="18">
        <v>1</v>
      </c>
      <c r="M44" s="18">
        <v>1.5</v>
      </c>
      <c r="N44" s="18">
        <v>2</v>
      </c>
      <c r="O44" s="19">
        <f t="shared" si="7"/>
        <v>-1</v>
      </c>
      <c r="P44" s="19">
        <v>-0.5</v>
      </c>
      <c r="Q44" s="19">
        <v>-4</v>
      </c>
      <c r="R44" s="19">
        <v>1</v>
      </c>
      <c r="S44" s="19">
        <v>0.5</v>
      </c>
      <c r="T44" s="19">
        <v>2.5</v>
      </c>
    </row>
    <row r="45" spans="1:21" x14ac:dyDescent="0.25">
      <c r="A45" s="34">
        <v>41800</v>
      </c>
      <c r="B45" s="28">
        <v>0.24</v>
      </c>
      <c r="C45" s="31">
        <f t="shared" si="2"/>
        <v>6.0959999999999992</v>
      </c>
      <c r="D45" s="32">
        <f t="shared" si="3"/>
        <v>4.1798596491228075</v>
      </c>
      <c r="E45" s="32">
        <f t="shared" si="4"/>
        <v>7.8491009498771449</v>
      </c>
      <c r="F45" s="33">
        <f t="shared" si="5"/>
        <v>1.9161403508771917</v>
      </c>
      <c r="G45" s="33">
        <f t="shared" si="6"/>
        <v>0.24412227121466482</v>
      </c>
      <c r="I45" s="18">
        <v>-0.5</v>
      </c>
      <c r="J45" s="18">
        <v>0.5</v>
      </c>
      <c r="K45" s="18">
        <v>-2</v>
      </c>
      <c r="L45" s="18">
        <v>1</v>
      </c>
      <c r="M45" s="18">
        <v>1.5</v>
      </c>
      <c r="N45" s="18">
        <v>2</v>
      </c>
      <c r="O45" s="19">
        <f t="shared" si="7"/>
        <v>-1</v>
      </c>
      <c r="P45" s="19">
        <v>-0.5</v>
      </c>
      <c r="Q45" s="19">
        <v>-4</v>
      </c>
      <c r="R45" s="19">
        <v>1</v>
      </c>
      <c r="S45" s="19">
        <v>0.5</v>
      </c>
      <c r="T45" s="19">
        <v>2.5</v>
      </c>
    </row>
    <row r="46" spans="1:21" x14ac:dyDescent="0.25">
      <c r="A46" s="30">
        <v>41830</v>
      </c>
      <c r="B46" s="28">
        <v>0.15</v>
      </c>
      <c r="C46" s="31">
        <f t="shared" si="2"/>
        <v>3.8099999999999996</v>
      </c>
      <c r="D46" s="32">
        <f t="shared" si="3"/>
        <v>4.1798596491228075</v>
      </c>
      <c r="E46" s="32">
        <f t="shared" si="4"/>
        <v>7.8491009498771449</v>
      </c>
      <c r="F46" s="33">
        <f t="shared" si="5"/>
        <v>-0.36985964912280789</v>
      </c>
      <c r="G46" s="33">
        <f t="shared" si="6"/>
        <v>-4.7121275606551723E-2</v>
      </c>
      <c r="I46" s="18">
        <v>-0.5</v>
      </c>
      <c r="J46" s="18">
        <v>0.5</v>
      </c>
      <c r="K46" s="18">
        <v>-2</v>
      </c>
      <c r="L46" s="18">
        <v>1</v>
      </c>
      <c r="M46" s="18">
        <v>1.5</v>
      </c>
      <c r="N46" s="18">
        <v>2</v>
      </c>
      <c r="O46" s="19">
        <f t="shared" si="7"/>
        <v>-1</v>
      </c>
      <c r="P46" s="19">
        <v>-0.5</v>
      </c>
      <c r="Q46" s="19">
        <v>-4</v>
      </c>
      <c r="R46" s="19">
        <v>1</v>
      </c>
      <c r="S46" s="19">
        <v>0.5</v>
      </c>
      <c r="T46" s="19">
        <v>2.5</v>
      </c>
    </row>
    <row r="47" spans="1:21" x14ac:dyDescent="0.25">
      <c r="A47" s="30">
        <v>41861</v>
      </c>
      <c r="B47" s="28">
        <v>0.05</v>
      </c>
      <c r="C47" s="31">
        <f t="shared" si="2"/>
        <v>1.27</v>
      </c>
      <c r="D47" s="32">
        <f t="shared" si="3"/>
        <v>4.1798596491228075</v>
      </c>
      <c r="E47" s="32">
        <f t="shared" si="4"/>
        <v>7.8491009498771449</v>
      </c>
      <c r="F47" s="33">
        <f t="shared" si="5"/>
        <v>-2.9098596491228075</v>
      </c>
      <c r="G47" s="33">
        <f t="shared" si="6"/>
        <v>-0.37072521651901458</v>
      </c>
      <c r="I47" s="18">
        <v>-0.5</v>
      </c>
      <c r="J47" s="18">
        <v>0.5</v>
      </c>
      <c r="K47" s="18">
        <v>-2</v>
      </c>
      <c r="L47" s="18">
        <v>1</v>
      </c>
      <c r="M47" s="18">
        <v>1.5</v>
      </c>
      <c r="N47" s="18">
        <v>2</v>
      </c>
      <c r="O47" s="19">
        <f t="shared" si="7"/>
        <v>-1</v>
      </c>
      <c r="P47" s="19">
        <v>-0.5</v>
      </c>
      <c r="Q47" s="19">
        <v>-4</v>
      </c>
      <c r="R47" s="19">
        <v>1</v>
      </c>
      <c r="S47" s="19">
        <v>0.5</v>
      </c>
      <c r="T47" s="19">
        <v>2.5</v>
      </c>
    </row>
    <row r="48" spans="1:21" x14ac:dyDescent="0.25">
      <c r="A48" s="30">
        <v>41892</v>
      </c>
      <c r="B48" s="28">
        <v>0</v>
      </c>
      <c r="C48" s="31">
        <f t="shared" si="2"/>
        <v>0</v>
      </c>
      <c r="D48" s="32">
        <f t="shared" si="3"/>
        <v>4.1798596491228075</v>
      </c>
      <c r="E48" s="32">
        <f t="shared" si="4"/>
        <v>7.8491009498771449</v>
      </c>
      <c r="F48" s="33">
        <f t="shared" si="5"/>
        <v>-4.1798596491228075</v>
      </c>
      <c r="G48" s="33">
        <f t="shared" si="6"/>
        <v>-0.53252718697524604</v>
      </c>
      <c r="I48" s="18">
        <v>-0.5</v>
      </c>
      <c r="J48" s="18">
        <v>0.5</v>
      </c>
      <c r="K48" s="18">
        <v>-2</v>
      </c>
      <c r="L48" s="18">
        <v>1</v>
      </c>
      <c r="M48" s="18">
        <v>1.5</v>
      </c>
      <c r="N48" s="18">
        <v>2</v>
      </c>
      <c r="O48" s="19">
        <f t="shared" si="7"/>
        <v>-1</v>
      </c>
      <c r="P48" s="19">
        <v>-0.5</v>
      </c>
      <c r="Q48" s="19">
        <v>-4</v>
      </c>
      <c r="R48" s="19">
        <v>1</v>
      </c>
      <c r="S48" s="19">
        <v>0.5</v>
      </c>
      <c r="T48" s="19">
        <v>2.5</v>
      </c>
    </row>
    <row r="49" spans="1:20" x14ac:dyDescent="0.25">
      <c r="A49" s="30">
        <v>41922</v>
      </c>
      <c r="B49" s="28">
        <v>0.08</v>
      </c>
      <c r="C49" s="31">
        <f t="shared" si="2"/>
        <v>2.032</v>
      </c>
      <c r="D49" s="32">
        <f t="shared" si="3"/>
        <v>4.1798596491228075</v>
      </c>
      <c r="E49" s="32">
        <f t="shared" si="4"/>
        <v>7.8491009498771449</v>
      </c>
      <c r="F49" s="33">
        <f t="shared" si="5"/>
        <v>-2.1478596491228075</v>
      </c>
      <c r="G49" s="33">
        <f t="shared" si="6"/>
        <v>-0.27364403424527572</v>
      </c>
      <c r="I49" s="18">
        <v>-0.5</v>
      </c>
      <c r="J49" s="18">
        <v>0.5</v>
      </c>
      <c r="K49" s="18">
        <v>-2</v>
      </c>
      <c r="L49" s="18">
        <v>1</v>
      </c>
      <c r="M49" s="18">
        <v>1.5</v>
      </c>
      <c r="N49" s="18">
        <v>2</v>
      </c>
      <c r="O49" s="19">
        <f t="shared" si="7"/>
        <v>-1</v>
      </c>
      <c r="P49" s="19">
        <v>-0.5</v>
      </c>
      <c r="Q49" s="19">
        <v>-4</v>
      </c>
      <c r="R49" s="19">
        <v>1</v>
      </c>
      <c r="S49" s="19">
        <v>0.5</v>
      </c>
      <c r="T49" s="19">
        <v>2.5</v>
      </c>
    </row>
    <row r="50" spans="1:20" x14ac:dyDescent="0.25">
      <c r="A50" s="30">
        <v>41953</v>
      </c>
      <c r="B50" s="28">
        <v>0.11</v>
      </c>
      <c r="C50" s="31">
        <f t="shared" si="2"/>
        <v>2.794</v>
      </c>
      <c r="D50" s="32">
        <f t="shared" si="3"/>
        <v>4.1798596491228075</v>
      </c>
      <c r="E50" s="32">
        <f t="shared" si="4"/>
        <v>7.8491009498771449</v>
      </c>
      <c r="F50" s="33">
        <f t="shared" si="5"/>
        <v>-1.3858596491228075</v>
      </c>
      <c r="G50" s="33">
        <f t="shared" si="6"/>
        <v>-0.17656285197153682</v>
      </c>
      <c r="I50" s="18">
        <v>-0.5</v>
      </c>
      <c r="J50" s="18">
        <v>0.5</v>
      </c>
      <c r="K50" s="18">
        <v>-2</v>
      </c>
      <c r="L50" s="18">
        <v>1</v>
      </c>
      <c r="M50" s="18">
        <v>1.5</v>
      </c>
      <c r="N50" s="18">
        <v>2</v>
      </c>
      <c r="O50" s="19">
        <f t="shared" si="7"/>
        <v>-1</v>
      </c>
      <c r="P50" s="19">
        <v>-0.5</v>
      </c>
      <c r="Q50" s="19">
        <v>-4</v>
      </c>
      <c r="R50" s="19">
        <v>1</v>
      </c>
      <c r="S50" s="19">
        <v>0.5</v>
      </c>
      <c r="T50" s="19">
        <v>2.5</v>
      </c>
    </row>
    <row r="51" spans="1:20" x14ac:dyDescent="0.25">
      <c r="A51" s="30">
        <v>41983</v>
      </c>
      <c r="B51" s="28">
        <v>0.34</v>
      </c>
      <c r="C51" s="31">
        <f t="shared" si="2"/>
        <v>8.636000000000001</v>
      </c>
      <c r="D51" s="32">
        <f t="shared" si="3"/>
        <v>4.1798596491228075</v>
      </c>
      <c r="E51" s="32">
        <f t="shared" si="4"/>
        <v>7.8491009498771449</v>
      </c>
      <c r="F51" s="33">
        <f t="shared" si="5"/>
        <v>4.4561403508771935</v>
      </c>
      <c r="G51" s="33">
        <f t="shared" si="6"/>
        <v>0.56772621212712793</v>
      </c>
      <c r="I51" s="18">
        <v>-0.5</v>
      </c>
      <c r="J51" s="18">
        <v>0.5</v>
      </c>
      <c r="K51" s="18">
        <v>-2</v>
      </c>
      <c r="L51" s="18">
        <v>1</v>
      </c>
      <c r="M51" s="18">
        <v>1.5</v>
      </c>
      <c r="N51" s="18">
        <v>2</v>
      </c>
      <c r="O51" s="19">
        <f t="shared" si="7"/>
        <v>-1</v>
      </c>
      <c r="P51" s="19">
        <v>-0.5</v>
      </c>
      <c r="Q51" s="19">
        <v>-4</v>
      </c>
      <c r="R51" s="19">
        <v>1</v>
      </c>
      <c r="S51" s="19">
        <v>0.5</v>
      </c>
      <c r="T51" s="19">
        <v>2.5</v>
      </c>
    </row>
    <row r="52" spans="1:20" x14ac:dyDescent="0.25">
      <c r="A52" s="30">
        <v>42014</v>
      </c>
      <c r="B52" s="28">
        <v>0.01</v>
      </c>
      <c r="C52" s="31">
        <f t="shared" si="2"/>
        <v>0.254</v>
      </c>
      <c r="D52" s="32">
        <f t="shared" si="3"/>
        <v>4.1798596491228075</v>
      </c>
      <c r="E52" s="32">
        <f t="shared" si="4"/>
        <v>7.8491009498771449</v>
      </c>
      <c r="F52" s="33">
        <f t="shared" si="5"/>
        <v>-3.9258596491228075</v>
      </c>
      <c r="G52" s="33">
        <f t="shared" si="6"/>
        <v>-0.50016679288399968</v>
      </c>
      <c r="I52" s="18">
        <v>-0.5</v>
      </c>
      <c r="J52" s="18">
        <v>0.5</v>
      </c>
      <c r="K52" s="18">
        <v>-2</v>
      </c>
      <c r="L52" s="18">
        <v>1</v>
      </c>
      <c r="M52" s="18">
        <v>1.5</v>
      </c>
      <c r="N52" s="18">
        <v>2</v>
      </c>
      <c r="O52" s="19">
        <f t="shared" si="7"/>
        <v>-1</v>
      </c>
      <c r="P52" s="19">
        <v>-0.5</v>
      </c>
      <c r="Q52" s="19">
        <v>-4</v>
      </c>
      <c r="R52" s="19">
        <v>1</v>
      </c>
      <c r="S52" s="19">
        <v>0.5</v>
      </c>
      <c r="T52" s="19">
        <v>2.5</v>
      </c>
    </row>
    <row r="53" spans="1:20" x14ac:dyDescent="0.25">
      <c r="A53" s="34">
        <v>42045</v>
      </c>
      <c r="B53" s="28">
        <v>0.22</v>
      </c>
      <c r="C53" s="31">
        <f t="shared" si="2"/>
        <v>5.5880000000000001</v>
      </c>
      <c r="D53" s="32">
        <f t="shared" si="3"/>
        <v>4.1798596491228075</v>
      </c>
      <c r="E53" s="32">
        <f t="shared" si="4"/>
        <v>7.8491009498771449</v>
      </c>
      <c r="F53" s="33">
        <f t="shared" si="5"/>
        <v>1.4081403508771926</v>
      </c>
      <c r="G53" s="33">
        <f t="shared" si="6"/>
        <v>0.17940148303217235</v>
      </c>
      <c r="I53" s="18">
        <v>-0.5</v>
      </c>
      <c r="J53" s="18">
        <v>0.5</v>
      </c>
      <c r="K53" s="18">
        <v>-2</v>
      </c>
      <c r="L53" s="18">
        <v>1</v>
      </c>
      <c r="M53" s="18">
        <v>1.5</v>
      </c>
      <c r="N53" s="18">
        <v>2</v>
      </c>
      <c r="O53" s="19">
        <f t="shared" si="7"/>
        <v>-1</v>
      </c>
      <c r="P53" s="19">
        <v>-0.5</v>
      </c>
      <c r="Q53" s="19">
        <v>-4</v>
      </c>
      <c r="R53" s="19">
        <v>1</v>
      </c>
      <c r="S53" s="19">
        <v>0.5</v>
      </c>
      <c r="T53" s="19">
        <v>2.5</v>
      </c>
    </row>
    <row r="54" spans="1:20" x14ac:dyDescent="0.25">
      <c r="A54" s="30">
        <v>42073</v>
      </c>
      <c r="B54" s="28">
        <v>0.16</v>
      </c>
      <c r="C54" s="31">
        <f t="shared" si="2"/>
        <v>4.0640000000000001</v>
      </c>
      <c r="D54" s="32">
        <f t="shared" si="3"/>
        <v>4.1798596491228075</v>
      </c>
      <c r="E54" s="32">
        <f t="shared" si="4"/>
        <v>7.8491009498771449</v>
      </c>
      <c r="F54" s="33">
        <f t="shared" si="5"/>
        <v>-0.11585964912280744</v>
      </c>
      <c r="G54" s="33">
        <f t="shared" si="6"/>
        <v>-1.4760881515305378E-2</v>
      </c>
      <c r="I54" s="18">
        <v>-0.5</v>
      </c>
      <c r="J54" s="18">
        <v>0.5</v>
      </c>
      <c r="K54" s="18">
        <v>-2</v>
      </c>
      <c r="L54" s="18">
        <v>1</v>
      </c>
      <c r="M54" s="18">
        <v>1.5</v>
      </c>
      <c r="N54" s="18">
        <v>2</v>
      </c>
      <c r="O54" s="19">
        <f t="shared" si="7"/>
        <v>-1</v>
      </c>
      <c r="P54" s="19">
        <v>-0.5</v>
      </c>
      <c r="Q54" s="19">
        <v>-4</v>
      </c>
      <c r="R54" s="19">
        <v>1</v>
      </c>
      <c r="S54" s="19">
        <v>0.5</v>
      </c>
      <c r="T54" s="19">
        <v>2.5</v>
      </c>
    </row>
    <row r="55" spans="1:20" x14ac:dyDescent="0.25">
      <c r="A55" s="30">
        <v>42104</v>
      </c>
      <c r="B55" s="28">
        <v>0.06</v>
      </c>
      <c r="C55" s="31">
        <f t="shared" si="2"/>
        <v>1.5239999999999998</v>
      </c>
      <c r="D55" s="32">
        <f t="shared" si="3"/>
        <v>4.1798596491228075</v>
      </c>
      <c r="E55" s="32">
        <f t="shared" si="4"/>
        <v>7.8491009498771449</v>
      </c>
      <c r="F55" s="33">
        <f t="shared" si="5"/>
        <v>-2.6558596491228075</v>
      </c>
      <c r="G55" s="33">
        <f t="shared" si="6"/>
        <v>-0.33836482242776827</v>
      </c>
      <c r="I55" s="18">
        <v>-0.5</v>
      </c>
      <c r="J55" s="18">
        <v>0.5</v>
      </c>
      <c r="K55" s="18">
        <v>-2</v>
      </c>
      <c r="L55" s="18">
        <v>1</v>
      </c>
      <c r="M55" s="18">
        <v>1.5</v>
      </c>
      <c r="N55" s="18">
        <v>2</v>
      </c>
      <c r="O55" s="19">
        <f t="shared" si="7"/>
        <v>-1</v>
      </c>
      <c r="P55" s="19">
        <v>-0.5</v>
      </c>
      <c r="Q55" s="19">
        <v>-4</v>
      </c>
      <c r="R55" s="19">
        <v>1</v>
      </c>
      <c r="S55" s="19">
        <v>0.5</v>
      </c>
      <c r="T55" s="19">
        <v>2.5</v>
      </c>
    </row>
    <row r="56" spans="1:20" x14ac:dyDescent="0.25">
      <c r="A56" s="30">
        <v>42134</v>
      </c>
      <c r="B56" s="28">
        <v>0.02</v>
      </c>
      <c r="C56" s="31">
        <f t="shared" si="2"/>
        <v>0.50800000000000001</v>
      </c>
      <c r="D56" s="32">
        <f t="shared" si="3"/>
        <v>4.1798596491228075</v>
      </c>
      <c r="E56" s="32">
        <f t="shared" si="4"/>
        <v>7.8491009498771449</v>
      </c>
      <c r="F56" s="33">
        <f t="shared" si="5"/>
        <v>-3.6718596491228075</v>
      </c>
      <c r="G56" s="33">
        <f t="shared" si="6"/>
        <v>-0.46780639879275343</v>
      </c>
      <c r="I56" s="18">
        <v>-0.5</v>
      </c>
      <c r="J56" s="18">
        <v>0.5</v>
      </c>
      <c r="K56" s="18">
        <v>-2</v>
      </c>
      <c r="L56" s="18">
        <v>1</v>
      </c>
      <c r="M56" s="18">
        <v>1.5</v>
      </c>
      <c r="N56" s="18">
        <v>2</v>
      </c>
      <c r="O56" s="19">
        <f t="shared" si="7"/>
        <v>-1</v>
      </c>
      <c r="P56" s="19">
        <v>-0.5</v>
      </c>
      <c r="Q56" s="19">
        <v>-4</v>
      </c>
      <c r="R56" s="19">
        <v>1</v>
      </c>
      <c r="S56" s="19">
        <v>0.5</v>
      </c>
      <c r="T56" s="19">
        <v>2.5</v>
      </c>
    </row>
    <row r="57" spans="1:20" x14ac:dyDescent="0.25">
      <c r="A57" s="30">
        <v>42165</v>
      </c>
      <c r="B57" s="28">
        <v>0.04</v>
      </c>
      <c r="C57" s="31">
        <f t="shared" si="2"/>
        <v>1.016</v>
      </c>
      <c r="D57" s="32">
        <f t="shared" si="3"/>
        <v>4.1798596491228075</v>
      </c>
      <c r="E57" s="32">
        <f t="shared" si="4"/>
        <v>7.8491009498771449</v>
      </c>
      <c r="F57" s="33">
        <f t="shared" si="5"/>
        <v>-3.1638596491228075</v>
      </c>
      <c r="G57" s="33">
        <f t="shared" si="6"/>
        <v>-0.40308561061026088</v>
      </c>
      <c r="I57" s="18">
        <v>-0.5</v>
      </c>
      <c r="J57" s="18">
        <v>0.5</v>
      </c>
      <c r="K57" s="18">
        <v>-2</v>
      </c>
      <c r="L57" s="18">
        <v>1</v>
      </c>
      <c r="M57" s="18">
        <v>1.5</v>
      </c>
      <c r="N57" s="18">
        <v>2</v>
      </c>
      <c r="O57" s="19">
        <f t="shared" si="7"/>
        <v>-1</v>
      </c>
      <c r="P57" s="19">
        <v>-0.5</v>
      </c>
      <c r="Q57" s="19">
        <v>-4</v>
      </c>
      <c r="R57" s="19">
        <v>1</v>
      </c>
      <c r="S57" s="19">
        <v>0.5</v>
      </c>
      <c r="T57" s="19">
        <v>2.5</v>
      </c>
    </row>
    <row r="58" spans="1:20" x14ac:dyDescent="0.25">
      <c r="A58" s="30">
        <v>42195</v>
      </c>
      <c r="B58" s="28">
        <v>0.02</v>
      </c>
      <c r="C58" s="31">
        <f t="shared" si="2"/>
        <v>0.50800000000000001</v>
      </c>
      <c r="D58" s="32">
        <f t="shared" si="3"/>
        <v>4.1798596491228075</v>
      </c>
      <c r="E58" s="32">
        <f t="shared" si="4"/>
        <v>7.8491009498771449</v>
      </c>
      <c r="F58" s="33">
        <f t="shared" si="5"/>
        <v>-3.6718596491228075</v>
      </c>
      <c r="G58" s="33">
        <f t="shared" si="6"/>
        <v>-0.46780639879275343</v>
      </c>
      <c r="I58" s="18">
        <v>-0.5</v>
      </c>
      <c r="J58" s="18">
        <v>0.5</v>
      </c>
      <c r="K58" s="18">
        <v>-2</v>
      </c>
      <c r="L58" s="18">
        <v>1</v>
      </c>
      <c r="M58" s="18">
        <v>1.5</v>
      </c>
      <c r="N58" s="18">
        <v>2</v>
      </c>
      <c r="O58" s="19">
        <f t="shared" si="7"/>
        <v>-1</v>
      </c>
      <c r="P58" s="19">
        <v>-0.5</v>
      </c>
      <c r="Q58" s="19">
        <v>-4</v>
      </c>
      <c r="R58" s="19">
        <v>1</v>
      </c>
      <c r="S58" s="19">
        <v>0.5</v>
      </c>
      <c r="T58" s="19">
        <v>2.5</v>
      </c>
    </row>
    <row r="59" spans="1:20" x14ac:dyDescent="0.25">
      <c r="A59" s="30">
        <v>42226</v>
      </c>
      <c r="B59" s="28">
        <v>0</v>
      </c>
      <c r="C59" s="31">
        <f t="shared" si="2"/>
        <v>0</v>
      </c>
      <c r="D59" s="32">
        <f t="shared" si="3"/>
        <v>4.1798596491228075</v>
      </c>
      <c r="E59" s="32">
        <f t="shared" si="4"/>
        <v>7.8491009498771449</v>
      </c>
      <c r="F59" s="33">
        <f t="shared" si="5"/>
        <v>-4.1798596491228075</v>
      </c>
      <c r="G59" s="33">
        <f t="shared" si="6"/>
        <v>-0.53252718697524604</v>
      </c>
      <c r="I59" s="18">
        <v>-0.5</v>
      </c>
      <c r="J59" s="18">
        <v>0.5</v>
      </c>
      <c r="K59" s="18">
        <v>-2</v>
      </c>
      <c r="L59" s="18">
        <v>1</v>
      </c>
      <c r="M59" s="18">
        <v>1.5</v>
      </c>
      <c r="N59" s="18">
        <v>2</v>
      </c>
      <c r="O59" s="19">
        <f t="shared" si="7"/>
        <v>-1</v>
      </c>
      <c r="P59" s="19">
        <v>-0.5</v>
      </c>
      <c r="Q59" s="19">
        <v>-4</v>
      </c>
      <c r="R59" s="19">
        <v>1</v>
      </c>
      <c r="S59" s="19">
        <v>0.5</v>
      </c>
      <c r="T59" s="19">
        <v>2.5</v>
      </c>
    </row>
    <row r="60" spans="1:20" x14ac:dyDescent="0.25">
      <c r="A60" s="30">
        <v>42257</v>
      </c>
      <c r="B60" s="28">
        <v>0.02</v>
      </c>
      <c r="C60" s="31">
        <f t="shared" si="2"/>
        <v>0.50800000000000001</v>
      </c>
      <c r="D60" s="32">
        <f t="shared" si="3"/>
        <v>4.1798596491228075</v>
      </c>
      <c r="E60" s="32">
        <f t="shared" si="4"/>
        <v>7.8491009498771449</v>
      </c>
      <c r="F60" s="33">
        <f t="shared" si="5"/>
        <v>-3.6718596491228075</v>
      </c>
      <c r="G60" s="33">
        <f t="shared" si="6"/>
        <v>-0.46780639879275343</v>
      </c>
      <c r="I60" s="18">
        <v>-0.5</v>
      </c>
      <c r="J60" s="18">
        <v>0.5</v>
      </c>
      <c r="K60" s="18">
        <v>-2</v>
      </c>
      <c r="L60" s="18">
        <v>1</v>
      </c>
      <c r="M60" s="18">
        <v>1.5</v>
      </c>
      <c r="N60" s="18">
        <v>2</v>
      </c>
      <c r="O60" s="19">
        <f t="shared" si="7"/>
        <v>-1</v>
      </c>
      <c r="P60" s="19">
        <v>-0.5</v>
      </c>
      <c r="Q60" s="19">
        <v>-4</v>
      </c>
      <c r="R60" s="19">
        <v>1</v>
      </c>
      <c r="S60" s="19">
        <v>0.5</v>
      </c>
      <c r="T60" s="19">
        <v>2.5</v>
      </c>
    </row>
    <row r="61" spans="1:20" x14ac:dyDescent="0.25">
      <c r="A61" s="34">
        <v>42287</v>
      </c>
      <c r="B61" s="28">
        <v>0</v>
      </c>
      <c r="C61" s="31">
        <f t="shared" si="2"/>
        <v>0</v>
      </c>
      <c r="D61" s="32">
        <f t="shared" si="3"/>
        <v>4.1798596491228075</v>
      </c>
      <c r="E61" s="32">
        <f t="shared" si="4"/>
        <v>7.8491009498771449</v>
      </c>
      <c r="F61" s="33">
        <f t="shared" si="5"/>
        <v>-4.1798596491228075</v>
      </c>
      <c r="G61" s="33">
        <f t="shared" si="6"/>
        <v>-0.53252718697524604</v>
      </c>
      <c r="I61" s="18">
        <v>-0.5</v>
      </c>
      <c r="J61" s="18">
        <v>0.5</v>
      </c>
      <c r="K61" s="18">
        <v>-2</v>
      </c>
      <c r="L61" s="18">
        <v>1</v>
      </c>
      <c r="M61" s="18">
        <v>1.5</v>
      </c>
      <c r="N61" s="18">
        <v>2</v>
      </c>
      <c r="O61" s="19">
        <f t="shared" si="7"/>
        <v>-1</v>
      </c>
      <c r="P61" s="19">
        <v>-0.5</v>
      </c>
      <c r="Q61" s="19">
        <v>-4</v>
      </c>
      <c r="R61" s="19">
        <v>1</v>
      </c>
      <c r="S61" s="19">
        <v>0.5</v>
      </c>
      <c r="T61" s="19">
        <v>2.5</v>
      </c>
    </row>
    <row r="62" spans="1:20" x14ac:dyDescent="0.25">
      <c r="A62" s="30">
        <v>42318</v>
      </c>
      <c r="B62" s="28">
        <v>0.01</v>
      </c>
      <c r="C62" s="31">
        <f t="shared" si="2"/>
        <v>0.254</v>
      </c>
      <c r="D62" s="32">
        <f t="shared" si="3"/>
        <v>4.1798596491228075</v>
      </c>
      <c r="E62" s="32">
        <f t="shared" si="4"/>
        <v>7.8491009498771449</v>
      </c>
      <c r="F62" s="33">
        <f t="shared" si="5"/>
        <v>-3.9258596491228075</v>
      </c>
      <c r="G62" s="33">
        <f t="shared" si="6"/>
        <v>-0.50016679288399968</v>
      </c>
      <c r="I62" s="18">
        <v>-0.5</v>
      </c>
      <c r="J62" s="18">
        <v>0.5</v>
      </c>
      <c r="K62" s="18">
        <v>-2</v>
      </c>
      <c r="L62" s="18">
        <v>1</v>
      </c>
      <c r="M62" s="18">
        <v>1.5</v>
      </c>
      <c r="N62" s="18">
        <v>2</v>
      </c>
      <c r="O62" s="19">
        <f t="shared" si="7"/>
        <v>-1</v>
      </c>
      <c r="P62" s="19">
        <v>-0.5</v>
      </c>
      <c r="Q62" s="19">
        <v>-4</v>
      </c>
      <c r="R62" s="19">
        <v>1</v>
      </c>
      <c r="S62" s="19">
        <v>0.5</v>
      </c>
      <c r="T62" s="19">
        <v>2.5</v>
      </c>
    </row>
    <row r="63" spans="1:20" x14ac:dyDescent="0.25">
      <c r="A63" s="30">
        <v>42348</v>
      </c>
      <c r="B63" s="28">
        <v>0.01</v>
      </c>
      <c r="C63" s="31">
        <f t="shared" si="2"/>
        <v>0.254</v>
      </c>
      <c r="D63" s="32">
        <f t="shared" si="3"/>
        <v>4.1798596491228075</v>
      </c>
      <c r="E63" s="32">
        <f t="shared" si="4"/>
        <v>7.8491009498771449</v>
      </c>
      <c r="F63" s="33">
        <f t="shared" si="5"/>
        <v>-3.9258596491228075</v>
      </c>
      <c r="G63" s="33">
        <f t="shared" si="6"/>
        <v>-0.50016679288399968</v>
      </c>
      <c r="I63" s="18">
        <v>-0.5</v>
      </c>
      <c r="J63" s="18">
        <v>0.5</v>
      </c>
      <c r="K63" s="18">
        <v>-2</v>
      </c>
      <c r="L63" s="18">
        <v>1</v>
      </c>
      <c r="M63" s="18">
        <v>1.5</v>
      </c>
      <c r="N63" s="18">
        <v>2</v>
      </c>
      <c r="O63" s="19">
        <f t="shared" si="7"/>
        <v>-1</v>
      </c>
      <c r="P63" s="19">
        <v>-0.5</v>
      </c>
      <c r="Q63" s="19">
        <v>-4</v>
      </c>
      <c r="R63" s="19">
        <v>1</v>
      </c>
      <c r="S63" s="19">
        <v>0.5</v>
      </c>
      <c r="T63" s="19">
        <v>2.5</v>
      </c>
    </row>
    <row r="64" spans="1:20" x14ac:dyDescent="0.25">
      <c r="A64" s="30">
        <v>42379</v>
      </c>
      <c r="B64" s="28">
        <v>0.01</v>
      </c>
      <c r="C64" s="31">
        <f t="shared" si="2"/>
        <v>0.254</v>
      </c>
      <c r="D64" s="32">
        <f t="shared" si="3"/>
        <v>4.1798596491228075</v>
      </c>
      <c r="E64" s="32">
        <f t="shared" si="4"/>
        <v>7.8491009498771449</v>
      </c>
      <c r="F64" s="33">
        <f t="shared" si="5"/>
        <v>-3.9258596491228075</v>
      </c>
      <c r="G64" s="33">
        <f t="shared" si="6"/>
        <v>-0.50016679288399968</v>
      </c>
      <c r="I64" s="18">
        <v>-0.5</v>
      </c>
      <c r="J64" s="18">
        <v>0.5</v>
      </c>
      <c r="K64" s="18">
        <v>-2</v>
      </c>
      <c r="L64" s="18">
        <v>1</v>
      </c>
      <c r="M64" s="18">
        <v>1.5</v>
      </c>
      <c r="N64" s="18">
        <v>2</v>
      </c>
      <c r="O64" s="19">
        <f t="shared" si="7"/>
        <v>-1</v>
      </c>
      <c r="P64" s="19">
        <v>-0.5</v>
      </c>
      <c r="Q64" s="19">
        <v>-4</v>
      </c>
      <c r="R64" s="19">
        <v>1</v>
      </c>
      <c r="S64" s="19">
        <v>0.5</v>
      </c>
      <c r="T64" s="19">
        <v>2.5</v>
      </c>
    </row>
    <row r="65" spans="1:20" x14ac:dyDescent="0.25">
      <c r="A65" s="30">
        <v>42410</v>
      </c>
      <c r="B65" s="28">
        <v>0</v>
      </c>
      <c r="C65" s="31">
        <f t="shared" si="2"/>
        <v>0</v>
      </c>
      <c r="D65" s="32">
        <f t="shared" si="3"/>
        <v>4.1798596491228075</v>
      </c>
      <c r="E65" s="32">
        <f t="shared" si="4"/>
        <v>7.8491009498771449</v>
      </c>
      <c r="F65" s="33">
        <f t="shared" si="5"/>
        <v>-4.1798596491228075</v>
      </c>
      <c r="G65" s="33">
        <f t="shared" si="6"/>
        <v>-0.53252718697524604</v>
      </c>
      <c r="I65" s="18">
        <v>-0.5</v>
      </c>
      <c r="J65" s="18">
        <v>0.5</v>
      </c>
      <c r="K65" s="18">
        <v>-2</v>
      </c>
      <c r="L65" s="18">
        <v>1</v>
      </c>
      <c r="M65" s="18">
        <v>1.5</v>
      </c>
      <c r="N65" s="18">
        <v>2</v>
      </c>
      <c r="O65" s="19">
        <f t="shared" si="7"/>
        <v>-1</v>
      </c>
      <c r="P65" s="19">
        <v>-0.5</v>
      </c>
      <c r="Q65" s="19">
        <v>-4</v>
      </c>
      <c r="R65" s="19">
        <v>1</v>
      </c>
      <c r="S65" s="19">
        <v>0.5</v>
      </c>
      <c r="T65" s="19">
        <v>2.5</v>
      </c>
    </row>
    <row r="66" spans="1:20" x14ac:dyDescent="0.25">
      <c r="A66" s="30">
        <v>42439</v>
      </c>
      <c r="B66" s="28">
        <v>0.04</v>
      </c>
      <c r="C66" s="31">
        <f t="shared" si="2"/>
        <v>1.016</v>
      </c>
      <c r="D66" s="32">
        <f t="shared" si="3"/>
        <v>4.1798596491228075</v>
      </c>
      <c r="E66" s="32">
        <f t="shared" si="4"/>
        <v>7.8491009498771449</v>
      </c>
      <c r="F66" s="33">
        <f t="shared" si="5"/>
        <v>-3.1638596491228075</v>
      </c>
      <c r="G66" s="33">
        <f t="shared" si="6"/>
        <v>-0.40308561061026088</v>
      </c>
      <c r="I66" s="18">
        <v>-0.5</v>
      </c>
      <c r="J66" s="18">
        <v>0.5</v>
      </c>
      <c r="K66" s="18">
        <v>-2</v>
      </c>
      <c r="L66" s="18">
        <v>1</v>
      </c>
      <c r="M66" s="18">
        <v>1.5</v>
      </c>
      <c r="N66" s="18">
        <v>2</v>
      </c>
      <c r="O66" s="19">
        <f t="shared" si="7"/>
        <v>-1</v>
      </c>
      <c r="P66" s="19">
        <v>-0.5</v>
      </c>
      <c r="Q66" s="19">
        <v>-4</v>
      </c>
      <c r="R66" s="19">
        <v>1</v>
      </c>
      <c r="S66" s="19">
        <v>0.5</v>
      </c>
      <c r="T66" s="19">
        <v>2.5</v>
      </c>
    </row>
    <row r="67" spans="1:20" x14ac:dyDescent="0.25">
      <c r="A67" s="30">
        <v>42470</v>
      </c>
      <c r="B67" s="28">
        <v>0</v>
      </c>
      <c r="C67" s="31">
        <f t="shared" si="2"/>
        <v>0</v>
      </c>
      <c r="D67" s="32">
        <f t="shared" si="3"/>
        <v>4.1798596491228075</v>
      </c>
      <c r="E67" s="32">
        <f t="shared" si="4"/>
        <v>7.8491009498771449</v>
      </c>
      <c r="F67" s="33">
        <f t="shared" si="5"/>
        <v>-4.1798596491228075</v>
      </c>
      <c r="G67" s="33">
        <f t="shared" si="6"/>
        <v>-0.53252718697524604</v>
      </c>
      <c r="I67" s="18">
        <v>-0.5</v>
      </c>
      <c r="J67" s="18">
        <v>0.5</v>
      </c>
      <c r="K67" s="18">
        <v>-2</v>
      </c>
      <c r="L67" s="18">
        <v>1</v>
      </c>
      <c r="M67" s="18">
        <v>1.5</v>
      </c>
      <c r="N67" s="18">
        <v>2</v>
      </c>
      <c r="O67" s="19">
        <f t="shared" si="7"/>
        <v>-1</v>
      </c>
      <c r="P67" s="19">
        <v>-0.5</v>
      </c>
      <c r="Q67" s="19">
        <v>-4</v>
      </c>
      <c r="R67" s="19">
        <v>1</v>
      </c>
      <c r="S67" s="19">
        <v>0.5</v>
      </c>
      <c r="T67" s="19">
        <v>2.5</v>
      </c>
    </row>
    <row r="68" spans="1:20" x14ac:dyDescent="0.25">
      <c r="A68" s="30">
        <v>42500</v>
      </c>
      <c r="B68" s="28">
        <v>0.01</v>
      </c>
      <c r="C68" s="31">
        <f t="shared" ref="C68:C123" si="8">B68*$H$4</f>
        <v>0.254</v>
      </c>
      <c r="D68" s="32">
        <f t="shared" si="3"/>
        <v>4.1798596491228075</v>
      </c>
      <c r="E68" s="32">
        <f t="shared" si="4"/>
        <v>7.8491009498771449</v>
      </c>
      <c r="F68" s="33">
        <f t="shared" si="5"/>
        <v>-3.9258596491228075</v>
      </c>
      <c r="G68" s="33">
        <f t="shared" si="6"/>
        <v>-0.50016679288399968</v>
      </c>
      <c r="I68" s="18">
        <v>-0.5</v>
      </c>
      <c r="J68" s="18">
        <v>0.5</v>
      </c>
      <c r="K68" s="18">
        <v>-2</v>
      </c>
      <c r="L68" s="18">
        <v>1</v>
      </c>
      <c r="M68" s="18">
        <v>1.5</v>
      </c>
      <c r="N68" s="18">
        <v>2</v>
      </c>
      <c r="O68" s="19">
        <f t="shared" si="7"/>
        <v>-1</v>
      </c>
      <c r="P68" s="19">
        <v>-0.5</v>
      </c>
      <c r="Q68" s="19">
        <v>-4</v>
      </c>
      <c r="R68" s="19">
        <v>1</v>
      </c>
      <c r="S68" s="19">
        <v>0.5</v>
      </c>
      <c r="T68" s="19">
        <v>2.5</v>
      </c>
    </row>
    <row r="69" spans="1:20" x14ac:dyDescent="0.25">
      <c r="A69" s="34">
        <v>42531</v>
      </c>
      <c r="B69" s="28">
        <v>0</v>
      </c>
      <c r="C69" s="31">
        <f t="shared" si="8"/>
        <v>0</v>
      </c>
      <c r="D69" s="32">
        <f t="shared" ref="D69:D132" si="9">AVERAGE($C$4:$C$174)</f>
        <v>4.1798596491228075</v>
      </c>
      <c r="E69" s="32">
        <f t="shared" ref="E69:E132" si="10">_xlfn.STDEV.S($C$4:$C$174)</f>
        <v>7.8491009498771449</v>
      </c>
      <c r="F69" s="33">
        <f t="shared" ref="F69:F132" si="11">C69-D69</f>
        <v>-4.1798596491228075</v>
      </c>
      <c r="G69" s="33">
        <f t="shared" ref="G69:G132" si="12">F69/E69</f>
        <v>-0.53252718697524604</v>
      </c>
      <c r="I69" s="18">
        <v>-0.5</v>
      </c>
      <c r="J69" s="18">
        <v>0.5</v>
      </c>
      <c r="K69" s="18">
        <v>-2</v>
      </c>
      <c r="L69" s="18">
        <v>1</v>
      </c>
      <c r="M69" s="18">
        <v>1.5</v>
      </c>
      <c r="N69" s="18">
        <v>2</v>
      </c>
      <c r="O69" s="19">
        <f t="shared" ref="O69:O132" si="13">-1</f>
        <v>-1</v>
      </c>
      <c r="P69" s="19">
        <v>-0.5</v>
      </c>
      <c r="Q69" s="19">
        <v>-4</v>
      </c>
      <c r="R69" s="19">
        <v>1</v>
      </c>
      <c r="S69" s="19">
        <v>0.5</v>
      </c>
      <c r="T69" s="19">
        <v>2.5</v>
      </c>
    </row>
    <row r="70" spans="1:20" x14ac:dyDescent="0.25">
      <c r="A70" s="30">
        <v>42561</v>
      </c>
      <c r="B70" s="28">
        <v>0</v>
      </c>
      <c r="C70" s="31">
        <f t="shared" si="8"/>
        <v>0</v>
      </c>
      <c r="D70" s="32">
        <f t="shared" si="9"/>
        <v>4.1798596491228075</v>
      </c>
      <c r="E70" s="32">
        <f t="shared" si="10"/>
        <v>7.8491009498771449</v>
      </c>
      <c r="F70" s="33">
        <f t="shared" si="11"/>
        <v>-4.1798596491228075</v>
      </c>
      <c r="G70" s="33">
        <f t="shared" si="12"/>
        <v>-0.53252718697524604</v>
      </c>
      <c r="I70" s="18">
        <v>-0.5</v>
      </c>
      <c r="J70" s="18">
        <v>0.5</v>
      </c>
      <c r="K70" s="18">
        <v>-2</v>
      </c>
      <c r="L70" s="18">
        <v>1</v>
      </c>
      <c r="M70" s="18">
        <v>1.5</v>
      </c>
      <c r="N70" s="18">
        <v>2</v>
      </c>
      <c r="O70" s="19">
        <f t="shared" si="13"/>
        <v>-1</v>
      </c>
      <c r="P70" s="19">
        <v>-0.5</v>
      </c>
      <c r="Q70" s="19">
        <v>-4</v>
      </c>
      <c r="R70" s="19">
        <v>1</v>
      </c>
      <c r="S70" s="19">
        <v>0.5</v>
      </c>
      <c r="T70" s="19">
        <v>2.5</v>
      </c>
    </row>
    <row r="71" spans="1:20" x14ac:dyDescent="0.25">
      <c r="A71" s="30">
        <v>42592</v>
      </c>
      <c r="B71" s="28">
        <v>0</v>
      </c>
      <c r="C71" s="31">
        <f t="shared" si="8"/>
        <v>0</v>
      </c>
      <c r="D71" s="32">
        <f t="shared" si="9"/>
        <v>4.1798596491228075</v>
      </c>
      <c r="E71" s="32">
        <f t="shared" si="10"/>
        <v>7.8491009498771449</v>
      </c>
      <c r="F71" s="33">
        <f t="shared" si="11"/>
        <v>-4.1798596491228075</v>
      </c>
      <c r="G71" s="33">
        <f t="shared" si="12"/>
        <v>-0.53252718697524604</v>
      </c>
      <c r="I71" s="18">
        <v>-0.5</v>
      </c>
      <c r="J71" s="18">
        <v>0.5</v>
      </c>
      <c r="K71" s="18">
        <v>-2</v>
      </c>
      <c r="L71" s="18">
        <v>1</v>
      </c>
      <c r="M71" s="18">
        <v>1.5</v>
      </c>
      <c r="N71" s="18">
        <v>2</v>
      </c>
      <c r="O71" s="19">
        <f t="shared" si="13"/>
        <v>-1</v>
      </c>
      <c r="P71" s="19">
        <v>-0.5</v>
      </c>
      <c r="Q71" s="19">
        <v>-4</v>
      </c>
      <c r="R71" s="19">
        <v>1</v>
      </c>
      <c r="S71" s="19">
        <v>0.5</v>
      </c>
      <c r="T71" s="19">
        <v>2.5</v>
      </c>
    </row>
    <row r="72" spans="1:20" x14ac:dyDescent="0.25">
      <c r="A72" s="30">
        <v>42623</v>
      </c>
      <c r="B72" s="28">
        <v>0.01</v>
      </c>
      <c r="C72" s="31">
        <f t="shared" si="8"/>
        <v>0.254</v>
      </c>
      <c r="D72" s="32">
        <f t="shared" si="9"/>
        <v>4.1798596491228075</v>
      </c>
      <c r="E72" s="32">
        <f t="shared" si="10"/>
        <v>7.8491009498771449</v>
      </c>
      <c r="F72" s="33">
        <f t="shared" si="11"/>
        <v>-3.9258596491228075</v>
      </c>
      <c r="G72" s="33">
        <f t="shared" si="12"/>
        <v>-0.50016679288399968</v>
      </c>
      <c r="I72" s="18">
        <v>-0.5</v>
      </c>
      <c r="J72" s="18">
        <v>0.5</v>
      </c>
      <c r="K72" s="18">
        <v>-2</v>
      </c>
      <c r="L72" s="18">
        <v>1</v>
      </c>
      <c r="M72" s="18">
        <v>1.5</v>
      </c>
      <c r="N72" s="18">
        <v>2</v>
      </c>
      <c r="O72" s="19">
        <f t="shared" si="13"/>
        <v>-1</v>
      </c>
      <c r="P72" s="19">
        <v>-0.5</v>
      </c>
      <c r="Q72" s="19">
        <v>-4</v>
      </c>
      <c r="R72" s="19">
        <v>1</v>
      </c>
      <c r="S72" s="19">
        <v>0.5</v>
      </c>
      <c r="T72" s="19">
        <v>2.5</v>
      </c>
    </row>
    <row r="73" spans="1:20" x14ac:dyDescent="0.25">
      <c r="A73" s="30">
        <v>42653</v>
      </c>
      <c r="B73" s="28">
        <v>0.01</v>
      </c>
      <c r="C73" s="31">
        <f t="shared" si="8"/>
        <v>0.254</v>
      </c>
      <c r="D73" s="32">
        <f t="shared" si="9"/>
        <v>4.1798596491228075</v>
      </c>
      <c r="E73" s="32">
        <f t="shared" si="10"/>
        <v>7.8491009498771449</v>
      </c>
      <c r="F73" s="33">
        <f t="shared" si="11"/>
        <v>-3.9258596491228075</v>
      </c>
      <c r="G73" s="33">
        <f t="shared" si="12"/>
        <v>-0.50016679288399968</v>
      </c>
      <c r="I73" s="18">
        <v>-0.5</v>
      </c>
      <c r="J73" s="18">
        <v>0.5</v>
      </c>
      <c r="K73" s="18">
        <v>-2</v>
      </c>
      <c r="L73" s="18">
        <v>1</v>
      </c>
      <c r="M73" s="18">
        <v>1.5</v>
      </c>
      <c r="N73" s="18">
        <v>2</v>
      </c>
      <c r="O73" s="19">
        <f t="shared" si="13"/>
        <v>-1</v>
      </c>
      <c r="P73" s="19">
        <v>-0.5</v>
      </c>
      <c r="Q73" s="19">
        <v>-4</v>
      </c>
      <c r="R73" s="19">
        <v>1</v>
      </c>
      <c r="S73" s="19">
        <v>0.5</v>
      </c>
      <c r="T73" s="19">
        <v>2.5</v>
      </c>
    </row>
    <row r="74" spans="1:20" x14ac:dyDescent="0.25">
      <c r="A74" s="30">
        <v>42684</v>
      </c>
      <c r="B74" s="28">
        <v>0.02</v>
      </c>
      <c r="C74" s="31">
        <f t="shared" si="8"/>
        <v>0.50800000000000001</v>
      </c>
      <c r="D74" s="32">
        <f t="shared" si="9"/>
        <v>4.1798596491228075</v>
      </c>
      <c r="E74" s="32">
        <f t="shared" si="10"/>
        <v>7.8491009498771449</v>
      </c>
      <c r="F74" s="33">
        <f t="shared" si="11"/>
        <v>-3.6718596491228075</v>
      </c>
      <c r="G74" s="33">
        <f t="shared" si="12"/>
        <v>-0.46780639879275343</v>
      </c>
      <c r="I74" s="18">
        <v>-0.5</v>
      </c>
      <c r="J74" s="18">
        <v>0.5</v>
      </c>
      <c r="K74" s="18">
        <v>-2</v>
      </c>
      <c r="L74" s="18">
        <v>1</v>
      </c>
      <c r="M74" s="18">
        <v>1.5</v>
      </c>
      <c r="N74" s="18">
        <v>2</v>
      </c>
      <c r="O74" s="19">
        <f t="shared" si="13"/>
        <v>-1</v>
      </c>
      <c r="P74" s="19">
        <v>-0.5</v>
      </c>
      <c r="Q74" s="19">
        <v>-4</v>
      </c>
      <c r="R74" s="19">
        <v>1</v>
      </c>
      <c r="S74" s="19">
        <v>0.5</v>
      </c>
      <c r="T74" s="19">
        <v>2.5</v>
      </c>
    </row>
    <row r="75" spans="1:20" x14ac:dyDescent="0.25">
      <c r="A75" s="30">
        <v>42714</v>
      </c>
      <c r="B75" s="28">
        <v>0.16</v>
      </c>
      <c r="C75" s="31">
        <f t="shared" si="8"/>
        <v>4.0640000000000001</v>
      </c>
      <c r="D75" s="32">
        <f t="shared" si="9"/>
        <v>4.1798596491228075</v>
      </c>
      <c r="E75" s="32">
        <f t="shared" si="10"/>
        <v>7.8491009498771449</v>
      </c>
      <c r="F75" s="33">
        <f t="shared" si="11"/>
        <v>-0.11585964912280744</v>
      </c>
      <c r="G75" s="33">
        <f t="shared" si="12"/>
        <v>-1.4760881515305378E-2</v>
      </c>
      <c r="I75" s="18">
        <v>-0.5</v>
      </c>
      <c r="J75" s="18">
        <v>0.5</v>
      </c>
      <c r="K75" s="18">
        <v>-2</v>
      </c>
      <c r="L75" s="18">
        <v>1</v>
      </c>
      <c r="M75" s="18">
        <v>1.5</v>
      </c>
      <c r="N75" s="18">
        <v>2</v>
      </c>
      <c r="O75" s="19">
        <f t="shared" si="13"/>
        <v>-1</v>
      </c>
      <c r="P75" s="19">
        <v>-0.5</v>
      </c>
      <c r="Q75" s="19">
        <v>-4</v>
      </c>
      <c r="R75" s="19">
        <v>1</v>
      </c>
      <c r="S75" s="19">
        <v>0.5</v>
      </c>
      <c r="T75" s="19">
        <v>2.5</v>
      </c>
    </row>
    <row r="76" spans="1:20" x14ac:dyDescent="0.25">
      <c r="A76" s="30">
        <v>42745</v>
      </c>
      <c r="B76" s="28">
        <v>0.26</v>
      </c>
      <c r="C76" s="31">
        <f t="shared" si="8"/>
        <v>6.6040000000000001</v>
      </c>
      <c r="D76" s="32">
        <f t="shared" si="9"/>
        <v>4.1798596491228075</v>
      </c>
      <c r="E76" s="32">
        <f t="shared" si="10"/>
        <v>7.8491009498771449</v>
      </c>
      <c r="F76" s="33">
        <f t="shared" si="11"/>
        <v>2.4241403508771926</v>
      </c>
      <c r="G76" s="33">
        <f t="shared" si="12"/>
        <v>0.3088430593971575</v>
      </c>
      <c r="I76" s="18">
        <v>-0.5</v>
      </c>
      <c r="J76" s="18">
        <v>0.5</v>
      </c>
      <c r="K76" s="18">
        <v>-2</v>
      </c>
      <c r="L76" s="18">
        <v>1</v>
      </c>
      <c r="M76" s="18">
        <v>1.5</v>
      </c>
      <c r="N76" s="18">
        <v>2</v>
      </c>
      <c r="O76" s="19">
        <f t="shared" si="13"/>
        <v>-1</v>
      </c>
      <c r="P76" s="19">
        <v>-0.5</v>
      </c>
      <c r="Q76" s="19">
        <v>-4</v>
      </c>
      <c r="R76" s="19">
        <v>1</v>
      </c>
      <c r="S76" s="19">
        <v>0.5</v>
      </c>
      <c r="T76" s="19">
        <v>2.5</v>
      </c>
    </row>
    <row r="77" spans="1:20" x14ac:dyDescent="0.25">
      <c r="A77" s="34">
        <v>42776</v>
      </c>
      <c r="B77" s="28">
        <v>0.42</v>
      </c>
      <c r="C77" s="31">
        <f t="shared" si="8"/>
        <v>10.667999999999999</v>
      </c>
      <c r="D77" s="32">
        <f t="shared" si="9"/>
        <v>4.1798596491228075</v>
      </c>
      <c r="E77" s="32">
        <f t="shared" si="10"/>
        <v>7.8491009498771449</v>
      </c>
      <c r="F77" s="33">
        <f t="shared" si="11"/>
        <v>6.4881403508771918</v>
      </c>
      <c r="G77" s="33">
        <f t="shared" si="12"/>
        <v>0.82660936485709802</v>
      </c>
      <c r="I77" s="18">
        <v>-0.5</v>
      </c>
      <c r="J77" s="18">
        <v>0.5</v>
      </c>
      <c r="K77" s="18">
        <v>-2</v>
      </c>
      <c r="L77" s="18">
        <v>1</v>
      </c>
      <c r="M77" s="18">
        <v>1.5</v>
      </c>
      <c r="N77" s="18">
        <v>2</v>
      </c>
      <c r="O77" s="19">
        <f t="shared" si="13"/>
        <v>-1</v>
      </c>
      <c r="P77" s="19">
        <v>-0.5</v>
      </c>
      <c r="Q77" s="19">
        <v>-4</v>
      </c>
      <c r="R77" s="19">
        <v>1</v>
      </c>
      <c r="S77" s="19">
        <v>0.5</v>
      </c>
      <c r="T77" s="19">
        <v>2.5</v>
      </c>
    </row>
    <row r="78" spans="1:20" x14ac:dyDescent="0.25">
      <c r="A78" s="30">
        <v>42804</v>
      </c>
      <c r="B78" s="28">
        <v>0.13</v>
      </c>
      <c r="C78" s="31">
        <f t="shared" si="8"/>
        <v>3.302</v>
      </c>
      <c r="D78" s="32">
        <f t="shared" si="9"/>
        <v>4.1798596491228075</v>
      </c>
      <c r="E78" s="32">
        <f t="shared" si="10"/>
        <v>7.8491009498771449</v>
      </c>
      <c r="F78" s="33">
        <f t="shared" si="11"/>
        <v>-0.87785964912280745</v>
      </c>
      <c r="G78" s="33">
        <f t="shared" si="12"/>
        <v>-0.11184206378904425</v>
      </c>
      <c r="I78" s="18">
        <v>-0.5</v>
      </c>
      <c r="J78" s="18">
        <v>0.5</v>
      </c>
      <c r="K78" s="18">
        <v>-2</v>
      </c>
      <c r="L78" s="18">
        <v>1</v>
      </c>
      <c r="M78" s="18">
        <v>1.5</v>
      </c>
      <c r="N78" s="18">
        <v>2</v>
      </c>
      <c r="O78" s="19">
        <f t="shared" si="13"/>
        <v>-1</v>
      </c>
      <c r="P78" s="19">
        <v>-0.5</v>
      </c>
      <c r="Q78" s="19">
        <v>-4</v>
      </c>
      <c r="R78" s="19">
        <v>1</v>
      </c>
      <c r="S78" s="19">
        <v>0.5</v>
      </c>
      <c r="T78" s="19">
        <v>2.5</v>
      </c>
    </row>
    <row r="79" spans="1:20" x14ac:dyDescent="0.25">
      <c r="A79" s="30">
        <v>42835</v>
      </c>
      <c r="B79" s="28">
        <v>0.05</v>
      </c>
      <c r="C79" s="31">
        <f t="shared" si="8"/>
        <v>1.27</v>
      </c>
      <c r="D79" s="32">
        <f t="shared" si="9"/>
        <v>4.1798596491228075</v>
      </c>
      <c r="E79" s="32">
        <f t="shared" si="10"/>
        <v>7.8491009498771449</v>
      </c>
      <c r="F79" s="33">
        <f t="shared" si="11"/>
        <v>-2.9098596491228075</v>
      </c>
      <c r="G79" s="33">
        <f t="shared" si="12"/>
        <v>-0.37072521651901458</v>
      </c>
      <c r="I79" s="18">
        <v>-0.5</v>
      </c>
      <c r="J79" s="18">
        <v>0.5</v>
      </c>
      <c r="K79" s="18">
        <v>-2</v>
      </c>
      <c r="L79" s="18">
        <v>1</v>
      </c>
      <c r="M79" s="18">
        <v>1.5</v>
      </c>
      <c r="N79" s="18">
        <v>2</v>
      </c>
      <c r="O79" s="19">
        <f t="shared" si="13"/>
        <v>-1</v>
      </c>
      <c r="P79" s="19">
        <v>-0.5</v>
      </c>
      <c r="Q79" s="19">
        <v>-4</v>
      </c>
      <c r="R79" s="19">
        <v>1</v>
      </c>
      <c r="S79" s="19">
        <v>0.5</v>
      </c>
      <c r="T79" s="19">
        <v>2.5</v>
      </c>
    </row>
    <row r="80" spans="1:20" x14ac:dyDescent="0.25">
      <c r="A80" s="30">
        <v>42865</v>
      </c>
      <c r="B80" s="28">
        <v>0.15</v>
      </c>
      <c r="C80" s="31">
        <f t="shared" si="8"/>
        <v>3.8099999999999996</v>
      </c>
      <c r="D80" s="32">
        <f t="shared" si="9"/>
        <v>4.1798596491228075</v>
      </c>
      <c r="E80" s="32">
        <f t="shared" si="10"/>
        <v>7.8491009498771449</v>
      </c>
      <c r="F80" s="33">
        <f t="shared" si="11"/>
        <v>-0.36985964912280789</v>
      </c>
      <c r="G80" s="33">
        <f t="shared" si="12"/>
        <v>-4.7121275606551723E-2</v>
      </c>
      <c r="I80" s="18">
        <v>-0.5</v>
      </c>
      <c r="J80" s="18">
        <v>0.5</v>
      </c>
      <c r="K80" s="18">
        <v>-2</v>
      </c>
      <c r="L80" s="18">
        <v>1</v>
      </c>
      <c r="M80" s="18">
        <v>1.5</v>
      </c>
      <c r="N80" s="18">
        <v>2</v>
      </c>
      <c r="O80" s="19">
        <f t="shared" si="13"/>
        <v>-1</v>
      </c>
      <c r="P80" s="19">
        <v>-0.5</v>
      </c>
      <c r="Q80" s="19">
        <v>-4</v>
      </c>
      <c r="R80" s="19">
        <v>1</v>
      </c>
      <c r="S80" s="19">
        <v>0.5</v>
      </c>
      <c r="T80" s="19">
        <v>2.5</v>
      </c>
    </row>
    <row r="81" spans="1:20" x14ac:dyDescent="0.25">
      <c r="A81" s="30">
        <v>42896</v>
      </c>
      <c r="B81" s="28">
        <v>-0.01</v>
      </c>
      <c r="C81" s="31">
        <f t="shared" si="8"/>
        <v>-0.254</v>
      </c>
      <c r="D81" s="32">
        <f t="shared" si="9"/>
        <v>4.1798596491228075</v>
      </c>
      <c r="E81" s="32">
        <f t="shared" si="10"/>
        <v>7.8491009498771449</v>
      </c>
      <c r="F81" s="33">
        <f t="shared" si="11"/>
        <v>-4.4338596491228071</v>
      </c>
      <c r="G81" s="33">
        <f t="shared" si="12"/>
        <v>-0.56488758106649228</v>
      </c>
      <c r="I81" s="18">
        <v>-0.5</v>
      </c>
      <c r="J81" s="18">
        <v>0.5</v>
      </c>
      <c r="K81" s="18">
        <v>-2</v>
      </c>
      <c r="L81" s="18">
        <v>1</v>
      </c>
      <c r="M81" s="18">
        <v>1.5</v>
      </c>
      <c r="N81" s="18">
        <v>2</v>
      </c>
      <c r="O81" s="19">
        <f t="shared" si="13"/>
        <v>-1</v>
      </c>
      <c r="P81" s="19">
        <v>-0.5</v>
      </c>
      <c r="Q81" s="19">
        <v>-4</v>
      </c>
      <c r="R81" s="19">
        <v>1</v>
      </c>
      <c r="S81" s="19">
        <v>0.5</v>
      </c>
      <c r="T81" s="19">
        <v>2.5</v>
      </c>
    </row>
    <row r="82" spans="1:20" x14ac:dyDescent="0.25">
      <c r="A82" s="30">
        <v>42926</v>
      </c>
      <c r="B82" s="28">
        <v>0.02</v>
      </c>
      <c r="C82" s="31">
        <f t="shared" si="8"/>
        <v>0.50800000000000001</v>
      </c>
      <c r="D82" s="32">
        <f t="shared" si="9"/>
        <v>4.1798596491228075</v>
      </c>
      <c r="E82" s="32">
        <f t="shared" si="10"/>
        <v>7.8491009498771449</v>
      </c>
      <c r="F82" s="33">
        <f t="shared" si="11"/>
        <v>-3.6718596491228075</v>
      </c>
      <c r="G82" s="33">
        <f t="shared" si="12"/>
        <v>-0.46780639879275343</v>
      </c>
      <c r="I82" s="18">
        <v>-0.5</v>
      </c>
      <c r="J82" s="18">
        <v>0.5</v>
      </c>
      <c r="K82" s="18">
        <v>-2</v>
      </c>
      <c r="L82" s="18">
        <v>1</v>
      </c>
      <c r="M82" s="18">
        <v>1.5</v>
      </c>
      <c r="N82" s="18">
        <v>2</v>
      </c>
      <c r="O82" s="19">
        <f t="shared" si="13"/>
        <v>-1</v>
      </c>
      <c r="P82" s="19">
        <v>-0.5</v>
      </c>
      <c r="Q82" s="19">
        <v>-4</v>
      </c>
      <c r="R82" s="19">
        <v>1</v>
      </c>
      <c r="S82" s="19">
        <v>0.5</v>
      </c>
      <c r="T82" s="19">
        <v>2.5</v>
      </c>
    </row>
    <row r="83" spans="1:20" x14ac:dyDescent="0.25">
      <c r="A83" s="30">
        <v>42957</v>
      </c>
      <c r="B83" s="28">
        <v>0.02</v>
      </c>
      <c r="C83" s="31">
        <f t="shared" si="8"/>
        <v>0.50800000000000001</v>
      </c>
      <c r="D83" s="32">
        <f t="shared" si="9"/>
        <v>4.1798596491228075</v>
      </c>
      <c r="E83" s="32">
        <f t="shared" si="10"/>
        <v>7.8491009498771449</v>
      </c>
      <c r="F83" s="33">
        <f t="shared" si="11"/>
        <v>-3.6718596491228075</v>
      </c>
      <c r="G83" s="33">
        <f t="shared" si="12"/>
        <v>-0.46780639879275343</v>
      </c>
      <c r="I83" s="18">
        <v>-0.5</v>
      </c>
      <c r="J83" s="18">
        <v>0.5</v>
      </c>
      <c r="K83" s="18">
        <v>-2</v>
      </c>
      <c r="L83" s="18">
        <v>1</v>
      </c>
      <c r="M83" s="18">
        <v>1.5</v>
      </c>
      <c r="N83" s="18">
        <v>2</v>
      </c>
      <c r="O83" s="19">
        <f t="shared" si="13"/>
        <v>-1</v>
      </c>
      <c r="P83" s="19">
        <v>-0.5</v>
      </c>
      <c r="Q83" s="19">
        <v>-4</v>
      </c>
      <c r="R83" s="19">
        <v>1</v>
      </c>
      <c r="S83" s="19">
        <v>0.5</v>
      </c>
      <c r="T83" s="19">
        <v>2.5</v>
      </c>
    </row>
    <row r="84" spans="1:20" x14ac:dyDescent="0.25">
      <c r="A84" s="30">
        <v>42988</v>
      </c>
      <c r="B84" s="28">
        <v>0</v>
      </c>
      <c r="C84" s="31">
        <f t="shared" si="8"/>
        <v>0</v>
      </c>
      <c r="D84" s="32">
        <f t="shared" si="9"/>
        <v>4.1798596491228075</v>
      </c>
      <c r="E84" s="32">
        <f t="shared" si="10"/>
        <v>7.8491009498771449</v>
      </c>
      <c r="F84" s="33">
        <f t="shared" si="11"/>
        <v>-4.1798596491228075</v>
      </c>
      <c r="G84" s="33">
        <f t="shared" si="12"/>
        <v>-0.53252718697524604</v>
      </c>
      <c r="I84" s="18">
        <v>-0.5</v>
      </c>
      <c r="J84" s="18">
        <v>0.5</v>
      </c>
      <c r="K84" s="18">
        <v>-2</v>
      </c>
      <c r="L84" s="18">
        <v>1</v>
      </c>
      <c r="M84" s="18">
        <v>1.5</v>
      </c>
      <c r="N84" s="18">
        <v>2</v>
      </c>
      <c r="O84" s="19">
        <f t="shared" si="13"/>
        <v>-1</v>
      </c>
      <c r="P84" s="19">
        <v>-0.5</v>
      </c>
      <c r="Q84" s="19">
        <v>-4</v>
      </c>
      <c r="R84" s="19">
        <v>1</v>
      </c>
      <c r="S84" s="19">
        <v>0.5</v>
      </c>
      <c r="T84" s="19">
        <v>2.5</v>
      </c>
    </row>
    <row r="85" spans="1:20" x14ac:dyDescent="0.25">
      <c r="A85" s="34">
        <v>43018</v>
      </c>
      <c r="B85" s="28">
        <v>0.03</v>
      </c>
      <c r="C85" s="31">
        <f t="shared" si="8"/>
        <v>0.7619999999999999</v>
      </c>
      <c r="D85" s="32">
        <f t="shared" si="9"/>
        <v>4.1798596491228075</v>
      </c>
      <c r="E85" s="32">
        <f t="shared" si="10"/>
        <v>7.8491009498771449</v>
      </c>
      <c r="F85" s="33">
        <f t="shared" si="11"/>
        <v>-3.4178596491228075</v>
      </c>
      <c r="G85" s="33">
        <f t="shared" si="12"/>
        <v>-0.43544600470150713</v>
      </c>
      <c r="I85" s="18">
        <v>-0.5</v>
      </c>
      <c r="J85" s="18">
        <v>0.5</v>
      </c>
      <c r="K85" s="18">
        <v>-2</v>
      </c>
      <c r="L85" s="18">
        <v>1</v>
      </c>
      <c r="M85" s="18">
        <v>1.5</v>
      </c>
      <c r="N85" s="18">
        <v>2</v>
      </c>
      <c r="O85" s="19">
        <f t="shared" si="13"/>
        <v>-1</v>
      </c>
      <c r="P85" s="19">
        <v>-0.5</v>
      </c>
      <c r="Q85" s="19">
        <v>-4</v>
      </c>
      <c r="R85" s="19">
        <v>1</v>
      </c>
      <c r="S85" s="19">
        <v>0.5</v>
      </c>
      <c r="T85" s="19">
        <v>2.5</v>
      </c>
    </row>
    <row r="86" spans="1:20" x14ac:dyDescent="0.25">
      <c r="A86" s="30">
        <v>43049</v>
      </c>
      <c r="B86" s="28">
        <v>0.09</v>
      </c>
      <c r="C86" s="31">
        <f t="shared" si="8"/>
        <v>2.2859999999999996</v>
      </c>
      <c r="D86" s="32">
        <f t="shared" si="9"/>
        <v>4.1798596491228075</v>
      </c>
      <c r="E86" s="32">
        <f t="shared" si="10"/>
        <v>7.8491009498771449</v>
      </c>
      <c r="F86" s="33">
        <f t="shared" si="11"/>
        <v>-1.8938596491228079</v>
      </c>
      <c r="G86" s="33">
        <f t="shared" si="12"/>
        <v>-0.24128364015402948</v>
      </c>
      <c r="I86" s="18">
        <v>-0.5</v>
      </c>
      <c r="J86" s="18">
        <v>0.5</v>
      </c>
      <c r="K86" s="18">
        <v>-2</v>
      </c>
      <c r="L86" s="18">
        <v>1</v>
      </c>
      <c r="M86" s="18">
        <v>1.5</v>
      </c>
      <c r="N86" s="18">
        <v>2</v>
      </c>
      <c r="O86" s="19">
        <f t="shared" si="13"/>
        <v>-1</v>
      </c>
      <c r="P86" s="19">
        <v>-0.5</v>
      </c>
      <c r="Q86" s="19">
        <v>-4</v>
      </c>
      <c r="R86" s="19">
        <v>1</v>
      </c>
      <c r="S86" s="19">
        <v>0.5</v>
      </c>
      <c r="T86" s="19">
        <v>2.5</v>
      </c>
    </row>
    <row r="87" spans="1:20" x14ac:dyDescent="0.25">
      <c r="A87" s="30">
        <v>43079</v>
      </c>
      <c r="B87" s="28">
        <v>0.18</v>
      </c>
      <c r="C87" s="31">
        <f t="shared" si="8"/>
        <v>4.5719999999999992</v>
      </c>
      <c r="D87" s="32">
        <f t="shared" si="9"/>
        <v>4.1798596491228075</v>
      </c>
      <c r="E87" s="32">
        <f t="shared" si="10"/>
        <v>7.8491009498771449</v>
      </c>
      <c r="F87" s="33">
        <f t="shared" si="11"/>
        <v>0.39214035087719168</v>
      </c>
      <c r="G87" s="33">
        <f t="shared" si="12"/>
        <v>4.9959906667187089E-2</v>
      </c>
      <c r="I87" s="18">
        <v>-0.5</v>
      </c>
      <c r="J87" s="18">
        <v>0.5</v>
      </c>
      <c r="K87" s="18">
        <v>-2</v>
      </c>
      <c r="L87" s="18">
        <v>1</v>
      </c>
      <c r="M87" s="18">
        <v>1.5</v>
      </c>
      <c r="N87" s="18">
        <v>2</v>
      </c>
      <c r="O87" s="19">
        <f t="shared" si="13"/>
        <v>-1</v>
      </c>
      <c r="P87" s="19">
        <v>-0.5</v>
      </c>
      <c r="Q87" s="19">
        <v>-4</v>
      </c>
      <c r="R87" s="19">
        <v>1</v>
      </c>
      <c r="S87" s="19">
        <v>0.5</v>
      </c>
      <c r="T87" s="19">
        <v>2.5</v>
      </c>
    </row>
    <row r="88" spans="1:20" x14ac:dyDescent="0.25">
      <c r="A88" s="30">
        <v>43110</v>
      </c>
      <c r="B88" s="28">
        <v>0.08</v>
      </c>
      <c r="C88" s="31">
        <f t="shared" si="8"/>
        <v>2.032</v>
      </c>
      <c r="D88" s="32">
        <f t="shared" si="9"/>
        <v>4.1798596491228075</v>
      </c>
      <c r="E88" s="32">
        <f t="shared" si="10"/>
        <v>7.8491009498771449</v>
      </c>
      <c r="F88" s="33">
        <f t="shared" si="11"/>
        <v>-2.1478596491228075</v>
      </c>
      <c r="G88" s="33">
        <f t="shared" si="12"/>
        <v>-0.27364403424527572</v>
      </c>
      <c r="I88" s="18">
        <v>-0.5</v>
      </c>
      <c r="J88" s="18">
        <v>0.5</v>
      </c>
      <c r="K88" s="18">
        <v>-2</v>
      </c>
      <c r="L88" s="18">
        <v>1</v>
      </c>
      <c r="M88" s="18">
        <v>1.5</v>
      </c>
      <c r="N88" s="18">
        <v>2</v>
      </c>
      <c r="O88" s="19">
        <f t="shared" si="13"/>
        <v>-1</v>
      </c>
      <c r="P88" s="19">
        <v>-0.5</v>
      </c>
      <c r="Q88" s="19">
        <v>-4</v>
      </c>
      <c r="R88" s="19">
        <v>1</v>
      </c>
      <c r="S88" s="19">
        <v>0.5</v>
      </c>
      <c r="T88" s="19">
        <v>2.5</v>
      </c>
    </row>
    <row r="89" spans="1:20" x14ac:dyDescent="0.25">
      <c r="A89" s="30">
        <v>43141</v>
      </c>
      <c r="B89" s="28">
        <v>0.12</v>
      </c>
      <c r="C89" s="31">
        <f t="shared" si="8"/>
        <v>3.0479999999999996</v>
      </c>
      <c r="D89" s="32">
        <f t="shared" si="9"/>
        <v>4.1798596491228075</v>
      </c>
      <c r="E89" s="32">
        <f t="shared" si="10"/>
        <v>7.8491009498771449</v>
      </c>
      <c r="F89" s="33">
        <f t="shared" si="11"/>
        <v>-1.1318596491228079</v>
      </c>
      <c r="G89" s="33">
        <f t="shared" si="12"/>
        <v>-0.1442024578802906</v>
      </c>
      <c r="I89" s="18">
        <v>-0.5</v>
      </c>
      <c r="J89" s="18">
        <v>0.5</v>
      </c>
      <c r="K89" s="18">
        <v>-2</v>
      </c>
      <c r="L89" s="18">
        <v>1</v>
      </c>
      <c r="M89" s="18">
        <v>1.5</v>
      </c>
      <c r="N89" s="18">
        <v>2</v>
      </c>
      <c r="O89" s="19">
        <f t="shared" si="13"/>
        <v>-1</v>
      </c>
      <c r="P89" s="19">
        <v>-0.5</v>
      </c>
      <c r="Q89" s="19">
        <v>-4</v>
      </c>
      <c r="R89" s="19">
        <v>1</v>
      </c>
      <c r="S89" s="19">
        <v>0.5</v>
      </c>
      <c r="T89" s="19">
        <v>2.5</v>
      </c>
    </row>
    <row r="90" spans="1:20" x14ac:dyDescent="0.25">
      <c r="A90" s="30">
        <v>43169</v>
      </c>
      <c r="B90" s="28">
        <v>0.12</v>
      </c>
      <c r="C90" s="31">
        <f t="shared" si="8"/>
        <v>3.0479999999999996</v>
      </c>
      <c r="D90" s="32">
        <f t="shared" si="9"/>
        <v>4.1798596491228075</v>
      </c>
      <c r="E90" s="32">
        <f t="shared" si="10"/>
        <v>7.8491009498771449</v>
      </c>
      <c r="F90" s="33">
        <f t="shared" si="11"/>
        <v>-1.1318596491228079</v>
      </c>
      <c r="G90" s="33">
        <f t="shared" si="12"/>
        <v>-0.1442024578802906</v>
      </c>
      <c r="I90" s="18">
        <v>-0.5</v>
      </c>
      <c r="J90" s="18">
        <v>0.5</v>
      </c>
      <c r="K90" s="18">
        <v>-2</v>
      </c>
      <c r="L90" s="18">
        <v>1</v>
      </c>
      <c r="M90" s="18">
        <v>1.5</v>
      </c>
      <c r="N90" s="18">
        <v>2</v>
      </c>
      <c r="O90" s="19">
        <f t="shared" si="13"/>
        <v>-1</v>
      </c>
      <c r="P90" s="19">
        <v>-0.5</v>
      </c>
      <c r="Q90" s="19">
        <v>-4</v>
      </c>
      <c r="R90" s="19">
        <v>1</v>
      </c>
      <c r="S90" s="19">
        <v>0.5</v>
      </c>
      <c r="T90" s="19">
        <v>2.5</v>
      </c>
    </row>
    <row r="91" spans="1:20" x14ac:dyDescent="0.25">
      <c r="A91" s="30">
        <v>43200</v>
      </c>
      <c r="B91" s="28">
        <v>0.15</v>
      </c>
      <c r="C91" s="31">
        <f t="shared" si="8"/>
        <v>3.8099999999999996</v>
      </c>
      <c r="D91" s="32">
        <f t="shared" si="9"/>
        <v>4.1798596491228075</v>
      </c>
      <c r="E91" s="32">
        <f t="shared" si="10"/>
        <v>7.8491009498771449</v>
      </c>
      <c r="F91" s="33">
        <f t="shared" si="11"/>
        <v>-0.36985964912280789</v>
      </c>
      <c r="G91" s="33">
        <f t="shared" si="12"/>
        <v>-4.7121275606551723E-2</v>
      </c>
      <c r="I91" s="18">
        <v>-0.5</v>
      </c>
      <c r="J91" s="18">
        <v>0.5</v>
      </c>
      <c r="K91" s="18">
        <v>-2</v>
      </c>
      <c r="L91" s="18">
        <v>1</v>
      </c>
      <c r="M91" s="18">
        <v>1.5</v>
      </c>
      <c r="N91" s="18">
        <v>2</v>
      </c>
      <c r="O91" s="19">
        <f t="shared" si="13"/>
        <v>-1</v>
      </c>
      <c r="P91" s="19">
        <v>-0.5</v>
      </c>
      <c r="Q91" s="19">
        <v>-4</v>
      </c>
      <c r="R91" s="19">
        <v>1</v>
      </c>
      <c r="S91" s="19">
        <v>0.5</v>
      </c>
      <c r="T91" s="19">
        <v>2.5</v>
      </c>
    </row>
    <row r="92" spans="1:20" x14ac:dyDescent="0.25">
      <c r="A92" s="34">
        <v>43230</v>
      </c>
      <c r="B92" s="28">
        <v>0.03</v>
      </c>
      <c r="C92" s="31">
        <f t="shared" si="8"/>
        <v>0.7619999999999999</v>
      </c>
      <c r="D92" s="32">
        <f t="shared" si="9"/>
        <v>4.1798596491228075</v>
      </c>
      <c r="E92" s="32">
        <f t="shared" si="10"/>
        <v>7.8491009498771449</v>
      </c>
      <c r="F92" s="33">
        <f t="shared" si="11"/>
        <v>-3.4178596491228075</v>
      </c>
      <c r="G92" s="33">
        <f t="shared" si="12"/>
        <v>-0.43544600470150713</v>
      </c>
      <c r="I92" s="18">
        <v>-0.5</v>
      </c>
      <c r="J92" s="18">
        <v>0.5</v>
      </c>
      <c r="K92" s="18">
        <v>-2</v>
      </c>
      <c r="L92" s="18">
        <v>1</v>
      </c>
      <c r="M92" s="18">
        <v>1.5</v>
      </c>
      <c r="N92" s="18">
        <v>2</v>
      </c>
      <c r="O92" s="19">
        <f t="shared" si="13"/>
        <v>-1</v>
      </c>
      <c r="P92" s="19">
        <v>-0.5</v>
      </c>
      <c r="Q92" s="19">
        <v>-4</v>
      </c>
      <c r="R92" s="19">
        <v>1</v>
      </c>
      <c r="S92" s="19">
        <v>0.5</v>
      </c>
      <c r="T92" s="19">
        <v>2.5</v>
      </c>
    </row>
    <row r="93" spans="1:20" x14ac:dyDescent="0.25">
      <c r="A93" s="30">
        <v>43261</v>
      </c>
      <c r="B93" s="28">
        <v>0.05</v>
      </c>
      <c r="C93" s="31">
        <f t="shared" si="8"/>
        <v>1.27</v>
      </c>
      <c r="D93" s="32">
        <f t="shared" si="9"/>
        <v>4.1798596491228075</v>
      </c>
      <c r="E93" s="32">
        <f t="shared" si="10"/>
        <v>7.8491009498771449</v>
      </c>
      <c r="F93" s="33">
        <f t="shared" si="11"/>
        <v>-2.9098596491228075</v>
      </c>
      <c r="G93" s="33">
        <f t="shared" si="12"/>
        <v>-0.37072521651901458</v>
      </c>
      <c r="I93" s="18">
        <v>-0.5</v>
      </c>
      <c r="J93" s="18">
        <v>0.5</v>
      </c>
      <c r="K93" s="18">
        <v>-2</v>
      </c>
      <c r="L93" s="18">
        <v>1</v>
      </c>
      <c r="M93" s="18">
        <v>1.5</v>
      </c>
      <c r="N93" s="18">
        <v>2</v>
      </c>
      <c r="O93" s="19">
        <f t="shared" si="13"/>
        <v>-1</v>
      </c>
      <c r="P93" s="19">
        <v>-0.5</v>
      </c>
      <c r="Q93" s="19">
        <v>-4</v>
      </c>
      <c r="R93" s="19">
        <v>1</v>
      </c>
      <c r="S93" s="19">
        <v>0.5</v>
      </c>
      <c r="T93" s="19">
        <v>2.5</v>
      </c>
    </row>
    <row r="94" spans="1:20" x14ac:dyDescent="0.25">
      <c r="A94" s="30">
        <v>43291</v>
      </c>
      <c r="B94" s="28">
        <v>0</v>
      </c>
      <c r="C94" s="31">
        <f t="shared" si="8"/>
        <v>0</v>
      </c>
      <c r="D94" s="32">
        <f t="shared" si="9"/>
        <v>4.1798596491228075</v>
      </c>
      <c r="E94" s="32">
        <f t="shared" si="10"/>
        <v>7.8491009498771449</v>
      </c>
      <c r="F94" s="33">
        <f t="shared" si="11"/>
        <v>-4.1798596491228075</v>
      </c>
      <c r="G94" s="33">
        <f t="shared" si="12"/>
        <v>-0.53252718697524604</v>
      </c>
      <c r="I94" s="18">
        <v>-0.5</v>
      </c>
      <c r="J94" s="18">
        <v>0.5</v>
      </c>
      <c r="K94" s="18">
        <v>-2</v>
      </c>
      <c r="L94" s="18">
        <v>1</v>
      </c>
      <c r="M94" s="18">
        <v>1.5</v>
      </c>
      <c r="N94" s="18">
        <v>2</v>
      </c>
      <c r="O94" s="19">
        <f t="shared" si="13"/>
        <v>-1</v>
      </c>
      <c r="P94" s="19">
        <v>-0.5</v>
      </c>
      <c r="Q94" s="19">
        <v>-4</v>
      </c>
      <c r="R94" s="19">
        <v>1</v>
      </c>
      <c r="S94" s="19">
        <v>0.5</v>
      </c>
      <c r="T94" s="19">
        <v>2.5</v>
      </c>
    </row>
    <row r="95" spans="1:20" x14ac:dyDescent="0.25">
      <c r="A95" s="30">
        <v>43322</v>
      </c>
      <c r="B95" s="28">
        <v>0.02</v>
      </c>
      <c r="C95" s="31">
        <f t="shared" si="8"/>
        <v>0.50800000000000001</v>
      </c>
      <c r="D95" s="32">
        <f t="shared" si="9"/>
        <v>4.1798596491228075</v>
      </c>
      <c r="E95" s="32">
        <f t="shared" si="10"/>
        <v>7.8491009498771449</v>
      </c>
      <c r="F95" s="33">
        <f t="shared" si="11"/>
        <v>-3.6718596491228075</v>
      </c>
      <c r="G95" s="33">
        <f t="shared" si="12"/>
        <v>-0.46780639879275343</v>
      </c>
      <c r="I95" s="18">
        <v>-0.5</v>
      </c>
      <c r="J95" s="18">
        <v>0.5</v>
      </c>
      <c r="K95" s="18">
        <v>-2</v>
      </c>
      <c r="L95" s="18">
        <v>1</v>
      </c>
      <c r="M95" s="18">
        <v>1.5</v>
      </c>
      <c r="N95" s="18">
        <v>2</v>
      </c>
      <c r="O95" s="19">
        <f t="shared" si="13"/>
        <v>-1</v>
      </c>
      <c r="P95" s="19">
        <v>-0.5</v>
      </c>
      <c r="Q95" s="19">
        <v>-4</v>
      </c>
      <c r="R95" s="19">
        <v>1</v>
      </c>
      <c r="S95" s="19">
        <v>0.5</v>
      </c>
      <c r="T95" s="19">
        <v>2.5</v>
      </c>
    </row>
    <row r="96" spans="1:20" x14ac:dyDescent="0.25">
      <c r="A96" s="30">
        <v>43353</v>
      </c>
      <c r="B96" s="28">
        <v>0</v>
      </c>
      <c r="C96" s="31">
        <f t="shared" si="8"/>
        <v>0</v>
      </c>
      <c r="D96" s="32">
        <f t="shared" si="9"/>
        <v>4.1798596491228075</v>
      </c>
      <c r="E96" s="32">
        <f t="shared" si="10"/>
        <v>7.8491009498771449</v>
      </c>
      <c r="F96" s="33">
        <f t="shared" si="11"/>
        <v>-4.1798596491228075</v>
      </c>
      <c r="G96" s="33">
        <f t="shared" si="12"/>
        <v>-0.53252718697524604</v>
      </c>
      <c r="I96" s="18">
        <v>-0.5</v>
      </c>
      <c r="J96" s="18">
        <v>0.5</v>
      </c>
      <c r="K96" s="18">
        <v>-2</v>
      </c>
      <c r="L96" s="18">
        <v>1</v>
      </c>
      <c r="M96" s="18">
        <v>1.5</v>
      </c>
      <c r="N96" s="18">
        <v>2</v>
      </c>
      <c r="O96" s="19">
        <f t="shared" si="13"/>
        <v>-1</v>
      </c>
      <c r="P96" s="19">
        <v>-0.5</v>
      </c>
      <c r="Q96" s="19">
        <v>-4</v>
      </c>
      <c r="R96" s="19">
        <v>1</v>
      </c>
      <c r="S96" s="19">
        <v>0.5</v>
      </c>
      <c r="T96" s="19">
        <v>2.5</v>
      </c>
    </row>
    <row r="97" spans="1:20" x14ac:dyDescent="0.25">
      <c r="A97" s="30">
        <v>43383</v>
      </c>
      <c r="B97" s="28">
        <v>0.01</v>
      </c>
      <c r="C97" s="31">
        <f t="shared" si="8"/>
        <v>0.254</v>
      </c>
      <c r="D97" s="32">
        <f t="shared" si="9"/>
        <v>4.1798596491228075</v>
      </c>
      <c r="E97" s="32">
        <f t="shared" si="10"/>
        <v>7.8491009498771449</v>
      </c>
      <c r="F97" s="33">
        <f t="shared" si="11"/>
        <v>-3.9258596491228075</v>
      </c>
      <c r="G97" s="33">
        <f t="shared" si="12"/>
        <v>-0.50016679288399968</v>
      </c>
      <c r="I97" s="18">
        <v>-0.5</v>
      </c>
      <c r="J97" s="18">
        <v>0.5</v>
      </c>
      <c r="K97" s="18">
        <v>-2</v>
      </c>
      <c r="L97" s="18">
        <v>1</v>
      </c>
      <c r="M97" s="18">
        <v>1.5</v>
      </c>
      <c r="N97" s="18">
        <v>2</v>
      </c>
      <c r="O97" s="19">
        <f t="shared" si="13"/>
        <v>-1</v>
      </c>
      <c r="P97" s="19">
        <v>-0.5</v>
      </c>
      <c r="Q97" s="19">
        <v>-4</v>
      </c>
      <c r="R97" s="19">
        <v>1</v>
      </c>
      <c r="S97" s="19">
        <v>0.5</v>
      </c>
      <c r="T97" s="19">
        <v>2.5</v>
      </c>
    </row>
    <row r="98" spans="1:20" x14ac:dyDescent="0.25">
      <c r="A98" s="30">
        <v>43414</v>
      </c>
      <c r="B98" s="28">
        <v>0.02</v>
      </c>
      <c r="C98" s="31">
        <f t="shared" si="8"/>
        <v>0.50800000000000001</v>
      </c>
      <c r="D98" s="32">
        <f t="shared" si="9"/>
        <v>4.1798596491228075</v>
      </c>
      <c r="E98" s="32">
        <f t="shared" si="10"/>
        <v>7.8491009498771449</v>
      </c>
      <c r="F98" s="33">
        <f t="shared" si="11"/>
        <v>-3.6718596491228075</v>
      </c>
      <c r="G98" s="33">
        <f t="shared" si="12"/>
        <v>-0.46780639879275343</v>
      </c>
      <c r="I98" s="18">
        <v>-0.5</v>
      </c>
      <c r="J98" s="18">
        <v>0.5</v>
      </c>
      <c r="K98" s="18">
        <v>-2</v>
      </c>
      <c r="L98" s="18">
        <v>1</v>
      </c>
      <c r="M98" s="18">
        <v>1.5</v>
      </c>
      <c r="N98" s="18">
        <v>2</v>
      </c>
      <c r="O98" s="19">
        <f t="shared" si="13"/>
        <v>-1</v>
      </c>
      <c r="P98" s="19">
        <v>-0.5</v>
      </c>
      <c r="Q98" s="19">
        <v>-4</v>
      </c>
      <c r="R98" s="19">
        <v>1</v>
      </c>
      <c r="S98" s="19">
        <v>0.5</v>
      </c>
      <c r="T98" s="19">
        <v>2.5</v>
      </c>
    </row>
    <row r="99" spans="1:20" x14ac:dyDescent="0.25">
      <c r="A99" s="34">
        <v>43444</v>
      </c>
      <c r="B99" s="28">
        <v>0.02</v>
      </c>
      <c r="C99" s="31">
        <f t="shared" si="8"/>
        <v>0.50800000000000001</v>
      </c>
      <c r="D99" s="32">
        <f t="shared" si="9"/>
        <v>4.1798596491228075</v>
      </c>
      <c r="E99" s="32">
        <f t="shared" si="10"/>
        <v>7.8491009498771449</v>
      </c>
      <c r="F99" s="33">
        <f t="shared" si="11"/>
        <v>-3.6718596491228075</v>
      </c>
      <c r="G99" s="33">
        <f t="shared" si="12"/>
        <v>-0.46780639879275343</v>
      </c>
      <c r="I99" s="18">
        <v>-0.5</v>
      </c>
      <c r="J99" s="18">
        <v>0.5</v>
      </c>
      <c r="K99" s="18">
        <v>-2</v>
      </c>
      <c r="L99" s="18">
        <v>1</v>
      </c>
      <c r="M99" s="18">
        <v>1.5</v>
      </c>
      <c r="N99" s="18">
        <v>2</v>
      </c>
      <c r="O99" s="19">
        <f t="shared" si="13"/>
        <v>-1</v>
      </c>
      <c r="P99" s="19">
        <v>-0.5</v>
      </c>
      <c r="Q99" s="19">
        <v>-4</v>
      </c>
      <c r="R99" s="19">
        <v>1</v>
      </c>
      <c r="S99" s="19">
        <v>0.5</v>
      </c>
      <c r="T99" s="19">
        <v>2.5</v>
      </c>
    </row>
    <row r="100" spans="1:20" x14ac:dyDescent="0.25">
      <c r="A100" s="30">
        <v>43475</v>
      </c>
      <c r="B100" s="28">
        <v>0.18</v>
      </c>
      <c r="C100" s="31">
        <f t="shared" si="8"/>
        <v>4.5719999999999992</v>
      </c>
      <c r="D100" s="32">
        <f t="shared" si="9"/>
        <v>4.1798596491228075</v>
      </c>
      <c r="E100" s="32">
        <f t="shared" si="10"/>
        <v>7.8491009498771449</v>
      </c>
      <c r="F100" s="33">
        <f t="shared" si="11"/>
        <v>0.39214035087719168</v>
      </c>
      <c r="G100" s="33">
        <f t="shared" si="12"/>
        <v>4.9959906667187089E-2</v>
      </c>
      <c r="I100" s="18">
        <v>-0.5</v>
      </c>
      <c r="J100" s="18">
        <v>0.5</v>
      </c>
      <c r="K100" s="18">
        <v>-2</v>
      </c>
      <c r="L100" s="18">
        <v>1</v>
      </c>
      <c r="M100" s="18">
        <v>1.5</v>
      </c>
      <c r="N100" s="18">
        <v>2</v>
      </c>
      <c r="O100" s="19">
        <f t="shared" si="13"/>
        <v>-1</v>
      </c>
      <c r="P100" s="19">
        <v>-0.5</v>
      </c>
      <c r="Q100" s="19">
        <v>-4</v>
      </c>
      <c r="R100" s="19">
        <v>1</v>
      </c>
      <c r="S100" s="19">
        <v>0.5</v>
      </c>
      <c r="T100" s="19">
        <v>2.5</v>
      </c>
    </row>
    <row r="101" spans="1:20" x14ac:dyDescent="0.25">
      <c r="A101" s="30">
        <v>43506</v>
      </c>
      <c r="B101" s="28">
        <v>0.09</v>
      </c>
      <c r="C101" s="31">
        <f t="shared" si="8"/>
        <v>2.2859999999999996</v>
      </c>
      <c r="D101" s="32">
        <f t="shared" si="9"/>
        <v>4.1798596491228075</v>
      </c>
      <c r="E101" s="32">
        <f t="shared" si="10"/>
        <v>7.8491009498771449</v>
      </c>
      <c r="F101" s="33">
        <f t="shared" si="11"/>
        <v>-1.8938596491228079</v>
      </c>
      <c r="G101" s="33">
        <f t="shared" si="12"/>
        <v>-0.24128364015402948</v>
      </c>
      <c r="I101" s="18">
        <v>-0.5</v>
      </c>
      <c r="J101" s="18">
        <v>0.5</v>
      </c>
      <c r="K101" s="18">
        <v>-2</v>
      </c>
      <c r="L101" s="18">
        <v>1</v>
      </c>
      <c r="M101" s="18">
        <v>1.5</v>
      </c>
      <c r="N101" s="18">
        <v>2</v>
      </c>
      <c r="O101" s="19">
        <f t="shared" si="13"/>
        <v>-1</v>
      </c>
      <c r="P101" s="19">
        <v>-0.5</v>
      </c>
      <c r="Q101" s="19">
        <v>-4</v>
      </c>
      <c r="R101" s="19">
        <v>1</v>
      </c>
      <c r="S101" s="19">
        <v>0.5</v>
      </c>
      <c r="T101" s="19">
        <v>2.5</v>
      </c>
    </row>
    <row r="102" spans="1:20" x14ac:dyDescent="0.25">
      <c r="A102" s="30">
        <v>43534</v>
      </c>
      <c r="B102" s="28">
        <v>0.06</v>
      </c>
      <c r="C102" s="31">
        <f t="shared" si="8"/>
        <v>1.5239999999999998</v>
      </c>
      <c r="D102" s="32">
        <f t="shared" si="9"/>
        <v>4.1798596491228075</v>
      </c>
      <c r="E102" s="32">
        <f t="shared" si="10"/>
        <v>7.8491009498771449</v>
      </c>
      <c r="F102" s="33">
        <f t="shared" si="11"/>
        <v>-2.6558596491228075</v>
      </c>
      <c r="G102" s="33">
        <f t="shared" si="12"/>
        <v>-0.33836482242776827</v>
      </c>
      <c r="I102" s="18">
        <v>-0.5</v>
      </c>
      <c r="J102" s="18">
        <v>0.5</v>
      </c>
      <c r="K102" s="18">
        <v>-2</v>
      </c>
      <c r="L102" s="18">
        <v>1</v>
      </c>
      <c r="M102" s="18">
        <v>1.5</v>
      </c>
      <c r="N102" s="18">
        <v>2</v>
      </c>
      <c r="O102" s="19">
        <f t="shared" si="13"/>
        <v>-1</v>
      </c>
      <c r="P102" s="19">
        <v>-0.5</v>
      </c>
      <c r="Q102" s="19">
        <v>-4</v>
      </c>
      <c r="R102" s="19">
        <v>1</v>
      </c>
      <c r="S102" s="19">
        <v>0.5</v>
      </c>
      <c r="T102" s="19">
        <v>2.5</v>
      </c>
    </row>
    <row r="103" spans="1:20" x14ac:dyDescent="0.25">
      <c r="A103" s="30">
        <v>43565</v>
      </c>
      <c r="B103" s="28">
        <v>0.11</v>
      </c>
      <c r="C103" s="31">
        <f t="shared" si="8"/>
        <v>2.794</v>
      </c>
      <c r="D103" s="32">
        <f t="shared" si="9"/>
        <v>4.1798596491228075</v>
      </c>
      <c r="E103" s="32">
        <f t="shared" si="10"/>
        <v>7.8491009498771449</v>
      </c>
      <c r="F103" s="33">
        <f t="shared" si="11"/>
        <v>-1.3858596491228075</v>
      </c>
      <c r="G103" s="33">
        <f t="shared" si="12"/>
        <v>-0.17656285197153682</v>
      </c>
      <c r="I103" s="18">
        <v>-0.5</v>
      </c>
      <c r="J103" s="18">
        <v>0.5</v>
      </c>
      <c r="K103" s="18">
        <v>-2</v>
      </c>
      <c r="L103" s="18">
        <v>1</v>
      </c>
      <c r="M103" s="18">
        <v>1.5</v>
      </c>
      <c r="N103" s="18">
        <v>2</v>
      </c>
      <c r="O103" s="19">
        <f t="shared" si="13"/>
        <v>-1</v>
      </c>
      <c r="P103" s="19">
        <v>-0.5</v>
      </c>
      <c r="Q103" s="19">
        <v>-4</v>
      </c>
      <c r="R103" s="19">
        <v>1</v>
      </c>
      <c r="S103" s="19">
        <v>0.5</v>
      </c>
      <c r="T103" s="19">
        <v>2.5</v>
      </c>
    </row>
    <row r="104" spans="1:20" x14ac:dyDescent="0.25">
      <c r="A104" s="30">
        <v>43595</v>
      </c>
      <c r="B104" s="28">
        <v>0</v>
      </c>
      <c r="C104" s="31">
        <f t="shared" si="8"/>
        <v>0</v>
      </c>
      <c r="D104" s="32">
        <f t="shared" si="9"/>
        <v>4.1798596491228075</v>
      </c>
      <c r="E104" s="32">
        <f t="shared" si="10"/>
        <v>7.8491009498771449</v>
      </c>
      <c r="F104" s="33">
        <f t="shared" si="11"/>
        <v>-4.1798596491228075</v>
      </c>
      <c r="G104" s="33">
        <f t="shared" si="12"/>
        <v>-0.53252718697524604</v>
      </c>
      <c r="I104" s="18">
        <v>-0.5</v>
      </c>
      <c r="J104" s="18">
        <v>0.5</v>
      </c>
      <c r="K104" s="18">
        <v>-2</v>
      </c>
      <c r="L104" s="18">
        <v>1</v>
      </c>
      <c r="M104" s="18">
        <v>1.5</v>
      </c>
      <c r="N104" s="18">
        <v>2</v>
      </c>
      <c r="O104" s="19">
        <f t="shared" si="13"/>
        <v>-1</v>
      </c>
      <c r="P104" s="19">
        <v>-0.5</v>
      </c>
      <c r="Q104" s="19">
        <v>-4</v>
      </c>
      <c r="R104" s="19">
        <v>1</v>
      </c>
      <c r="S104" s="19">
        <v>0.5</v>
      </c>
      <c r="T104" s="19">
        <v>2.5</v>
      </c>
    </row>
    <row r="105" spans="1:20" x14ac:dyDescent="0.25">
      <c r="A105" s="30">
        <v>43626</v>
      </c>
      <c r="B105" s="28">
        <v>0.01</v>
      </c>
      <c r="C105" s="31">
        <f t="shared" si="8"/>
        <v>0.254</v>
      </c>
      <c r="D105" s="32">
        <f t="shared" si="9"/>
        <v>4.1798596491228075</v>
      </c>
      <c r="E105" s="32">
        <f t="shared" si="10"/>
        <v>7.8491009498771449</v>
      </c>
      <c r="F105" s="33">
        <f t="shared" si="11"/>
        <v>-3.9258596491228075</v>
      </c>
      <c r="G105" s="33">
        <f t="shared" si="12"/>
        <v>-0.50016679288399968</v>
      </c>
      <c r="I105" s="18">
        <v>-0.5</v>
      </c>
      <c r="J105" s="18">
        <v>0.5</v>
      </c>
      <c r="K105" s="18">
        <v>-2</v>
      </c>
      <c r="L105" s="18">
        <v>1</v>
      </c>
      <c r="M105" s="18">
        <v>1.5</v>
      </c>
      <c r="N105" s="18">
        <v>2</v>
      </c>
      <c r="O105" s="19">
        <f t="shared" si="13"/>
        <v>-1</v>
      </c>
      <c r="P105" s="19">
        <v>-0.5</v>
      </c>
      <c r="Q105" s="19">
        <v>-4</v>
      </c>
      <c r="R105" s="19">
        <v>1</v>
      </c>
      <c r="S105" s="19">
        <v>0.5</v>
      </c>
      <c r="T105" s="19">
        <v>2.5</v>
      </c>
    </row>
    <row r="106" spans="1:20" x14ac:dyDescent="0.25">
      <c r="A106" s="34">
        <v>43656</v>
      </c>
      <c r="B106" s="28">
        <v>0.01</v>
      </c>
      <c r="C106" s="31">
        <f t="shared" si="8"/>
        <v>0.254</v>
      </c>
      <c r="D106" s="32">
        <f t="shared" si="9"/>
        <v>4.1798596491228075</v>
      </c>
      <c r="E106" s="32">
        <f t="shared" si="10"/>
        <v>7.8491009498771449</v>
      </c>
      <c r="F106" s="33">
        <f t="shared" si="11"/>
        <v>-3.9258596491228075</v>
      </c>
      <c r="G106" s="33">
        <f t="shared" si="12"/>
        <v>-0.50016679288399968</v>
      </c>
      <c r="I106" s="18">
        <v>-0.5</v>
      </c>
      <c r="J106" s="18">
        <v>0.5</v>
      </c>
      <c r="K106" s="18">
        <v>-2</v>
      </c>
      <c r="L106" s="18">
        <v>1</v>
      </c>
      <c r="M106" s="18">
        <v>1.5</v>
      </c>
      <c r="N106" s="18">
        <v>2</v>
      </c>
      <c r="O106" s="19">
        <f t="shared" si="13"/>
        <v>-1</v>
      </c>
      <c r="P106" s="19">
        <v>-0.5</v>
      </c>
      <c r="Q106" s="19">
        <v>-4</v>
      </c>
      <c r="R106" s="19">
        <v>1</v>
      </c>
      <c r="S106" s="19">
        <v>0.5</v>
      </c>
      <c r="T106" s="19">
        <v>2.5</v>
      </c>
    </row>
    <row r="107" spans="1:20" x14ac:dyDescent="0.25">
      <c r="A107" s="30">
        <v>43687</v>
      </c>
      <c r="B107" s="28">
        <v>0</v>
      </c>
      <c r="C107" s="31">
        <f t="shared" si="8"/>
        <v>0</v>
      </c>
      <c r="D107" s="32">
        <f t="shared" si="9"/>
        <v>4.1798596491228075</v>
      </c>
      <c r="E107" s="32">
        <f t="shared" si="10"/>
        <v>7.8491009498771449</v>
      </c>
      <c r="F107" s="33">
        <f t="shared" si="11"/>
        <v>-4.1798596491228075</v>
      </c>
      <c r="G107" s="33">
        <f t="shared" si="12"/>
        <v>-0.53252718697524604</v>
      </c>
      <c r="I107" s="18">
        <v>-0.5</v>
      </c>
      <c r="J107" s="18">
        <v>0.5</v>
      </c>
      <c r="K107" s="18">
        <v>-2</v>
      </c>
      <c r="L107" s="18">
        <v>1</v>
      </c>
      <c r="M107" s="18">
        <v>1.5</v>
      </c>
      <c r="N107" s="18">
        <v>2</v>
      </c>
      <c r="O107" s="19">
        <f t="shared" si="13"/>
        <v>-1</v>
      </c>
      <c r="P107" s="19">
        <v>-0.5</v>
      </c>
      <c r="Q107" s="19">
        <v>-4</v>
      </c>
      <c r="R107" s="19">
        <v>1</v>
      </c>
      <c r="S107" s="19">
        <v>0.5</v>
      </c>
      <c r="T107" s="19">
        <v>2.5</v>
      </c>
    </row>
    <row r="108" spans="1:20" x14ac:dyDescent="0.25">
      <c r="A108" s="30">
        <v>43718</v>
      </c>
      <c r="B108" s="28">
        <v>0.01</v>
      </c>
      <c r="C108" s="31">
        <f t="shared" si="8"/>
        <v>0.254</v>
      </c>
      <c r="D108" s="32">
        <f t="shared" si="9"/>
        <v>4.1798596491228075</v>
      </c>
      <c r="E108" s="32">
        <f t="shared" si="10"/>
        <v>7.8491009498771449</v>
      </c>
      <c r="F108" s="33">
        <f t="shared" si="11"/>
        <v>-3.9258596491228075</v>
      </c>
      <c r="G108" s="33">
        <f t="shared" si="12"/>
        <v>-0.50016679288399968</v>
      </c>
      <c r="I108" s="18">
        <v>-0.5</v>
      </c>
      <c r="J108" s="18">
        <v>0.5</v>
      </c>
      <c r="K108" s="18">
        <v>-2</v>
      </c>
      <c r="L108" s="18">
        <v>1</v>
      </c>
      <c r="M108" s="18">
        <v>1.5</v>
      </c>
      <c r="N108" s="18">
        <v>2</v>
      </c>
      <c r="O108" s="19">
        <f t="shared" si="13"/>
        <v>-1</v>
      </c>
      <c r="P108" s="19">
        <v>-0.5</v>
      </c>
      <c r="Q108" s="19">
        <v>-4</v>
      </c>
      <c r="R108" s="19">
        <v>1</v>
      </c>
      <c r="S108" s="19">
        <v>0.5</v>
      </c>
      <c r="T108" s="19">
        <v>2.5</v>
      </c>
    </row>
    <row r="109" spans="1:20" x14ac:dyDescent="0.25">
      <c r="A109" s="30">
        <v>43748</v>
      </c>
      <c r="B109" s="28">
        <v>0.01</v>
      </c>
      <c r="C109" s="31">
        <f t="shared" si="8"/>
        <v>0.254</v>
      </c>
      <c r="D109" s="32">
        <f t="shared" si="9"/>
        <v>4.1798596491228075</v>
      </c>
      <c r="E109" s="32">
        <f t="shared" si="10"/>
        <v>7.8491009498771449</v>
      </c>
      <c r="F109" s="33">
        <f t="shared" si="11"/>
        <v>-3.9258596491228075</v>
      </c>
      <c r="G109" s="33">
        <f t="shared" si="12"/>
        <v>-0.50016679288399968</v>
      </c>
      <c r="I109" s="18">
        <v>-0.5</v>
      </c>
      <c r="J109" s="18">
        <v>0.5</v>
      </c>
      <c r="K109" s="18">
        <v>-2</v>
      </c>
      <c r="L109" s="18">
        <v>1</v>
      </c>
      <c r="M109" s="18">
        <v>1.5</v>
      </c>
      <c r="N109" s="18">
        <v>2</v>
      </c>
      <c r="O109" s="19">
        <f t="shared" si="13"/>
        <v>-1</v>
      </c>
      <c r="P109" s="19">
        <v>-0.5</v>
      </c>
      <c r="Q109" s="19">
        <v>-4</v>
      </c>
      <c r="R109" s="19">
        <v>1</v>
      </c>
      <c r="S109" s="19">
        <v>0.5</v>
      </c>
      <c r="T109" s="19">
        <v>2.5</v>
      </c>
    </row>
    <row r="110" spans="1:20" x14ac:dyDescent="0.25">
      <c r="A110" s="30">
        <v>43779</v>
      </c>
      <c r="B110" s="28">
        <v>0.01</v>
      </c>
      <c r="C110" s="31">
        <f t="shared" si="8"/>
        <v>0.254</v>
      </c>
      <c r="D110" s="32">
        <f t="shared" si="9"/>
        <v>4.1798596491228075</v>
      </c>
      <c r="E110" s="32">
        <f t="shared" si="10"/>
        <v>7.8491009498771449</v>
      </c>
      <c r="F110" s="33">
        <f t="shared" si="11"/>
        <v>-3.9258596491228075</v>
      </c>
      <c r="G110" s="33">
        <f t="shared" si="12"/>
        <v>-0.50016679288399968</v>
      </c>
      <c r="I110" s="18">
        <v>-0.5</v>
      </c>
      <c r="J110" s="18">
        <v>0.5</v>
      </c>
      <c r="K110" s="18">
        <v>-2</v>
      </c>
      <c r="L110" s="18">
        <v>1</v>
      </c>
      <c r="M110" s="18">
        <v>1.5</v>
      </c>
      <c r="N110" s="18">
        <v>2</v>
      </c>
      <c r="O110" s="19">
        <f t="shared" si="13"/>
        <v>-1</v>
      </c>
      <c r="P110" s="19">
        <v>-0.5</v>
      </c>
      <c r="Q110" s="19">
        <v>-4</v>
      </c>
      <c r="R110" s="19">
        <v>1</v>
      </c>
      <c r="S110" s="19">
        <v>0.5</v>
      </c>
      <c r="T110" s="19">
        <v>2.5</v>
      </c>
    </row>
    <row r="111" spans="1:20" x14ac:dyDescent="0.25">
      <c r="A111" s="30">
        <v>43809</v>
      </c>
      <c r="B111" s="28">
        <v>0.06</v>
      </c>
      <c r="C111" s="31">
        <f t="shared" si="8"/>
        <v>1.5239999999999998</v>
      </c>
      <c r="D111" s="32">
        <f t="shared" si="9"/>
        <v>4.1798596491228075</v>
      </c>
      <c r="E111" s="32">
        <f t="shared" si="10"/>
        <v>7.8491009498771449</v>
      </c>
      <c r="F111" s="33">
        <f t="shared" si="11"/>
        <v>-2.6558596491228075</v>
      </c>
      <c r="G111" s="33">
        <f t="shared" si="12"/>
        <v>-0.33836482242776827</v>
      </c>
      <c r="I111" s="18">
        <v>-0.5</v>
      </c>
      <c r="J111" s="18">
        <v>0.5</v>
      </c>
      <c r="K111" s="18">
        <v>-2</v>
      </c>
      <c r="L111" s="18">
        <v>1</v>
      </c>
      <c r="M111" s="18">
        <v>1.5</v>
      </c>
      <c r="N111" s="18">
        <v>2</v>
      </c>
      <c r="O111" s="19">
        <f t="shared" si="13"/>
        <v>-1</v>
      </c>
      <c r="P111" s="19">
        <v>-0.5</v>
      </c>
      <c r="Q111" s="19">
        <v>-4</v>
      </c>
      <c r="R111" s="19">
        <v>1</v>
      </c>
      <c r="S111" s="19">
        <v>0.5</v>
      </c>
      <c r="T111" s="19">
        <v>2.5</v>
      </c>
    </row>
    <row r="112" spans="1:20" x14ac:dyDescent="0.25">
      <c r="A112" s="30">
        <v>43840</v>
      </c>
      <c r="B112" s="28">
        <v>0.09</v>
      </c>
      <c r="C112" s="31">
        <f t="shared" si="8"/>
        <v>2.2859999999999996</v>
      </c>
      <c r="D112" s="32">
        <f t="shared" si="9"/>
        <v>4.1798596491228075</v>
      </c>
      <c r="E112" s="32">
        <f t="shared" si="10"/>
        <v>7.8491009498771449</v>
      </c>
      <c r="F112" s="33">
        <f t="shared" si="11"/>
        <v>-1.8938596491228079</v>
      </c>
      <c r="G112" s="33">
        <f t="shared" si="12"/>
        <v>-0.24128364015402948</v>
      </c>
      <c r="I112" s="18">
        <v>-0.5</v>
      </c>
      <c r="J112" s="18">
        <v>0.5</v>
      </c>
      <c r="K112" s="18">
        <v>-2</v>
      </c>
      <c r="L112" s="18">
        <v>1</v>
      </c>
      <c r="M112" s="18">
        <v>1.5</v>
      </c>
      <c r="N112" s="18">
        <v>2</v>
      </c>
      <c r="O112" s="19">
        <f t="shared" si="13"/>
        <v>-1</v>
      </c>
      <c r="P112" s="19">
        <v>-0.5</v>
      </c>
      <c r="Q112" s="19">
        <v>-4</v>
      </c>
      <c r="R112" s="19">
        <v>1</v>
      </c>
      <c r="S112" s="19">
        <v>0.5</v>
      </c>
      <c r="T112" s="19">
        <v>2.5</v>
      </c>
    </row>
    <row r="113" spans="1:20" x14ac:dyDescent="0.25">
      <c r="A113" s="34">
        <v>43871</v>
      </c>
      <c r="B113" s="28">
        <v>0.11</v>
      </c>
      <c r="C113" s="31">
        <f t="shared" si="8"/>
        <v>2.794</v>
      </c>
      <c r="D113" s="32">
        <f t="shared" si="9"/>
        <v>4.1798596491228075</v>
      </c>
      <c r="E113" s="32">
        <f t="shared" si="10"/>
        <v>7.8491009498771449</v>
      </c>
      <c r="F113" s="33">
        <f t="shared" si="11"/>
        <v>-1.3858596491228075</v>
      </c>
      <c r="G113" s="33">
        <f t="shared" si="12"/>
        <v>-0.17656285197153682</v>
      </c>
      <c r="I113" s="18">
        <v>-0.5</v>
      </c>
      <c r="J113" s="18">
        <v>0.5</v>
      </c>
      <c r="K113" s="18">
        <v>-2</v>
      </c>
      <c r="L113" s="18">
        <v>1</v>
      </c>
      <c r="M113" s="18">
        <v>1.5</v>
      </c>
      <c r="N113" s="18">
        <v>2</v>
      </c>
      <c r="O113" s="19">
        <f t="shared" si="13"/>
        <v>-1</v>
      </c>
      <c r="P113" s="19">
        <v>-0.5</v>
      </c>
      <c r="Q113" s="19">
        <v>-4</v>
      </c>
      <c r="R113" s="19">
        <v>1</v>
      </c>
      <c r="S113" s="19">
        <v>0.5</v>
      </c>
      <c r="T113" s="19">
        <v>2.5</v>
      </c>
    </row>
    <row r="114" spans="1:20" x14ac:dyDescent="0.25">
      <c r="A114" s="30">
        <v>43900</v>
      </c>
      <c r="B114" s="28">
        <v>0.06</v>
      </c>
      <c r="C114" s="31">
        <f t="shared" si="8"/>
        <v>1.5239999999999998</v>
      </c>
      <c r="D114" s="32">
        <f t="shared" si="9"/>
        <v>4.1798596491228075</v>
      </c>
      <c r="E114" s="32">
        <f t="shared" si="10"/>
        <v>7.8491009498771449</v>
      </c>
      <c r="F114" s="33">
        <f t="shared" si="11"/>
        <v>-2.6558596491228075</v>
      </c>
      <c r="G114" s="33">
        <f t="shared" si="12"/>
        <v>-0.33836482242776827</v>
      </c>
      <c r="I114" s="18">
        <v>-0.5</v>
      </c>
      <c r="J114" s="18">
        <v>0.5</v>
      </c>
      <c r="K114" s="18">
        <v>-2</v>
      </c>
      <c r="L114" s="18">
        <v>1</v>
      </c>
      <c r="M114" s="18">
        <v>1.5</v>
      </c>
      <c r="N114" s="18">
        <v>2</v>
      </c>
      <c r="O114" s="19">
        <f t="shared" si="13"/>
        <v>-1</v>
      </c>
      <c r="P114" s="19">
        <v>-0.5</v>
      </c>
      <c r="Q114" s="19">
        <v>-4</v>
      </c>
      <c r="R114" s="19">
        <v>1</v>
      </c>
      <c r="S114" s="19">
        <v>0.5</v>
      </c>
      <c r="T114" s="19">
        <v>2.5</v>
      </c>
    </row>
    <row r="115" spans="1:20" x14ac:dyDescent="0.25">
      <c r="A115" s="30">
        <v>43931</v>
      </c>
      <c r="B115" s="28">
        <v>0.05</v>
      </c>
      <c r="C115" s="31">
        <f t="shared" si="8"/>
        <v>1.27</v>
      </c>
      <c r="D115" s="32">
        <f t="shared" si="9"/>
        <v>4.1798596491228075</v>
      </c>
      <c r="E115" s="32">
        <f t="shared" si="10"/>
        <v>7.8491009498771449</v>
      </c>
      <c r="F115" s="33">
        <f t="shared" si="11"/>
        <v>-2.9098596491228075</v>
      </c>
      <c r="G115" s="33">
        <f t="shared" si="12"/>
        <v>-0.37072521651901458</v>
      </c>
      <c r="I115" s="18">
        <v>-0.5</v>
      </c>
      <c r="J115" s="18">
        <v>0.5</v>
      </c>
      <c r="K115" s="18">
        <v>-2</v>
      </c>
      <c r="L115" s="18">
        <v>1</v>
      </c>
      <c r="M115" s="18">
        <v>1.5</v>
      </c>
      <c r="N115" s="18">
        <v>2</v>
      </c>
      <c r="O115" s="19">
        <f t="shared" si="13"/>
        <v>-1</v>
      </c>
      <c r="P115" s="19">
        <v>-0.5</v>
      </c>
      <c r="Q115" s="19">
        <v>-4</v>
      </c>
      <c r="R115" s="19">
        <v>1</v>
      </c>
      <c r="S115" s="19">
        <v>0.5</v>
      </c>
      <c r="T115" s="19">
        <v>2.5</v>
      </c>
    </row>
    <row r="116" spans="1:20" x14ac:dyDescent="0.25">
      <c r="A116" s="30">
        <v>43961</v>
      </c>
      <c r="B116" s="28">
        <v>0.01</v>
      </c>
      <c r="C116" s="31">
        <f t="shared" si="8"/>
        <v>0.254</v>
      </c>
      <c r="D116" s="32">
        <f t="shared" si="9"/>
        <v>4.1798596491228075</v>
      </c>
      <c r="E116" s="32">
        <f t="shared" si="10"/>
        <v>7.8491009498771449</v>
      </c>
      <c r="F116" s="33">
        <f t="shared" si="11"/>
        <v>-3.9258596491228075</v>
      </c>
      <c r="G116" s="33">
        <f t="shared" si="12"/>
        <v>-0.50016679288399968</v>
      </c>
      <c r="I116" s="18">
        <v>-0.5</v>
      </c>
      <c r="J116" s="18">
        <v>0.5</v>
      </c>
      <c r="K116" s="18">
        <v>-2</v>
      </c>
      <c r="L116" s="18">
        <v>1</v>
      </c>
      <c r="M116" s="18">
        <v>1.5</v>
      </c>
      <c r="N116" s="18">
        <v>2</v>
      </c>
      <c r="O116" s="19">
        <f t="shared" si="13"/>
        <v>-1</v>
      </c>
      <c r="P116" s="19">
        <v>-0.5</v>
      </c>
      <c r="Q116" s="19">
        <v>-4</v>
      </c>
      <c r="R116" s="19">
        <v>1</v>
      </c>
      <c r="S116" s="19">
        <v>0.5</v>
      </c>
      <c r="T116" s="19">
        <v>2.5</v>
      </c>
    </row>
    <row r="117" spans="1:20" x14ac:dyDescent="0.25">
      <c r="A117" s="30">
        <v>43992</v>
      </c>
      <c r="B117" s="28">
        <v>0.03</v>
      </c>
      <c r="C117" s="31">
        <f t="shared" si="8"/>
        <v>0.7619999999999999</v>
      </c>
      <c r="D117" s="32">
        <f t="shared" si="9"/>
        <v>4.1798596491228075</v>
      </c>
      <c r="E117" s="32">
        <f t="shared" si="10"/>
        <v>7.8491009498771449</v>
      </c>
      <c r="F117" s="33">
        <f t="shared" si="11"/>
        <v>-3.4178596491228075</v>
      </c>
      <c r="G117" s="33">
        <f t="shared" si="12"/>
        <v>-0.43544600470150713</v>
      </c>
      <c r="I117" s="18">
        <v>-0.5</v>
      </c>
      <c r="J117" s="18">
        <v>0.5</v>
      </c>
      <c r="K117" s="18">
        <v>-2</v>
      </c>
      <c r="L117" s="18">
        <v>1</v>
      </c>
      <c r="M117" s="18">
        <v>1.5</v>
      </c>
      <c r="N117" s="18">
        <v>2</v>
      </c>
      <c r="O117" s="19">
        <f t="shared" si="13"/>
        <v>-1</v>
      </c>
      <c r="P117" s="19">
        <v>-0.5</v>
      </c>
      <c r="Q117" s="19">
        <v>-4</v>
      </c>
      <c r="R117" s="19">
        <v>1</v>
      </c>
      <c r="S117" s="19">
        <v>0.5</v>
      </c>
      <c r="T117" s="19">
        <v>2.5</v>
      </c>
    </row>
    <row r="118" spans="1:20" x14ac:dyDescent="0.25">
      <c r="A118" s="30">
        <v>44022</v>
      </c>
      <c r="B118" s="28">
        <v>0.01</v>
      </c>
      <c r="C118" s="31">
        <f t="shared" si="8"/>
        <v>0.254</v>
      </c>
      <c r="D118" s="32">
        <f t="shared" si="9"/>
        <v>4.1798596491228075</v>
      </c>
      <c r="E118" s="32">
        <f t="shared" si="10"/>
        <v>7.8491009498771449</v>
      </c>
      <c r="F118" s="33">
        <f t="shared" si="11"/>
        <v>-3.9258596491228075</v>
      </c>
      <c r="G118" s="33">
        <f t="shared" si="12"/>
        <v>-0.50016679288399968</v>
      </c>
      <c r="I118" s="18">
        <v>-0.5</v>
      </c>
      <c r="J118" s="18">
        <v>0.5</v>
      </c>
      <c r="K118" s="18">
        <v>-2</v>
      </c>
      <c r="L118" s="18">
        <v>1</v>
      </c>
      <c r="M118" s="18">
        <v>1.5</v>
      </c>
      <c r="N118" s="18">
        <v>2</v>
      </c>
      <c r="O118" s="19">
        <f t="shared" si="13"/>
        <v>-1</v>
      </c>
      <c r="P118" s="19">
        <v>-0.5</v>
      </c>
      <c r="Q118" s="19">
        <v>-4</v>
      </c>
      <c r="R118" s="19">
        <v>1</v>
      </c>
      <c r="S118" s="19">
        <v>0.5</v>
      </c>
      <c r="T118" s="19">
        <v>2.5</v>
      </c>
    </row>
    <row r="119" spans="1:20" x14ac:dyDescent="0.25">
      <c r="A119" s="30">
        <v>44053</v>
      </c>
      <c r="B119" s="28">
        <v>0</v>
      </c>
      <c r="C119" s="31">
        <f t="shared" si="8"/>
        <v>0</v>
      </c>
      <c r="D119" s="32">
        <f t="shared" si="9"/>
        <v>4.1798596491228075</v>
      </c>
      <c r="E119" s="32">
        <f t="shared" si="10"/>
        <v>7.8491009498771449</v>
      </c>
      <c r="F119" s="33">
        <f t="shared" si="11"/>
        <v>-4.1798596491228075</v>
      </c>
      <c r="G119" s="33">
        <f t="shared" si="12"/>
        <v>-0.53252718697524604</v>
      </c>
      <c r="I119" s="18">
        <v>-0.5</v>
      </c>
      <c r="J119" s="18">
        <v>0.5</v>
      </c>
      <c r="K119" s="18">
        <v>-2</v>
      </c>
      <c r="L119" s="18">
        <v>1</v>
      </c>
      <c r="M119" s="18">
        <v>1.5</v>
      </c>
      <c r="N119" s="18">
        <v>2</v>
      </c>
      <c r="O119" s="19">
        <f t="shared" si="13"/>
        <v>-1</v>
      </c>
      <c r="P119" s="19">
        <v>-0.5</v>
      </c>
      <c r="Q119" s="19">
        <v>-4</v>
      </c>
      <c r="R119" s="19">
        <v>1</v>
      </c>
      <c r="S119" s="19">
        <v>0.5</v>
      </c>
      <c r="T119" s="19">
        <v>2.5</v>
      </c>
    </row>
    <row r="120" spans="1:20" x14ac:dyDescent="0.25">
      <c r="A120" s="34">
        <v>44084</v>
      </c>
      <c r="B120" s="28">
        <v>0.01</v>
      </c>
      <c r="C120" s="31">
        <f t="shared" si="8"/>
        <v>0.254</v>
      </c>
      <c r="D120" s="32">
        <f t="shared" si="9"/>
        <v>4.1798596491228075</v>
      </c>
      <c r="E120" s="32">
        <f t="shared" si="10"/>
        <v>7.8491009498771449</v>
      </c>
      <c r="F120" s="33">
        <f t="shared" si="11"/>
        <v>-3.9258596491228075</v>
      </c>
      <c r="G120" s="33">
        <f t="shared" si="12"/>
        <v>-0.50016679288399968</v>
      </c>
      <c r="I120" s="18">
        <v>-0.5</v>
      </c>
      <c r="J120" s="18">
        <v>0.5</v>
      </c>
      <c r="K120" s="18">
        <v>-2</v>
      </c>
      <c r="L120" s="18">
        <v>1</v>
      </c>
      <c r="M120" s="18">
        <v>1.5</v>
      </c>
      <c r="N120" s="18">
        <v>2</v>
      </c>
      <c r="O120" s="19">
        <f t="shared" si="13"/>
        <v>-1</v>
      </c>
      <c r="P120" s="19">
        <v>-0.5</v>
      </c>
      <c r="Q120" s="19">
        <v>-4</v>
      </c>
      <c r="R120" s="19">
        <v>1</v>
      </c>
      <c r="S120" s="19">
        <v>0.5</v>
      </c>
      <c r="T120" s="19">
        <v>2.5</v>
      </c>
    </row>
    <row r="121" spans="1:20" x14ac:dyDescent="0.25">
      <c r="A121" s="30">
        <v>44114</v>
      </c>
      <c r="B121" s="28">
        <v>0.01</v>
      </c>
      <c r="C121" s="31">
        <f t="shared" si="8"/>
        <v>0.254</v>
      </c>
      <c r="D121" s="32">
        <f t="shared" si="9"/>
        <v>4.1798596491228075</v>
      </c>
      <c r="E121" s="32">
        <f t="shared" si="10"/>
        <v>7.8491009498771449</v>
      </c>
      <c r="F121" s="33">
        <f t="shared" si="11"/>
        <v>-3.9258596491228075</v>
      </c>
      <c r="G121" s="33">
        <f t="shared" si="12"/>
        <v>-0.50016679288399968</v>
      </c>
      <c r="I121" s="18">
        <v>-0.5</v>
      </c>
      <c r="J121" s="18">
        <v>0.5</v>
      </c>
      <c r="K121" s="18">
        <v>-2</v>
      </c>
      <c r="L121" s="18">
        <v>1</v>
      </c>
      <c r="M121" s="18">
        <v>1.5</v>
      </c>
      <c r="N121" s="18">
        <v>2</v>
      </c>
      <c r="O121" s="19">
        <f t="shared" si="13"/>
        <v>-1</v>
      </c>
      <c r="P121" s="19">
        <v>-0.5</v>
      </c>
      <c r="Q121" s="19">
        <v>-4</v>
      </c>
      <c r="R121" s="19">
        <v>1</v>
      </c>
      <c r="S121" s="19">
        <v>0.5</v>
      </c>
      <c r="T121" s="19">
        <v>2.5</v>
      </c>
    </row>
    <row r="122" spans="1:20" x14ac:dyDescent="0.25">
      <c r="A122" s="30">
        <v>44145</v>
      </c>
      <c r="B122" s="28">
        <v>0.02</v>
      </c>
      <c r="C122" s="31">
        <f t="shared" si="8"/>
        <v>0.50800000000000001</v>
      </c>
      <c r="D122" s="32">
        <f t="shared" si="9"/>
        <v>4.1798596491228075</v>
      </c>
      <c r="E122" s="32">
        <f t="shared" si="10"/>
        <v>7.8491009498771449</v>
      </c>
      <c r="F122" s="33">
        <f t="shared" si="11"/>
        <v>-3.6718596491228075</v>
      </c>
      <c r="G122" s="33">
        <f t="shared" si="12"/>
        <v>-0.46780639879275343</v>
      </c>
      <c r="I122" s="18">
        <v>-0.5</v>
      </c>
      <c r="J122" s="18">
        <v>0.5</v>
      </c>
      <c r="K122" s="18">
        <v>-2</v>
      </c>
      <c r="L122" s="18">
        <v>1</v>
      </c>
      <c r="M122" s="18">
        <v>1.5</v>
      </c>
      <c r="N122" s="18">
        <v>2</v>
      </c>
      <c r="O122" s="19">
        <f t="shared" si="13"/>
        <v>-1</v>
      </c>
      <c r="P122" s="19">
        <v>-0.5</v>
      </c>
      <c r="Q122" s="19">
        <v>-4</v>
      </c>
      <c r="R122" s="19">
        <v>1</v>
      </c>
      <c r="S122" s="19">
        <v>0.5</v>
      </c>
      <c r="T122" s="19">
        <v>2.5</v>
      </c>
    </row>
    <row r="123" spans="1:20" x14ac:dyDescent="0.25">
      <c r="A123" s="30">
        <v>44175</v>
      </c>
      <c r="B123" s="28">
        <v>0.02</v>
      </c>
      <c r="C123" s="31">
        <f t="shared" si="8"/>
        <v>0.50800000000000001</v>
      </c>
      <c r="D123" s="32">
        <f t="shared" si="9"/>
        <v>4.1798596491228075</v>
      </c>
      <c r="E123" s="32">
        <f t="shared" si="10"/>
        <v>7.8491009498771449</v>
      </c>
      <c r="F123" s="33">
        <f t="shared" si="11"/>
        <v>-3.6718596491228075</v>
      </c>
      <c r="G123" s="33">
        <f t="shared" si="12"/>
        <v>-0.46780639879275343</v>
      </c>
      <c r="I123" s="18">
        <v>-0.5</v>
      </c>
      <c r="J123" s="18">
        <v>0.5</v>
      </c>
      <c r="K123" s="18">
        <v>-2</v>
      </c>
      <c r="L123" s="18">
        <v>1</v>
      </c>
      <c r="M123" s="18">
        <v>1.5</v>
      </c>
      <c r="N123" s="18">
        <v>2</v>
      </c>
      <c r="O123" s="19">
        <f t="shared" si="13"/>
        <v>-1</v>
      </c>
      <c r="P123" s="19">
        <v>-0.5</v>
      </c>
      <c r="Q123" s="19">
        <v>-4</v>
      </c>
      <c r="R123" s="19">
        <v>1</v>
      </c>
      <c r="S123" s="19">
        <v>0.5</v>
      </c>
      <c r="T123" s="19">
        <v>2.5</v>
      </c>
    </row>
    <row r="124" spans="1:20" x14ac:dyDescent="0.25">
      <c r="A124" s="30">
        <v>44206</v>
      </c>
      <c r="B124" s="28">
        <v>1.82</v>
      </c>
      <c r="C124" s="31">
        <f>B124*$H$4</f>
        <v>46.228000000000002</v>
      </c>
      <c r="D124" s="32">
        <f t="shared" si="9"/>
        <v>4.1798596491228075</v>
      </c>
      <c r="E124" s="32">
        <f t="shared" si="10"/>
        <v>7.8491009498771449</v>
      </c>
      <c r="F124" s="33">
        <f t="shared" si="11"/>
        <v>42.04814035087719</v>
      </c>
      <c r="G124" s="33">
        <f t="shared" si="12"/>
        <v>5.3570645376315786</v>
      </c>
      <c r="I124" s="18">
        <v>-0.5</v>
      </c>
      <c r="J124" s="18">
        <v>0.5</v>
      </c>
      <c r="K124" s="18">
        <v>-2</v>
      </c>
      <c r="L124" s="18">
        <v>1</v>
      </c>
      <c r="M124" s="18">
        <v>1.5</v>
      </c>
      <c r="N124" s="18">
        <v>2</v>
      </c>
      <c r="O124" s="19">
        <f t="shared" si="13"/>
        <v>-1</v>
      </c>
      <c r="P124" s="19">
        <v>-0.5</v>
      </c>
      <c r="Q124" s="19">
        <v>-4</v>
      </c>
      <c r="R124" s="19">
        <v>1</v>
      </c>
      <c r="S124" s="19">
        <v>0.5</v>
      </c>
      <c r="T124" s="19">
        <v>2.5</v>
      </c>
    </row>
    <row r="125" spans="1:20" x14ac:dyDescent="0.25">
      <c r="A125" s="34">
        <v>44237</v>
      </c>
      <c r="B125" s="28">
        <v>0</v>
      </c>
      <c r="C125" s="35">
        <f t="shared" ref="C125:C165" si="14">B125*$H$4</f>
        <v>0</v>
      </c>
      <c r="D125" s="32">
        <f t="shared" si="9"/>
        <v>4.1798596491228075</v>
      </c>
      <c r="E125" s="32">
        <f t="shared" si="10"/>
        <v>7.8491009498771449</v>
      </c>
      <c r="F125" s="33">
        <f t="shared" si="11"/>
        <v>-4.1798596491228075</v>
      </c>
      <c r="G125" s="33">
        <f t="shared" si="12"/>
        <v>-0.53252718697524604</v>
      </c>
      <c r="I125" s="18">
        <v>-0.5</v>
      </c>
      <c r="J125" s="18">
        <v>0.5</v>
      </c>
      <c r="K125" s="18">
        <v>-2</v>
      </c>
      <c r="L125" s="18">
        <v>1</v>
      </c>
      <c r="M125" s="18">
        <v>1.5</v>
      </c>
      <c r="N125" s="18">
        <v>2</v>
      </c>
      <c r="O125" s="19">
        <f t="shared" si="13"/>
        <v>-1</v>
      </c>
      <c r="P125" s="19">
        <v>-0.5</v>
      </c>
      <c r="Q125" s="19">
        <v>-4</v>
      </c>
      <c r="R125" s="19">
        <v>1</v>
      </c>
      <c r="S125" s="19">
        <v>0.5</v>
      </c>
      <c r="T125" s="19">
        <v>2.5</v>
      </c>
    </row>
    <row r="126" spans="1:20" x14ac:dyDescent="0.25">
      <c r="A126" s="30">
        <v>44265</v>
      </c>
      <c r="B126" s="28">
        <v>0.22</v>
      </c>
      <c r="C126" s="31">
        <f t="shared" si="14"/>
        <v>5.5880000000000001</v>
      </c>
      <c r="D126" s="32">
        <f t="shared" si="9"/>
        <v>4.1798596491228075</v>
      </c>
      <c r="E126" s="32">
        <f t="shared" si="10"/>
        <v>7.8491009498771449</v>
      </c>
      <c r="F126" s="33">
        <f t="shared" si="11"/>
        <v>1.4081403508771926</v>
      </c>
      <c r="G126" s="33">
        <f t="shared" si="12"/>
        <v>0.17940148303217235</v>
      </c>
      <c r="I126" s="18">
        <v>-0.5</v>
      </c>
      <c r="J126" s="18">
        <v>0.5</v>
      </c>
      <c r="K126" s="18">
        <v>-2</v>
      </c>
      <c r="L126" s="18">
        <v>1</v>
      </c>
      <c r="M126" s="18">
        <v>1.5</v>
      </c>
      <c r="N126" s="18">
        <v>2</v>
      </c>
      <c r="O126" s="19">
        <f t="shared" si="13"/>
        <v>-1</v>
      </c>
      <c r="P126" s="19">
        <v>-0.5</v>
      </c>
      <c r="Q126" s="19">
        <v>-4</v>
      </c>
      <c r="R126" s="19">
        <v>1</v>
      </c>
      <c r="S126" s="19">
        <v>0.5</v>
      </c>
      <c r="T126" s="19">
        <v>2.5</v>
      </c>
    </row>
    <row r="127" spans="1:20" x14ac:dyDescent="0.25">
      <c r="A127" s="30">
        <v>44296</v>
      </c>
      <c r="B127" s="28">
        <v>7.0000000000000007E-2</v>
      </c>
      <c r="C127" s="31">
        <f t="shared" si="14"/>
        <v>1.778</v>
      </c>
      <c r="D127" s="32">
        <f t="shared" si="9"/>
        <v>4.1798596491228075</v>
      </c>
      <c r="E127" s="32">
        <f t="shared" si="10"/>
        <v>7.8491009498771449</v>
      </c>
      <c r="F127" s="33">
        <f t="shared" si="11"/>
        <v>-2.4018596491228075</v>
      </c>
      <c r="G127" s="33">
        <f t="shared" si="12"/>
        <v>-0.30600442833652197</v>
      </c>
      <c r="I127" s="18">
        <v>-0.5</v>
      </c>
      <c r="J127" s="18">
        <v>0.5</v>
      </c>
      <c r="K127" s="18">
        <v>-2</v>
      </c>
      <c r="L127" s="18">
        <v>1</v>
      </c>
      <c r="M127" s="18">
        <v>1.5</v>
      </c>
      <c r="N127" s="18">
        <v>2</v>
      </c>
      <c r="O127" s="19">
        <f t="shared" si="13"/>
        <v>-1</v>
      </c>
      <c r="P127" s="19">
        <v>-0.5</v>
      </c>
      <c r="Q127" s="19">
        <v>-4</v>
      </c>
      <c r="R127" s="19">
        <v>1</v>
      </c>
      <c r="S127" s="19">
        <v>0.5</v>
      </c>
      <c r="T127" s="19">
        <v>2.5</v>
      </c>
    </row>
    <row r="128" spans="1:20" x14ac:dyDescent="0.25">
      <c r="A128" s="30">
        <v>44326</v>
      </c>
      <c r="B128" s="28">
        <v>0.06</v>
      </c>
      <c r="C128" s="31">
        <f t="shared" si="14"/>
        <v>1.5239999999999998</v>
      </c>
      <c r="D128" s="32">
        <f t="shared" si="9"/>
        <v>4.1798596491228075</v>
      </c>
      <c r="E128" s="32">
        <f t="shared" si="10"/>
        <v>7.8491009498771449</v>
      </c>
      <c r="F128" s="33">
        <f t="shared" si="11"/>
        <v>-2.6558596491228075</v>
      </c>
      <c r="G128" s="33">
        <f t="shared" si="12"/>
        <v>-0.33836482242776827</v>
      </c>
      <c r="I128" s="18">
        <v>-0.5</v>
      </c>
      <c r="J128" s="18">
        <v>0.5</v>
      </c>
      <c r="K128" s="18">
        <v>-2</v>
      </c>
      <c r="L128" s="18">
        <v>1</v>
      </c>
      <c r="M128" s="18">
        <v>1.5</v>
      </c>
      <c r="N128" s="18">
        <v>2</v>
      </c>
      <c r="O128" s="19">
        <f t="shared" si="13"/>
        <v>-1</v>
      </c>
      <c r="P128" s="19">
        <v>-0.5</v>
      </c>
      <c r="Q128" s="19">
        <v>-4</v>
      </c>
      <c r="R128" s="19">
        <v>1</v>
      </c>
      <c r="S128" s="19">
        <v>0.5</v>
      </c>
      <c r="T128" s="19">
        <v>2.5</v>
      </c>
    </row>
    <row r="129" spans="1:20" x14ac:dyDescent="0.25">
      <c r="A129" s="30">
        <v>44357</v>
      </c>
      <c r="B129" s="28">
        <v>0.08</v>
      </c>
      <c r="C129" s="31">
        <f t="shared" si="14"/>
        <v>2.032</v>
      </c>
      <c r="D129" s="32">
        <f t="shared" si="9"/>
        <v>4.1798596491228075</v>
      </c>
      <c r="E129" s="32">
        <f t="shared" si="10"/>
        <v>7.8491009498771449</v>
      </c>
      <c r="F129" s="33">
        <f t="shared" si="11"/>
        <v>-2.1478596491228075</v>
      </c>
      <c r="G129" s="33">
        <f t="shared" si="12"/>
        <v>-0.27364403424527572</v>
      </c>
      <c r="I129" s="18">
        <v>-0.5</v>
      </c>
      <c r="J129" s="18">
        <v>0.5</v>
      </c>
      <c r="K129" s="18">
        <v>-2</v>
      </c>
      <c r="L129" s="18">
        <v>1</v>
      </c>
      <c r="M129" s="18">
        <v>1.5</v>
      </c>
      <c r="N129" s="18">
        <v>2</v>
      </c>
      <c r="O129" s="19">
        <f t="shared" si="13"/>
        <v>-1</v>
      </c>
      <c r="P129" s="19">
        <v>-0.5</v>
      </c>
      <c r="Q129" s="19">
        <v>-4</v>
      </c>
      <c r="R129" s="19">
        <v>1</v>
      </c>
      <c r="S129" s="19">
        <v>0.5</v>
      </c>
      <c r="T129" s="19">
        <v>2.5</v>
      </c>
    </row>
    <row r="130" spans="1:20" x14ac:dyDescent="0.25">
      <c r="A130" s="30">
        <v>44387</v>
      </c>
      <c r="B130" s="28">
        <v>0.01</v>
      </c>
      <c r="C130" s="31">
        <f t="shared" si="14"/>
        <v>0.254</v>
      </c>
      <c r="D130" s="32">
        <f t="shared" si="9"/>
        <v>4.1798596491228075</v>
      </c>
      <c r="E130" s="32">
        <f t="shared" si="10"/>
        <v>7.8491009498771449</v>
      </c>
      <c r="F130" s="33">
        <f t="shared" si="11"/>
        <v>-3.9258596491228075</v>
      </c>
      <c r="G130" s="33">
        <f t="shared" si="12"/>
        <v>-0.50016679288399968</v>
      </c>
      <c r="I130" s="18">
        <v>-0.5</v>
      </c>
      <c r="J130" s="18">
        <v>0.5</v>
      </c>
      <c r="K130" s="18">
        <v>-2</v>
      </c>
      <c r="L130" s="18">
        <v>1</v>
      </c>
      <c r="M130" s="18">
        <v>1.5</v>
      </c>
      <c r="N130" s="18">
        <v>2</v>
      </c>
      <c r="O130" s="19">
        <f t="shared" si="13"/>
        <v>-1</v>
      </c>
      <c r="P130" s="19">
        <v>-0.5</v>
      </c>
      <c r="Q130" s="19">
        <v>-4</v>
      </c>
      <c r="R130" s="19">
        <v>1</v>
      </c>
      <c r="S130" s="19">
        <v>0.5</v>
      </c>
      <c r="T130" s="19">
        <v>2.5</v>
      </c>
    </row>
    <row r="131" spans="1:20" x14ac:dyDescent="0.25">
      <c r="A131" s="30">
        <v>44418</v>
      </c>
      <c r="B131" s="28">
        <v>0.01</v>
      </c>
      <c r="C131" s="31">
        <f t="shared" si="14"/>
        <v>0.254</v>
      </c>
      <c r="D131" s="32">
        <f t="shared" si="9"/>
        <v>4.1798596491228075</v>
      </c>
      <c r="E131" s="32">
        <f t="shared" si="10"/>
        <v>7.8491009498771449</v>
      </c>
      <c r="F131" s="33">
        <f t="shared" si="11"/>
        <v>-3.9258596491228075</v>
      </c>
      <c r="G131" s="33">
        <f t="shared" si="12"/>
        <v>-0.50016679288399968</v>
      </c>
      <c r="I131" s="18">
        <v>-0.5</v>
      </c>
      <c r="J131" s="18">
        <v>0.5</v>
      </c>
      <c r="K131" s="18">
        <v>-2</v>
      </c>
      <c r="L131" s="18">
        <v>1</v>
      </c>
      <c r="M131" s="18">
        <v>1.5</v>
      </c>
      <c r="N131" s="18">
        <v>2</v>
      </c>
      <c r="O131" s="19">
        <f t="shared" si="13"/>
        <v>-1</v>
      </c>
      <c r="P131" s="19">
        <v>-0.5</v>
      </c>
      <c r="Q131" s="19">
        <v>-4</v>
      </c>
      <c r="R131" s="19">
        <v>1</v>
      </c>
      <c r="S131" s="19">
        <v>0.5</v>
      </c>
      <c r="T131" s="19">
        <v>2.5</v>
      </c>
    </row>
    <row r="132" spans="1:20" x14ac:dyDescent="0.25">
      <c r="A132" s="30">
        <v>44449</v>
      </c>
      <c r="B132" s="28">
        <v>0</v>
      </c>
      <c r="C132" s="31">
        <f t="shared" si="14"/>
        <v>0</v>
      </c>
      <c r="D132" s="32">
        <f t="shared" si="9"/>
        <v>4.1798596491228075</v>
      </c>
      <c r="E132" s="32">
        <f t="shared" si="10"/>
        <v>7.8491009498771449</v>
      </c>
      <c r="F132" s="33">
        <f t="shared" si="11"/>
        <v>-4.1798596491228075</v>
      </c>
      <c r="G132" s="33">
        <f t="shared" si="12"/>
        <v>-0.53252718697524604</v>
      </c>
      <c r="I132" s="18">
        <v>-0.5</v>
      </c>
      <c r="J132" s="18">
        <v>0.5</v>
      </c>
      <c r="K132" s="18">
        <v>-2</v>
      </c>
      <c r="L132" s="18">
        <v>1</v>
      </c>
      <c r="M132" s="18">
        <v>1.5</v>
      </c>
      <c r="N132" s="18">
        <v>2</v>
      </c>
      <c r="O132" s="19">
        <f t="shared" si="13"/>
        <v>-1</v>
      </c>
      <c r="P132" s="19">
        <v>-0.5</v>
      </c>
      <c r="Q132" s="19">
        <v>-4</v>
      </c>
      <c r="R132" s="19">
        <v>1</v>
      </c>
      <c r="S132" s="19">
        <v>0.5</v>
      </c>
      <c r="T132" s="19">
        <v>2.5</v>
      </c>
    </row>
    <row r="133" spans="1:20" x14ac:dyDescent="0.25">
      <c r="A133" s="30">
        <v>44479</v>
      </c>
      <c r="B133" s="28">
        <v>0.04</v>
      </c>
      <c r="C133" s="31">
        <f t="shared" si="14"/>
        <v>1.016</v>
      </c>
      <c r="D133" s="32">
        <f t="shared" ref="D133:D174" si="15">AVERAGE($C$4:$C$174)</f>
        <v>4.1798596491228075</v>
      </c>
      <c r="E133" s="32">
        <f t="shared" ref="E133:E174" si="16">_xlfn.STDEV.S($C$4:$C$174)</f>
        <v>7.8491009498771449</v>
      </c>
      <c r="F133" s="33">
        <f t="shared" ref="F133:F173" si="17">C133-D133</f>
        <v>-3.1638596491228075</v>
      </c>
      <c r="G133" s="33">
        <f t="shared" ref="G133:G173" si="18">F133/E133</f>
        <v>-0.40308561061026088</v>
      </c>
      <c r="I133" s="18">
        <v>-0.5</v>
      </c>
      <c r="J133" s="18">
        <v>0.5</v>
      </c>
      <c r="K133" s="18">
        <v>-2</v>
      </c>
      <c r="L133" s="18">
        <v>1</v>
      </c>
      <c r="M133" s="18">
        <v>1.5</v>
      </c>
      <c r="N133" s="18">
        <v>2</v>
      </c>
      <c r="O133" s="19">
        <f t="shared" ref="O133:O174" si="19">-1</f>
        <v>-1</v>
      </c>
      <c r="P133" s="19">
        <v>-0.5</v>
      </c>
      <c r="Q133" s="19">
        <v>-4</v>
      </c>
      <c r="R133" s="19">
        <v>1</v>
      </c>
      <c r="S133" s="19">
        <v>0.5</v>
      </c>
      <c r="T133" s="19">
        <v>2.5</v>
      </c>
    </row>
    <row r="134" spans="1:20" x14ac:dyDescent="0.25">
      <c r="A134" s="30">
        <v>44510</v>
      </c>
      <c r="B134" s="28">
        <v>0</v>
      </c>
      <c r="C134" s="31">
        <f t="shared" si="14"/>
        <v>0</v>
      </c>
      <c r="D134" s="32">
        <f t="shared" si="15"/>
        <v>4.1798596491228075</v>
      </c>
      <c r="E134" s="32">
        <f t="shared" si="16"/>
        <v>7.8491009498771449</v>
      </c>
      <c r="F134" s="33">
        <f t="shared" si="17"/>
        <v>-4.1798596491228075</v>
      </c>
      <c r="G134" s="33">
        <f t="shared" si="18"/>
        <v>-0.53252718697524604</v>
      </c>
      <c r="I134" s="18">
        <v>-0.5</v>
      </c>
      <c r="J134" s="18">
        <v>0.5</v>
      </c>
      <c r="K134" s="18">
        <v>-2</v>
      </c>
      <c r="L134" s="18">
        <v>1</v>
      </c>
      <c r="M134" s="18">
        <v>1.5</v>
      </c>
      <c r="N134" s="18">
        <v>2</v>
      </c>
      <c r="O134" s="19">
        <f t="shared" si="19"/>
        <v>-1</v>
      </c>
      <c r="P134" s="19">
        <v>-0.5</v>
      </c>
      <c r="Q134" s="19">
        <v>-4</v>
      </c>
      <c r="R134" s="19">
        <v>1</v>
      </c>
      <c r="S134" s="19">
        <v>0.5</v>
      </c>
      <c r="T134" s="19">
        <v>2.5</v>
      </c>
    </row>
    <row r="135" spans="1:20" x14ac:dyDescent="0.25">
      <c r="A135" s="30">
        <v>44540</v>
      </c>
      <c r="B135" s="28">
        <v>0.27</v>
      </c>
      <c r="C135" s="31">
        <f t="shared" si="14"/>
        <v>6.8579999999999997</v>
      </c>
      <c r="D135" s="32">
        <f t="shared" si="15"/>
        <v>4.1798596491228075</v>
      </c>
      <c r="E135" s="32">
        <f t="shared" si="16"/>
        <v>7.8491009498771449</v>
      </c>
      <c r="F135" s="33">
        <f t="shared" si="17"/>
        <v>2.6781403508771922</v>
      </c>
      <c r="G135" s="33">
        <f t="shared" si="18"/>
        <v>0.34120345348840375</v>
      </c>
      <c r="I135" s="18">
        <v>-0.5</v>
      </c>
      <c r="J135" s="18">
        <v>0.5</v>
      </c>
      <c r="K135" s="18">
        <v>-2</v>
      </c>
      <c r="L135" s="18">
        <v>1</v>
      </c>
      <c r="M135" s="18">
        <v>1.5</v>
      </c>
      <c r="N135" s="18">
        <v>2</v>
      </c>
      <c r="O135" s="19">
        <f t="shared" si="19"/>
        <v>-1</v>
      </c>
      <c r="P135" s="19">
        <v>-0.5</v>
      </c>
      <c r="Q135" s="19">
        <v>-4</v>
      </c>
      <c r="R135" s="19">
        <v>1</v>
      </c>
      <c r="S135" s="19">
        <v>0.5</v>
      </c>
      <c r="T135" s="19">
        <v>2.5</v>
      </c>
    </row>
    <row r="136" spans="1:20" x14ac:dyDescent="0.25">
      <c r="A136" s="30">
        <v>44571</v>
      </c>
      <c r="B136" s="28">
        <v>0.97</v>
      </c>
      <c r="C136" s="31">
        <f t="shared" si="14"/>
        <v>24.637999999999998</v>
      </c>
      <c r="D136" s="32">
        <f t="shared" si="15"/>
        <v>4.1798596491228075</v>
      </c>
      <c r="E136" s="32">
        <f t="shared" si="16"/>
        <v>7.8491009498771449</v>
      </c>
      <c r="F136" s="33">
        <f t="shared" si="17"/>
        <v>20.458140350877191</v>
      </c>
      <c r="G136" s="33">
        <f t="shared" si="18"/>
        <v>2.6064310398756438</v>
      </c>
      <c r="I136" s="18">
        <v>-0.5</v>
      </c>
      <c r="J136" s="18">
        <v>0.5</v>
      </c>
      <c r="K136" s="18">
        <v>-2</v>
      </c>
      <c r="L136" s="18">
        <v>1</v>
      </c>
      <c r="M136" s="18">
        <v>1.5</v>
      </c>
      <c r="N136" s="18">
        <v>2</v>
      </c>
      <c r="O136" s="19">
        <f t="shared" si="19"/>
        <v>-1</v>
      </c>
      <c r="P136" s="19">
        <v>-0.5</v>
      </c>
      <c r="Q136" s="19">
        <v>-4</v>
      </c>
      <c r="R136" s="19">
        <v>1</v>
      </c>
      <c r="S136" s="19">
        <v>0.5</v>
      </c>
      <c r="T136" s="19">
        <v>2.5</v>
      </c>
    </row>
    <row r="137" spans="1:20" x14ac:dyDescent="0.25">
      <c r="A137" s="30">
        <v>44602</v>
      </c>
      <c r="B137" s="28">
        <v>0.25</v>
      </c>
      <c r="C137" s="31">
        <f t="shared" si="14"/>
        <v>6.35</v>
      </c>
      <c r="D137" s="32">
        <f t="shared" si="15"/>
        <v>4.1798596491228075</v>
      </c>
      <c r="E137" s="32">
        <f t="shared" si="16"/>
        <v>7.8491009498771449</v>
      </c>
      <c r="F137" s="33">
        <f t="shared" si="17"/>
        <v>2.1701403508771921</v>
      </c>
      <c r="G137" s="33">
        <f t="shared" si="18"/>
        <v>0.2764826653059112</v>
      </c>
      <c r="I137" s="18">
        <v>-0.5</v>
      </c>
      <c r="J137" s="18">
        <v>0.5</v>
      </c>
      <c r="K137" s="18">
        <v>-2</v>
      </c>
      <c r="L137" s="18">
        <v>1</v>
      </c>
      <c r="M137" s="18">
        <v>1.5</v>
      </c>
      <c r="N137" s="18">
        <v>2</v>
      </c>
      <c r="O137" s="19">
        <f t="shared" si="19"/>
        <v>-1</v>
      </c>
      <c r="P137" s="19">
        <v>-0.5</v>
      </c>
      <c r="Q137" s="19">
        <v>-4</v>
      </c>
      <c r="R137" s="19">
        <v>1</v>
      </c>
      <c r="S137" s="19">
        <v>0.5</v>
      </c>
      <c r="T137" s="19">
        <v>2.5</v>
      </c>
    </row>
    <row r="138" spans="1:20" x14ac:dyDescent="0.25">
      <c r="A138" s="30">
        <v>44630</v>
      </c>
      <c r="B138" s="28">
        <v>0.2</v>
      </c>
      <c r="C138" s="31">
        <f t="shared" si="14"/>
        <v>5.08</v>
      </c>
      <c r="D138" s="32">
        <f t="shared" si="15"/>
        <v>4.1798596491228075</v>
      </c>
      <c r="E138" s="32">
        <f t="shared" si="16"/>
        <v>7.8491009498771449</v>
      </c>
      <c r="F138" s="33">
        <f t="shared" si="17"/>
        <v>0.90014035087719257</v>
      </c>
      <c r="G138" s="33">
        <f t="shared" si="18"/>
        <v>0.11468069484967978</v>
      </c>
      <c r="I138" s="18">
        <v>-0.5</v>
      </c>
      <c r="J138" s="18">
        <v>0.5</v>
      </c>
      <c r="K138" s="18">
        <v>-2</v>
      </c>
      <c r="L138" s="18">
        <v>1</v>
      </c>
      <c r="M138" s="18">
        <v>1.5</v>
      </c>
      <c r="N138" s="18">
        <v>2</v>
      </c>
      <c r="O138" s="19">
        <f t="shared" si="19"/>
        <v>-1</v>
      </c>
      <c r="P138" s="19">
        <v>-0.5</v>
      </c>
      <c r="Q138" s="19">
        <v>-4</v>
      </c>
      <c r="R138" s="19">
        <v>1</v>
      </c>
      <c r="S138" s="19">
        <v>0.5</v>
      </c>
      <c r="T138" s="19">
        <v>2.5</v>
      </c>
    </row>
    <row r="139" spans="1:20" x14ac:dyDescent="0.25">
      <c r="A139" s="30">
        <v>44661</v>
      </c>
      <c r="B139" s="28">
        <v>0.37</v>
      </c>
      <c r="C139" s="31">
        <f t="shared" si="14"/>
        <v>9.3979999999999997</v>
      </c>
      <c r="D139" s="32">
        <f t="shared" si="15"/>
        <v>4.1798596491228075</v>
      </c>
      <c r="E139" s="32">
        <f t="shared" si="16"/>
        <v>7.8491009498771449</v>
      </c>
      <c r="F139" s="33">
        <f t="shared" si="17"/>
        <v>5.2181403508771922</v>
      </c>
      <c r="G139" s="33">
        <f t="shared" si="18"/>
        <v>0.66480739440086667</v>
      </c>
      <c r="I139" s="18">
        <v>-0.5</v>
      </c>
      <c r="J139" s="18">
        <v>0.5</v>
      </c>
      <c r="K139" s="18">
        <v>-2</v>
      </c>
      <c r="L139" s="18">
        <v>1</v>
      </c>
      <c r="M139" s="18">
        <v>1.5</v>
      </c>
      <c r="N139" s="18">
        <v>2</v>
      </c>
      <c r="O139" s="19">
        <f t="shared" si="19"/>
        <v>-1</v>
      </c>
      <c r="P139" s="19">
        <v>-0.5</v>
      </c>
      <c r="Q139" s="19">
        <v>-4</v>
      </c>
      <c r="R139" s="19">
        <v>1</v>
      </c>
      <c r="S139" s="19">
        <v>0.5</v>
      </c>
      <c r="T139" s="19">
        <v>2.5</v>
      </c>
    </row>
    <row r="140" spans="1:20" x14ac:dyDescent="0.25">
      <c r="A140" s="30">
        <v>44691</v>
      </c>
      <c r="B140" s="28">
        <v>0.37</v>
      </c>
      <c r="C140" s="31">
        <f t="shared" si="14"/>
        <v>9.3979999999999997</v>
      </c>
      <c r="D140" s="32">
        <f t="shared" si="15"/>
        <v>4.1798596491228075</v>
      </c>
      <c r="E140" s="32">
        <f t="shared" si="16"/>
        <v>7.8491009498771449</v>
      </c>
      <c r="F140" s="33">
        <f t="shared" si="17"/>
        <v>5.2181403508771922</v>
      </c>
      <c r="G140" s="33">
        <f t="shared" si="18"/>
        <v>0.66480739440086667</v>
      </c>
      <c r="I140" s="18">
        <v>-0.5</v>
      </c>
      <c r="J140" s="18">
        <v>0.5</v>
      </c>
      <c r="K140" s="18">
        <v>-2</v>
      </c>
      <c r="L140" s="18">
        <v>1</v>
      </c>
      <c r="M140" s="18">
        <v>1.5</v>
      </c>
      <c r="N140" s="18">
        <v>2</v>
      </c>
      <c r="O140" s="19">
        <f t="shared" si="19"/>
        <v>-1</v>
      </c>
      <c r="P140" s="19">
        <v>-0.5</v>
      </c>
      <c r="Q140" s="19">
        <v>-4</v>
      </c>
      <c r="R140" s="19">
        <v>1</v>
      </c>
      <c r="S140" s="19">
        <v>0.5</v>
      </c>
      <c r="T140" s="19">
        <v>2.5</v>
      </c>
    </row>
    <row r="141" spans="1:20" x14ac:dyDescent="0.25">
      <c r="A141" s="30">
        <v>44722</v>
      </c>
      <c r="B141" s="28">
        <v>0.18</v>
      </c>
      <c r="C141" s="31">
        <f t="shared" si="14"/>
        <v>4.5719999999999992</v>
      </c>
      <c r="D141" s="32">
        <f t="shared" si="15"/>
        <v>4.1798596491228075</v>
      </c>
      <c r="E141" s="32">
        <f t="shared" si="16"/>
        <v>7.8491009498771449</v>
      </c>
      <c r="F141" s="33">
        <f t="shared" si="17"/>
        <v>0.39214035087719168</v>
      </c>
      <c r="G141" s="33">
        <f t="shared" si="18"/>
        <v>4.9959906667187089E-2</v>
      </c>
      <c r="I141" s="18">
        <v>-0.5</v>
      </c>
      <c r="J141" s="18">
        <v>0.5</v>
      </c>
      <c r="K141" s="18">
        <v>-2</v>
      </c>
      <c r="L141" s="18">
        <v>1</v>
      </c>
      <c r="M141" s="18">
        <v>1.5</v>
      </c>
      <c r="N141" s="18">
        <v>2</v>
      </c>
      <c r="O141" s="19">
        <f t="shared" si="19"/>
        <v>-1</v>
      </c>
      <c r="P141" s="19">
        <v>-0.5</v>
      </c>
      <c r="Q141" s="19">
        <v>-4</v>
      </c>
      <c r="R141" s="19">
        <v>1</v>
      </c>
      <c r="S141" s="19">
        <v>0.5</v>
      </c>
      <c r="T141" s="19">
        <v>2.5</v>
      </c>
    </row>
    <row r="142" spans="1:20" x14ac:dyDescent="0.25">
      <c r="A142" s="30">
        <v>44752</v>
      </c>
      <c r="B142" s="28">
        <v>0.08</v>
      </c>
      <c r="C142" s="31">
        <f t="shared" si="14"/>
        <v>2.032</v>
      </c>
      <c r="D142" s="32">
        <f t="shared" si="15"/>
        <v>4.1798596491228075</v>
      </c>
      <c r="E142" s="32">
        <f t="shared" si="16"/>
        <v>7.8491009498771449</v>
      </c>
      <c r="F142" s="33">
        <f t="shared" si="17"/>
        <v>-2.1478596491228075</v>
      </c>
      <c r="G142" s="33">
        <f t="shared" si="18"/>
        <v>-0.27364403424527572</v>
      </c>
      <c r="I142" s="18">
        <v>-0.5</v>
      </c>
      <c r="J142" s="18">
        <v>0.5</v>
      </c>
      <c r="K142" s="18">
        <v>-2</v>
      </c>
      <c r="L142" s="18">
        <v>1</v>
      </c>
      <c r="M142" s="18">
        <v>1.5</v>
      </c>
      <c r="N142" s="18">
        <v>2</v>
      </c>
      <c r="O142" s="19">
        <f t="shared" si="19"/>
        <v>-1</v>
      </c>
      <c r="P142" s="19">
        <v>-0.5</v>
      </c>
      <c r="Q142" s="19">
        <v>-4</v>
      </c>
      <c r="R142" s="19">
        <v>1</v>
      </c>
      <c r="S142" s="19">
        <v>0.5</v>
      </c>
      <c r="T142" s="19">
        <v>2.5</v>
      </c>
    </row>
    <row r="143" spans="1:20" x14ac:dyDescent="0.25">
      <c r="A143" s="30">
        <v>44783</v>
      </c>
      <c r="B143" s="28">
        <v>0.03</v>
      </c>
      <c r="C143" s="31">
        <f t="shared" si="14"/>
        <v>0.7619999999999999</v>
      </c>
      <c r="D143" s="32">
        <f t="shared" si="15"/>
        <v>4.1798596491228075</v>
      </c>
      <c r="E143" s="32">
        <f t="shared" si="16"/>
        <v>7.8491009498771449</v>
      </c>
      <c r="F143" s="33">
        <f t="shared" si="17"/>
        <v>-3.4178596491228075</v>
      </c>
      <c r="G143" s="33">
        <f t="shared" si="18"/>
        <v>-0.43544600470150713</v>
      </c>
      <c r="I143" s="18">
        <v>-0.5</v>
      </c>
      <c r="J143" s="18">
        <v>0.5</v>
      </c>
      <c r="K143" s="18">
        <v>-2</v>
      </c>
      <c r="L143" s="18">
        <v>1</v>
      </c>
      <c r="M143" s="18">
        <v>1.5</v>
      </c>
      <c r="N143" s="18">
        <v>2</v>
      </c>
      <c r="O143" s="19">
        <f t="shared" si="19"/>
        <v>-1</v>
      </c>
      <c r="P143" s="19">
        <v>-0.5</v>
      </c>
      <c r="Q143" s="19">
        <v>-4</v>
      </c>
      <c r="R143" s="19">
        <v>1</v>
      </c>
      <c r="S143" s="19">
        <v>0.5</v>
      </c>
      <c r="T143" s="19">
        <v>2.5</v>
      </c>
    </row>
    <row r="144" spans="1:20" x14ac:dyDescent="0.25">
      <c r="A144" s="30">
        <v>44814</v>
      </c>
      <c r="B144" s="28">
        <v>0.05</v>
      </c>
      <c r="C144" s="31">
        <f t="shared" si="14"/>
        <v>1.27</v>
      </c>
      <c r="D144" s="32">
        <f t="shared" si="15"/>
        <v>4.1798596491228075</v>
      </c>
      <c r="E144" s="32">
        <f t="shared" si="16"/>
        <v>7.8491009498771449</v>
      </c>
      <c r="F144" s="33">
        <f t="shared" si="17"/>
        <v>-2.9098596491228075</v>
      </c>
      <c r="G144" s="33">
        <f t="shared" si="18"/>
        <v>-0.37072521651901458</v>
      </c>
      <c r="I144" s="18">
        <v>-0.5</v>
      </c>
      <c r="J144" s="18">
        <v>0.5</v>
      </c>
      <c r="K144" s="18">
        <v>-2</v>
      </c>
      <c r="L144" s="18">
        <v>1</v>
      </c>
      <c r="M144" s="18">
        <v>1.5</v>
      </c>
      <c r="N144" s="18">
        <v>2</v>
      </c>
      <c r="O144" s="19">
        <f t="shared" si="19"/>
        <v>-1</v>
      </c>
      <c r="P144" s="19">
        <v>-0.5</v>
      </c>
      <c r="Q144" s="19">
        <v>-4</v>
      </c>
      <c r="R144" s="19">
        <v>1</v>
      </c>
      <c r="S144" s="19">
        <v>0.5</v>
      </c>
      <c r="T144" s="19">
        <v>2.5</v>
      </c>
    </row>
    <row r="145" spans="1:20" x14ac:dyDescent="0.25">
      <c r="A145" s="34">
        <v>44844</v>
      </c>
      <c r="B145" s="28">
        <v>0.03</v>
      </c>
      <c r="C145" s="35">
        <f t="shared" si="14"/>
        <v>0.7619999999999999</v>
      </c>
      <c r="D145" s="32">
        <f t="shared" si="15"/>
        <v>4.1798596491228075</v>
      </c>
      <c r="E145" s="32">
        <f t="shared" si="16"/>
        <v>7.8491009498771449</v>
      </c>
      <c r="F145" s="33">
        <f t="shared" si="17"/>
        <v>-3.4178596491228075</v>
      </c>
      <c r="G145" s="33">
        <f t="shared" si="18"/>
        <v>-0.43544600470150713</v>
      </c>
      <c r="I145" s="18">
        <v>-0.5</v>
      </c>
      <c r="J145" s="18">
        <v>0.5</v>
      </c>
      <c r="K145" s="18">
        <v>-2</v>
      </c>
      <c r="L145" s="18">
        <v>1</v>
      </c>
      <c r="M145" s="18">
        <v>1.5</v>
      </c>
      <c r="N145" s="18">
        <v>2</v>
      </c>
      <c r="O145" s="19">
        <f t="shared" si="19"/>
        <v>-1</v>
      </c>
      <c r="P145" s="19">
        <v>-0.5</v>
      </c>
      <c r="Q145" s="19">
        <v>-4</v>
      </c>
      <c r="R145" s="19">
        <v>1</v>
      </c>
      <c r="S145" s="19">
        <v>0.5</v>
      </c>
      <c r="T145" s="19">
        <v>2.5</v>
      </c>
    </row>
    <row r="146" spans="1:20" x14ac:dyDescent="0.25">
      <c r="A146" s="30">
        <v>44875</v>
      </c>
      <c r="B146" s="28">
        <v>0.2</v>
      </c>
      <c r="C146" s="31">
        <f t="shared" si="14"/>
        <v>5.08</v>
      </c>
      <c r="D146" s="32">
        <f t="shared" si="15"/>
        <v>4.1798596491228075</v>
      </c>
      <c r="E146" s="32">
        <f t="shared" si="16"/>
        <v>7.8491009498771449</v>
      </c>
      <c r="F146" s="33">
        <f t="shared" si="17"/>
        <v>0.90014035087719257</v>
      </c>
      <c r="G146" s="33">
        <f t="shared" si="18"/>
        <v>0.11468069484967978</v>
      </c>
      <c r="I146" s="18">
        <v>-0.5</v>
      </c>
      <c r="J146" s="18">
        <v>0.5</v>
      </c>
      <c r="K146" s="18">
        <v>-2</v>
      </c>
      <c r="L146" s="18">
        <v>1</v>
      </c>
      <c r="M146" s="18">
        <v>1.5</v>
      </c>
      <c r="N146" s="18">
        <v>2</v>
      </c>
      <c r="O146" s="19">
        <f t="shared" si="19"/>
        <v>-1</v>
      </c>
      <c r="P146" s="19">
        <v>-0.5</v>
      </c>
      <c r="Q146" s="19">
        <v>-4</v>
      </c>
      <c r="R146" s="19">
        <v>1</v>
      </c>
      <c r="S146" s="19">
        <v>0.5</v>
      </c>
      <c r="T146" s="19">
        <v>2.5</v>
      </c>
    </row>
    <row r="147" spans="1:20" x14ac:dyDescent="0.25">
      <c r="A147" s="30">
        <v>44905</v>
      </c>
      <c r="B147" s="28">
        <v>0.5</v>
      </c>
      <c r="C147" s="31">
        <f t="shared" si="14"/>
        <v>12.7</v>
      </c>
      <c r="D147" s="32">
        <f t="shared" si="15"/>
        <v>4.1798596491228075</v>
      </c>
      <c r="E147" s="32">
        <f t="shared" si="16"/>
        <v>7.8491009498771449</v>
      </c>
      <c r="F147" s="33">
        <f t="shared" si="17"/>
        <v>8.5201403508771918</v>
      </c>
      <c r="G147" s="33">
        <f t="shared" si="18"/>
        <v>1.0854925175870684</v>
      </c>
      <c r="I147" s="18">
        <v>-0.5</v>
      </c>
      <c r="J147" s="18">
        <v>0.5</v>
      </c>
      <c r="K147" s="18">
        <v>-2</v>
      </c>
      <c r="L147" s="18">
        <v>1</v>
      </c>
      <c r="M147" s="18">
        <v>1.5</v>
      </c>
      <c r="N147" s="18">
        <v>2</v>
      </c>
      <c r="O147" s="19">
        <f t="shared" si="19"/>
        <v>-1</v>
      </c>
      <c r="P147" s="19">
        <v>-0.5</v>
      </c>
      <c r="Q147" s="19">
        <v>-4</v>
      </c>
      <c r="R147" s="19">
        <v>1</v>
      </c>
      <c r="S147" s="19">
        <v>0.5</v>
      </c>
      <c r="T147" s="19">
        <v>2.5</v>
      </c>
    </row>
    <row r="148" spans="1:20" x14ac:dyDescent="0.25">
      <c r="A148" s="30">
        <v>44936</v>
      </c>
      <c r="B148" s="28">
        <v>0.21</v>
      </c>
      <c r="C148" s="31">
        <f>AVERAGE(C147,C149)</f>
        <v>15.493999999999998</v>
      </c>
      <c r="D148" s="32">
        <f t="shared" si="15"/>
        <v>4.1798596491228075</v>
      </c>
      <c r="E148" s="32">
        <f t="shared" si="16"/>
        <v>7.8491009498771449</v>
      </c>
      <c r="F148" s="33">
        <f t="shared" si="17"/>
        <v>11.31414035087719</v>
      </c>
      <c r="G148" s="33">
        <f t="shared" si="18"/>
        <v>1.4414568525907774</v>
      </c>
      <c r="I148" s="18">
        <v>-0.5</v>
      </c>
      <c r="J148" s="18">
        <v>0.5</v>
      </c>
      <c r="K148" s="18">
        <v>-2</v>
      </c>
      <c r="L148" s="18">
        <v>1</v>
      </c>
      <c r="M148" s="18">
        <v>1.5</v>
      </c>
      <c r="N148" s="18">
        <v>2</v>
      </c>
      <c r="O148" s="19">
        <f t="shared" si="19"/>
        <v>-1</v>
      </c>
      <c r="P148" s="19">
        <v>-0.5</v>
      </c>
      <c r="Q148" s="19">
        <v>-4</v>
      </c>
      <c r="R148" s="19">
        <v>1</v>
      </c>
      <c r="S148" s="19">
        <v>0.5</v>
      </c>
      <c r="T148" s="19">
        <v>2.5</v>
      </c>
    </row>
    <row r="149" spans="1:20" x14ac:dyDescent="0.25">
      <c r="A149" s="30">
        <v>44967</v>
      </c>
      <c r="B149" s="28">
        <v>0.72</v>
      </c>
      <c r="C149" s="31">
        <f t="shared" si="14"/>
        <v>18.287999999999997</v>
      </c>
      <c r="D149" s="32">
        <f t="shared" si="15"/>
        <v>4.1798596491228075</v>
      </c>
      <c r="E149" s="32">
        <f t="shared" si="16"/>
        <v>7.8491009498771449</v>
      </c>
      <c r="F149" s="33">
        <f t="shared" si="17"/>
        <v>14.108140350877189</v>
      </c>
      <c r="G149" s="33">
        <f t="shared" si="18"/>
        <v>1.7974211875944863</v>
      </c>
      <c r="I149" s="18">
        <v>-0.5</v>
      </c>
      <c r="J149" s="18">
        <v>0.5</v>
      </c>
      <c r="K149" s="18">
        <v>-2</v>
      </c>
      <c r="L149" s="18">
        <v>1</v>
      </c>
      <c r="M149" s="18">
        <v>1.5</v>
      </c>
      <c r="N149" s="18">
        <v>2</v>
      </c>
      <c r="O149" s="19">
        <f t="shared" si="19"/>
        <v>-1</v>
      </c>
      <c r="P149" s="19">
        <v>-0.5</v>
      </c>
      <c r="Q149" s="19">
        <v>-4</v>
      </c>
      <c r="R149" s="19">
        <v>1</v>
      </c>
      <c r="S149" s="19">
        <v>0.5</v>
      </c>
      <c r="T149" s="19">
        <v>2.5</v>
      </c>
    </row>
    <row r="150" spans="1:20" x14ac:dyDescent="0.25">
      <c r="A150" s="30">
        <v>44995</v>
      </c>
      <c r="B150" s="28">
        <v>0.15</v>
      </c>
      <c r="C150" s="31">
        <f t="shared" si="14"/>
        <v>3.8099999999999996</v>
      </c>
      <c r="D150" s="32">
        <f t="shared" si="15"/>
        <v>4.1798596491228075</v>
      </c>
      <c r="E150" s="32">
        <f t="shared" si="16"/>
        <v>7.8491009498771449</v>
      </c>
      <c r="F150" s="33">
        <f t="shared" si="17"/>
        <v>-0.36985964912280789</v>
      </c>
      <c r="G150" s="33">
        <f t="shared" si="18"/>
        <v>-4.7121275606551723E-2</v>
      </c>
      <c r="I150" s="18">
        <v>-0.5</v>
      </c>
      <c r="J150" s="18">
        <v>0.5</v>
      </c>
      <c r="K150" s="18">
        <v>-2</v>
      </c>
      <c r="L150" s="18">
        <v>1</v>
      </c>
      <c r="M150" s="18">
        <v>1.5</v>
      </c>
      <c r="N150" s="18">
        <v>2</v>
      </c>
      <c r="O150" s="19">
        <f t="shared" si="19"/>
        <v>-1</v>
      </c>
      <c r="P150" s="19">
        <v>-0.5</v>
      </c>
      <c r="Q150" s="19">
        <v>-4</v>
      </c>
      <c r="R150" s="19">
        <v>1</v>
      </c>
      <c r="S150" s="19">
        <v>0.5</v>
      </c>
      <c r="T150" s="19">
        <v>2.5</v>
      </c>
    </row>
    <row r="151" spans="1:20" x14ac:dyDescent="0.25">
      <c r="A151" s="30">
        <v>45026</v>
      </c>
      <c r="B151" s="28">
        <v>0.13</v>
      </c>
      <c r="C151" s="31">
        <f t="shared" si="14"/>
        <v>3.302</v>
      </c>
      <c r="D151" s="32">
        <f t="shared" si="15"/>
        <v>4.1798596491228075</v>
      </c>
      <c r="E151" s="32">
        <f t="shared" si="16"/>
        <v>7.8491009498771449</v>
      </c>
      <c r="F151" s="33">
        <f t="shared" si="17"/>
        <v>-0.87785964912280745</v>
      </c>
      <c r="G151" s="33">
        <f t="shared" si="18"/>
        <v>-0.11184206378904425</v>
      </c>
      <c r="I151" s="18">
        <v>-0.5</v>
      </c>
      <c r="J151" s="18">
        <v>0.5</v>
      </c>
      <c r="K151" s="18">
        <v>-2</v>
      </c>
      <c r="L151" s="18">
        <v>1</v>
      </c>
      <c r="M151" s="18">
        <v>1.5</v>
      </c>
      <c r="N151" s="18">
        <v>2</v>
      </c>
      <c r="O151" s="19">
        <f t="shared" si="19"/>
        <v>-1</v>
      </c>
      <c r="P151" s="19">
        <v>-0.5</v>
      </c>
      <c r="Q151" s="19">
        <v>-4</v>
      </c>
      <c r="R151" s="19">
        <v>1</v>
      </c>
      <c r="S151" s="19">
        <v>0.5</v>
      </c>
      <c r="T151" s="19">
        <v>2.5</v>
      </c>
    </row>
    <row r="152" spans="1:20" x14ac:dyDescent="0.25">
      <c r="A152" s="30">
        <v>45056</v>
      </c>
      <c r="B152" s="28">
        <v>0.28999999999999998</v>
      </c>
      <c r="C152" s="31">
        <f t="shared" si="14"/>
        <v>7.3659999999999988</v>
      </c>
      <c r="D152" s="32">
        <f t="shared" si="15"/>
        <v>4.1798596491228075</v>
      </c>
      <c r="E152" s="32">
        <f t="shared" si="16"/>
        <v>7.8491009498771449</v>
      </c>
      <c r="F152" s="33">
        <f t="shared" si="17"/>
        <v>3.1861403508771913</v>
      </c>
      <c r="G152" s="33">
        <f t="shared" si="18"/>
        <v>0.40592424167089625</v>
      </c>
      <c r="I152" s="18">
        <v>-0.5</v>
      </c>
      <c r="J152" s="18">
        <v>0.5</v>
      </c>
      <c r="K152" s="18">
        <v>-2</v>
      </c>
      <c r="L152" s="18">
        <v>1</v>
      </c>
      <c r="M152" s="18">
        <v>1.5</v>
      </c>
      <c r="N152" s="18">
        <v>2</v>
      </c>
      <c r="O152" s="19">
        <f t="shared" si="19"/>
        <v>-1</v>
      </c>
      <c r="P152" s="19">
        <v>-0.5</v>
      </c>
      <c r="Q152" s="19">
        <v>-4</v>
      </c>
      <c r="R152" s="19">
        <v>1</v>
      </c>
      <c r="S152" s="19">
        <v>0.5</v>
      </c>
      <c r="T152" s="19">
        <v>2.5</v>
      </c>
    </row>
    <row r="153" spans="1:20" x14ac:dyDescent="0.25">
      <c r="A153" s="30">
        <v>45087</v>
      </c>
      <c r="B153" s="28">
        <v>0.14000000000000001</v>
      </c>
      <c r="C153" s="31">
        <f t="shared" si="14"/>
        <v>3.556</v>
      </c>
      <c r="D153" s="32">
        <f t="shared" si="15"/>
        <v>4.1798596491228075</v>
      </c>
      <c r="E153" s="32">
        <f t="shared" si="16"/>
        <v>7.8491009498771449</v>
      </c>
      <c r="F153" s="33">
        <f t="shared" si="17"/>
        <v>-0.62385964912280745</v>
      </c>
      <c r="G153" s="33">
        <f t="shared" si="18"/>
        <v>-7.9481669697797963E-2</v>
      </c>
      <c r="I153" s="18">
        <v>-0.5</v>
      </c>
      <c r="J153" s="18">
        <v>0.5</v>
      </c>
      <c r="K153" s="18">
        <v>-2</v>
      </c>
      <c r="L153" s="18">
        <v>1</v>
      </c>
      <c r="M153" s="18">
        <v>1.5</v>
      </c>
      <c r="N153" s="18">
        <v>2</v>
      </c>
      <c r="O153" s="19">
        <f t="shared" si="19"/>
        <v>-1</v>
      </c>
      <c r="P153" s="19">
        <v>-0.5</v>
      </c>
      <c r="Q153" s="19">
        <v>-4</v>
      </c>
      <c r="R153" s="19">
        <v>1</v>
      </c>
      <c r="S153" s="19">
        <v>0.5</v>
      </c>
      <c r="T153" s="19">
        <v>2.5</v>
      </c>
    </row>
    <row r="154" spans="1:20" x14ac:dyDescent="0.25">
      <c r="A154" s="30">
        <v>45117</v>
      </c>
      <c r="B154" s="28">
        <v>0.17</v>
      </c>
      <c r="C154" s="31">
        <f t="shared" si="14"/>
        <v>4.3180000000000005</v>
      </c>
      <c r="D154" s="32">
        <f t="shared" si="15"/>
        <v>4.1798596491228075</v>
      </c>
      <c r="E154" s="32">
        <f t="shared" si="16"/>
        <v>7.8491009498771449</v>
      </c>
      <c r="F154" s="33">
        <f t="shared" si="17"/>
        <v>0.13814035087719301</v>
      </c>
      <c r="G154" s="33">
        <f t="shared" si="18"/>
        <v>1.7599512575940966E-2</v>
      </c>
      <c r="I154" s="18">
        <v>-0.5</v>
      </c>
      <c r="J154" s="18">
        <v>0.5</v>
      </c>
      <c r="K154" s="18">
        <v>-2</v>
      </c>
      <c r="L154" s="18">
        <v>1</v>
      </c>
      <c r="M154" s="18">
        <v>1.5</v>
      </c>
      <c r="N154" s="18">
        <v>2</v>
      </c>
      <c r="O154" s="19">
        <f t="shared" si="19"/>
        <v>-1</v>
      </c>
      <c r="P154" s="19">
        <v>-0.5</v>
      </c>
      <c r="Q154" s="19">
        <v>-4</v>
      </c>
      <c r="R154" s="19">
        <v>1</v>
      </c>
      <c r="S154" s="19">
        <v>0.5</v>
      </c>
      <c r="T154" s="19">
        <v>2.5</v>
      </c>
    </row>
    <row r="155" spans="1:20" x14ac:dyDescent="0.25">
      <c r="A155" s="30">
        <v>45148</v>
      </c>
      <c r="B155" s="28">
        <v>0</v>
      </c>
      <c r="C155" s="31">
        <f t="shared" si="14"/>
        <v>0</v>
      </c>
      <c r="D155" s="32">
        <f t="shared" si="15"/>
        <v>4.1798596491228075</v>
      </c>
      <c r="E155" s="32">
        <f t="shared" si="16"/>
        <v>7.8491009498771449</v>
      </c>
      <c r="F155" s="33">
        <f t="shared" si="17"/>
        <v>-4.1798596491228075</v>
      </c>
      <c r="G155" s="33">
        <f t="shared" si="18"/>
        <v>-0.53252718697524604</v>
      </c>
      <c r="I155" s="18">
        <v>-0.5</v>
      </c>
      <c r="J155" s="18">
        <v>0.5</v>
      </c>
      <c r="K155" s="18">
        <v>-2</v>
      </c>
      <c r="L155" s="18">
        <v>1</v>
      </c>
      <c r="M155" s="18">
        <v>1.5</v>
      </c>
      <c r="N155" s="18">
        <v>2</v>
      </c>
      <c r="O155" s="19">
        <f t="shared" si="19"/>
        <v>-1</v>
      </c>
      <c r="P155" s="19">
        <v>-0.5</v>
      </c>
      <c r="Q155" s="19">
        <v>-4</v>
      </c>
      <c r="R155" s="19">
        <v>1</v>
      </c>
      <c r="S155" s="19">
        <v>0.5</v>
      </c>
      <c r="T155" s="19">
        <v>2.5</v>
      </c>
    </row>
    <row r="156" spans="1:20" x14ac:dyDescent="0.25">
      <c r="A156" s="30">
        <v>45179</v>
      </c>
      <c r="B156" s="28">
        <v>0.05</v>
      </c>
      <c r="C156" s="31">
        <f t="shared" si="14"/>
        <v>1.27</v>
      </c>
      <c r="D156" s="32">
        <f t="shared" si="15"/>
        <v>4.1798596491228075</v>
      </c>
      <c r="E156" s="32">
        <f t="shared" si="16"/>
        <v>7.8491009498771449</v>
      </c>
      <c r="F156" s="33">
        <f t="shared" si="17"/>
        <v>-2.9098596491228075</v>
      </c>
      <c r="G156" s="33">
        <f t="shared" si="18"/>
        <v>-0.37072521651901458</v>
      </c>
      <c r="I156" s="18">
        <v>-0.5</v>
      </c>
      <c r="J156" s="18">
        <v>0.5</v>
      </c>
      <c r="K156" s="18">
        <v>-2</v>
      </c>
      <c r="L156" s="18">
        <v>1</v>
      </c>
      <c r="M156" s="18">
        <v>1.5</v>
      </c>
      <c r="N156" s="18">
        <v>2</v>
      </c>
      <c r="O156" s="19">
        <f t="shared" si="19"/>
        <v>-1</v>
      </c>
      <c r="P156" s="19">
        <v>-0.5</v>
      </c>
      <c r="Q156" s="19">
        <v>-4</v>
      </c>
      <c r="R156" s="19">
        <v>1</v>
      </c>
      <c r="S156" s="19">
        <v>0.5</v>
      </c>
      <c r="T156" s="19">
        <v>2.5</v>
      </c>
    </row>
    <row r="157" spans="1:20" x14ac:dyDescent="0.25">
      <c r="A157" s="30">
        <v>45209</v>
      </c>
      <c r="B157" s="28">
        <v>0.03</v>
      </c>
      <c r="C157" s="31">
        <f>B157*$H$4</f>
        <v>0.7619999999999999</v>
      </c>
      <c r="D157" s="32">
        <f t="shared" si="15"/>
        <v>4.1798596491228075</v>
      </c>
      <c r="E157" s="32">
        <f t="shared" si="16"/>
        <v>7.8491009498771449</v>
      </c>
      <c r="F157" s="33">
        <f t="shared" si="17"/>
        <v>-3.4178596491228075</v>
      </c>
      <c r="G157" s="33">
        <f t="shared" si="18"/>
        <v>-0.43544600470150713</v>
      </c>
      <c r="I157" s="18">
        <v>-0.5</v>
      </c>
      <c r="J157" s="18">
        <v>0.5</v>
      </c>
      <c r="K157" s="18">
        <v>-2</v>
      </c>
      <c r="L157" s="18">
        <v>1</v>
      </c>
      <c r="M157" s="18">
        <v>1.5</v>
      </c>
      <c r="N157" s="18">
        <v>2</v>
      </c>
      <c r="O157" s="19">
        <f t="shared" si="19"/>
        <v>-1</v>
      </c>
      <c r="P157" s="19">
        <v>-0.5</v>
      </c>
      <c r="Q157" s="19">
        <v>-4</v>
      </c>
      <c r="R157" s="19">
        <v>1</v>
      </c>
      <c r="S157" s="19">
        <v>0.5</v>
      </c>
      <c r="T157" s="19">
        <v>2.5</v>
      </c>
    </row>
    <row r="158" spans="1:20" x14ac:dyDescent="0.25">
      <c r="A158" s="30">
        <v>45240</v>
      </c>
      <c r="B158" s="28">
        <v>0.1</v>
      </c>
      <c r="C158" s="31">
        <f t="shared" si="14"/>
        <v>2.54</v>
      </c>
      <c r="D158" s="32">
        <f t="shared" si="15"/>
        <v>4.1798596491228075</v>
      </c>
      <c r="E158" s="32">
        <f t="shared" si="16"/>
        <v>7.8491009498771449</v>
      </c>
      <c r="F158" s="33">
        <f t="shared" si="17"/>
        <v>-1.6398596491228075</v>
      </c>
      <c r="G158" s="33">
        <f t="shared" si="18"/>
        <v>-0.20892324606278312</v>
      </c>
      <c r="I158" s="18">
        <v>-0.5</v>
      </c>
      <c r="J158" s="18">
        <v>0.5</v>
      </c>
      <c r="K158" s="18">
        <v>-2</v>
      </c>
      <c r="L158" s="18">
        <v>1</v>
      </c>
      <c r="M158" s="18">
        <v>1.5</v>
      </c>
      <c r="N158" s="18">
        <v>2</v>
      </c>
      <c r="O158" s="19">
        <f t="shared" si="19"/>
        <v>-1</v>
      </c>
      <c r="P158" s="19">
        <v>-0.5</v>
      </c>
      <c r="Q158" s="19">
        <v>-4</v>
      </c>
      <c r="R158" s="19">
        <v>1</v>
      </c>
      <c r="S158" s="19">
        <v>0.5</v>
      </c>
      <c r="T158" s="19">
        <v>2.5</v>
      </c>
    </row>
    <row r="159" spans="1:20" x14ac:dyDescent="0.25">
      <c r="A159" s="30">
        <v>45270</v>
      </c>
      <c r="B159" s="28">
        <v>0.66</v>
      </c>
      <c r="C159" s="31">
        <f t="shared" si="14"/>
        <v>16.763999999999999</v>
      </c>
      <c r="D159" s="32">
        <f t="shared" si="15"/>
        <v>4.1798596491228075</v>
      </c>
      <c r="E159" s="32">
        <f t="shared" si="16"/>
        <v>7.8491009498771449</v>
      </c>
      <c r="F159" s="33">
        <f t="shared" si="17"/>
        <v>12.584140350877192</v>
      </c>
      <c r="G159" s="33">
        <f t="shared" si="18"/>
        <v>1.6032588230470091</v>
      </c>
      <c r="I159" s="18">
        <v>-0.5</v>
      </c>
      <c r="J159" s="18">
        <v>0.5</v>
      </c>
      <c r="K159" s="18">
        <v>-2</v>
      </c>
      <c r="L159" s="18">
        <v>1</v>
      </c>
      <c r="M159" s="18">
        <v>1.5</v>
      </c>
      <c r="N159" s="18">
        <v>2</v>
      </c>
      <c r="O159" s="19">
        <f t="shared" si="19"/>
        <v>-1</v>
      </c>
      <c r="P159" s="19">
        <v>-0.5</v>
      </c>
      <c r="Q159" s="19">
        <v>-4</v>
      </c>
      <c r="R159" s="19">
        <v>1</v>
      </c>
      <c r="S159" s="19">
        <v>0.5</v>
      </c>
      <c r="T159" s="19">
        <v>2.5</v>
      </c>
    </row>
    <row r="160" spans="1:20" x14ac:dyDescent="0.25">
      <c r="A160" s="30">
        <v>45301</v>
      </c>
      <c r="B160" s="27">
        <v>0.2</v>
      </c>
      <c r="C160" s="31">
        <f t="shared" si="14"/>
        <v>5.08</v>
      </c>
      <c r="D160" s="32">
        <f t="shared" si="15"/>
        <v>4.1798596491228075</v>
      </c>
      <c r="E160" s="32">
        <f t="shared" si="16"/>
        <v>7.8491009498771449</v>
      </c>
      <c r="F160" s="33">
        <f t="shared" si="17"/>
        <v>0.90014035087719257</v>
      </c>
      <c r="G160" s="33">
        <f t="shared" si="18"/>
        <v>0.11468069484967978</v>
      </c>
      <c r="I160" s="18">
        <v>-0.5</v>
      </c>
      <c r="J160" s="18">
        <v>0.5</v>
      </c>
      <c r="K160" s="18">
        <v>-2</v>
      </c>
      <c r="L160" s="18">
        <v>1</v>
      </c>
      <c r="M160" s="18">
        <v>1.5</v>
      </c>
      <c r="N160" s="18">
        <v>2</v>
      </c>
      <c r="O160" s="19">
        <f t="shared" si="19"/>
        <v>-1</v>
      </c>
      <c r="P160" s="19">
        <v>-0.5</v>
      </c>
      <c r="Q160" s="19">
        <v>-4</v>
      </c>
      <c r="R160" s="19">
        <v>1</v>
      </c>
      <c r="S160" s="19">
        <v>0.5</v>
      </c>
      <c r="T160" s="19">
        <v>2.5</v>
      </c>
    </row>
    <row r="161" spans="1:20" x14ac:dyDescent="0.25">
      <c r="A161" s="30">
        <v>45332</v>
      </c>
      <c r="B161" s="27">
        <v>0.13</v>
      </c>
      <c r="C161" s="31">
        <f t="shared" si="14"/>
        <v>3.302</v>
      </c>
      <c r="D161" s="32">
        <f t="shared" si="15"/>
        <v>4.1798596491228075</v>
      </c>
      <c r="E161" s="32">
        <f t="shared" si="16"/>
        <v>7.8491009498771449</v>
      </c>
      <c r="F161" s="33">
        <f t="shared" si="17"/>
        <v>-0.87785964912280745</v>
      </c>
      <c r="G161" s="33">
        <f t="shared" si="18"/>
        <v>-0.11184206378904425</v>
      </c>
      <c r="I161" s="18">
        <v>-0.5</v>
      </c>
      <c r="J161" s="18">
        <v>0.5</v>
      </c>
      <c r="K161" s="18">
        <v>-2</v>
      </c>
      <c r="L161" s="18">
        <v>1</v>
      </c>
      <c r="M161" s="18">
        <v>1.5</v>
      </c>
      <c r="N161" s="18">
        <v>2</v>
      </c>
      <c r="O161" s="19">
        <f t="shared" si="19"/>
        <v>-1</v>
      </c>
      <c r="P161" s="19">
        <v>-0.5</v>
      </c>
      <c r="Q161" s="19">
        <v>-4</v>
      </c>
      <c r="R161" s="19">
        <v>1</v>
      </c>
      <c r="S161" s="19">
        <v>0.5</v>
      </c>
      <c r="T161" s="19">
        <v>2.5</v>
      </c>
    </row>
    <row r="162" spans="1:20" x14ac:dyDescent="0.25">
      <c r="A162" s="30">
        <v>45361</v>
      </c>
      <c r="B162" s="27">
        <v>0.21</v>
      </c>
      <c r="C162" s="31">
        <f t="shared" si="14"/>
        <v>5.3339999999999996</v>
      </c>
      <c r="D162" s="32">
        <f t="shared" si="15"/>
        <v>4.1798596491228075</v>
      </c>
      <c r="E162" s="32">
        <f t="shared" si="16"/>
        <v>7.8491009498771449</v>
      </c>
      <c r="F162" s="33">
        <f t="shared" si="17"/>
        <v>1.1541403508771921</v>
      </c>
      <c r="G162" s="33">
        <f t="shared" si="18"/>
        <v>0.14704108894092602</v>
      </c>
      <c r="I162" s="18">
        <v>-0.5</v>
      </c>
      <c r="J162" s="18">
        <v>0.5</v>
      </c>
      <c r="K162" s="18">
        <v>-2</v>
      </c>
      <c r="L162" s="18">
        <v>1</v>
      </c>
      <c r="M162" s="18">
        <v>1.5</v>
      </c>
      <c r="N162" s="18">
        <v>2</v>
      </c>
      <c r="O162" s="19">
        <f t="shared" si="19"/>
        <v>-1</v>
      </c>
      <c r="P162" s="19">
        <v>-0.5</v>
      </c>
      <c r="Q162" s="19">
        <v>-4</v>
      </c>
      <c r="R162" s="19">
        <v>1</v>
      </c>
      <c r="S162" s="19">
        <v>0.5</v>
      </c>
      <c r="T162" s="19">
        <v>2.5</v>
      </c>
    </row>
    <row r="163" spans="1:20" x14ac:dyDescent="0.25">
      <c r="A163" s="30">
        <v>45392</v>
      </c>
      <c r="B163" s="27">
        <v>0.19</v>
      </c>
      <c r="C163" s="31">
        <f t="shared" si="14"/>
        <v>4.8259999999999996</v>
      </c>
      <c r="D163" s="32">
        <f t="shared" si="15"/>
        <v>4.1798596491228075</v>
      </c>
      <c r="E163" s="32">
        <f t="shared" si="16"/>
        <v>7.8491009498771449</v>
      </c>
      <c r="F163" s="33">
        <f t="shared" si="17"/>
        <v>0.64614035087719213</v>
      </c>
      <c r="G163" s="33">
        <f t="shared" si="18"/>
        <v>8.232030075843344E-2</v>
      </c>
      <c r="I163" s="18">
        <v>-0.5</v>
      </c>
      <c r="J163" s="18">
        <v>0.5</v>
      </c>
      <c r="K163" s="18">
        <v>-2</v>
      </c>
      <c r="L163" s="18">
        <v>1</v>
      </c>
      <c r="M163" s="18">
        <v>1.5</v>
      </c>
      <c r="N163" s="18">
        <v>2</v>
      </c>
      <c r="O163" s="19">
        <f t="shared" si="19"/>
        <v>-1</v>
      </c>
      <c r="P163" s="19">
        <v>-0.5</v>
      </c>
      <c r="Q163" s="19">
        <v>-4</v>
      </c>
      <c r="R163" s="19">
        <v>1</v>
      </c>
      <c r="S163" s="19">
        <v>0.5</v>
      </c>
      <c r="T163" s="19">
        <v>2.5</v>
      </c>
    </row>
    <row r="164" spans="1:20" x14ac:dyDescent="0.25">
      <c r="A164" s="30">
        <v>45422</v>
      </c>
      <c r="B164" s="27">
        <v>0.03</v>
      </c>
      <c r="C164" s="31">
        <f t="shared" si="14"/>
        <v>0.7619999999999999</v>
      </c>
      <c r="D164" s="32">
        <f t="shared" si="15"/>
        <v>4.1798596491228075</v>
      </c>
      <c r="E164" s="32">
        <f t="shared" si="16"/>
        <v>7.8491009498771449</v>
      </c>
      <c r="F164" s="33">
        <f t="shared" si="17"/>
        <v>-3.4178596491228075</v>
      </c>
      <c r="G164" s="33">
        <f t="shared" si="18"/>
        <v>-0.43544600470150713</v>
      </c>
      <c r="I164" s="18">
        <v>-0.5</v>
      </c>
      <c r="J164" s="18">
        <v>0.5</v>
      </c>
      <c r="K164" s="18">
        <v>-2</v>
      </c>
      <c r="L164" s="18">
        <v>1</v>
      </c>
      <c r="M164" s="18">
        <v>1.5</v>
      </c>
      <c r="N164" s="18">
        <v>2</v>
      </c>
      <c r="O164" s="19">
        <f t="shared" si="19"/>
        <v>-1</v>
      </c>
      <c r="P164" s="19">
        <v>-0.5</v>
      </c>
      <c r="Q164" s="19">
        <v>-4</v>
      </c>
      <c r="R164" s="19">
        <v>1</v>
      </c>
      <c r="S164" s="19">
        <v>0.5</v>
      </c>
      <c r="T164" s="19">
        <v>2.5</v>
      </c>
    </row>
    <row r="165" spans="1:20" x14ac:dyDescent="0.25">
      <c r="A165" s="30">
        <v>45453</v>
      </c>
      <c r="B165" s="28">
        <v>0.06</v>
      </c>
      <c r="C165" s="25">
        <f t="shared" si="14"/>
        <v>1.5239999999999998</v>
      </c>
      <c r="D165" s="32">
        <f t="shared" si="15"/>
        <v>4.1798596491228075</v>
      </c>
      <c r="E165" s="32">
        <f t="shared" si="16"/>
        <v>7.8491009498771449</v>
      </c>
      <c r="F165" s="33">
        <f t="shared" si="17"/>
        <v>-2.6558596491228075</v>
      </c>
      <c r="G165" s="33">
        <f t="shared" si="18"/>
        <v>-0.33836482242776827</v>
      </c>
      <c r="I165" s="18">
        <v>-0.5</v>
      </c>
      <c r="J165" s="18">
        <v>0.5</v>
      </c>
      <c r="K165" s="18">
        <v>-2</v>
      </c>
      <c r="L165" s="18">
        <v>1</v>
      </c>
      <c r="M165" s="18">
        <v>1.5</v>
      </c>
      <c r="N165" s="18">
        <v>2</v>
      </c>
      <c r="O165" s="19">
        <f t="shared" si="19"/>
        <v>-1</v>
      </c>
      <c r="P165" s="19">
        <v>-0.5</v>
      </c>
      <c r="Q165" s="19">
        <v>-4</v>
      </c>
      <c r="R165" s="19">
        <v>1</v>
      </c>
      <c r="S165" s="19">
        <v>0.5</v>
      </c>
      <c r="T165" s="19">
        <v>2.5</v>
      </c>
    </row>
    <row r="166" spans="1:20" x14ac:dyDescent="0.25">
      <c r="A166" s="30">
        <v>45483</v>
      </c>
      <c r="B166" s="5">
        <v>0.04</v>
      </c>
      <c r="C166" s="25">
        <f>B166*$H$4</f>
        <v>1.016</v>
      </c>
      <c r="D166" s="32">
        <f t="shared" si="15"/>
        <v>4.1798596491228075</v>
      </c>
      <c r="E166" s="32">
        <f t="shared" si="16"/>
        <v>7.8491009498771449</v>
      </c>
      <c r="F166" s="33">
        <f t="shared" si="17"/>
        <v>-3.1638596491228075</v>
      </c>
      <c r="G166" s="33">
        <f t="shared" si="18"/>
        <v>-0.40308561061026088</v>
      </c>
      <c r="I166" s="18">
        <v>-0.5</v>
      </c>
      <c r="J166" s="18">
        <v>0.5</v>
      </c>
      <c r="K166" s="18">
        <v>-2</v>
      </c>
      <c r="L166" s="18">
        <v>1</v>
      </c>
      <c r="M166" s="18">
        <v>1.5</v>
      </c>
      <c r="N166" s="18">
        <v>2</v>
      </c>
      <c r="O166" s="19">
        <f t="shared" si="19"/>
        <v>-1</v>
      </c>
      <c r="P166" s="19">
        <v>-0.5</v>
      </c>
      <c r="Q166" s="19">
        <v>-4</v>
      </c>
      <c r="R166" s="19">
        <v>1</v>
      </c>
      <c r="S166" s="19">
        <v>0.5</v>
      </c>
      <c r="T166" s="19">
        <v>2.5</v>
      </c>
    </row>
    <row r="167" spans="1:20" x14ac:dyDescent="0.25">
      <c r="A167" s="30">
        <v>45514</v>
      </c>
      <c r="B167" s="5">
        <v>0.04</v>
      </c>
      <c r="C167" s="25">
        <f t="shared" ref="C167:C173" si="20">B167*$H$4</f>
        <v>1.016</v>
      </c>
      <c r="D167" s="32">
        <f t="shared" si="15"/>
        <v>4.1798596491228075</v>
      </c>
      <c r="E167" s="32">
        <f t="shared" si="16"/>
        <v>7.8491009498771449</v>
      </c>
      <c r="F167" s="33">
        <f t="shared" si="17"/>
        <v>-3.1638596491228075</v>
      </c>
      <c r="G167" s="33">
        <f t="shared" si="18"/>
        <v>-0.40308561061026088</v>
      </c>
      <c r="I167" s="18">
        <v>-0.5</v>
      </c>
      <c r="J167" s="18">
        <v>0.5</v>
      </c>
      <c r="K167" s="18">
        <v>-2</v>
      </c>
      <c r="L167" s="18">
        <v>1</v>
      </c>
      <c r="M167" s="18">
        <v>1.5</v>
      </c>
      <c r="N167" s="18">
        <v>2</v>
      </c>
      <c r="O167" s="19">
        <f t="shared" si="19"/>
        <v>-1</v>
      </c>
      <c r="P167" s="19">
        <v>-0.5</v>
      </c>
      <c r="Q167" s="19">
        <v>-4</v>
      </c>
      <c r="R167" s="19">
        <v>1</v>
      </c>
      <c r="S167" s="19">
        <v>0.5</v>
      </c>
      <c r="T167" s="19">
        <v>2.5</v>
      </c>
    </row>
    <row r="168" spans="1:20" x14ac:dyDescent="0.25">
      <c r="A168" s="30">
        <v>45545</v>
      </c>
      <c r="B168" s="5">
        <v>0.02</v>
      </c>
      <c r="C168" s="25">
        <f t="shared" si="20"/>
        <v>0.50800000000000001</v>
      </c>
      <c r="D168" s="32">
        <f t="shared" si="15"/>
        <v>4.1798596491228075</v>
      </c>
      <c r="E168" s="32">
        <f t="shared" si="16"/>
        <v>7.8491009498771449</v>
      </c>
      <c r="F168" s="33">
        <f t="shared" si="17"/>
        <v>-3.6718596491228075</v>
      </c>
      <c r="G168" s="33">
        <f t="shared" si="18"/>
        <v>-0.46780639879275343</v>
      </c>
      <c r="I168" s="18">
        <v>-0.5</v>
      </c>
      <c r="J168" s="18">
        <v>0.5</v>
      </c>
      <c r="K168" s="18">
        <v>-2</v>
      </c>
      <c r="L168" s="18">
        <v>1</v>
      </c>
      <c r="M168" s="18">
        <v>1.5</v>
      </c>
      <c r="N168" s="18">
        <v>2</v>
      </c>
      <c r="O168" s="19">
        <f t="shared" si="19"/>
        <v>-1</v>
      </c>
      <c r="P168" s="19">
        <v>-0.5</v>
      </c>
      <c r="Q168" s="19">
        <v>-4</v>
      </c>
      <c r="R168" s="19">
        <v>1</v>
      </c>
      <c r="S168" s="19">
        <v>0.5</v>
      </c>
      <c r="T168" s="19">
        <v>2.5</v>
      </c>
    </row>
    <row r="169" spans="1:20" x14ac:dyDescent="0.25">
      <c r="A169" s="30">
        <v>45575</v>
      </c>
      <c r="B169" s="5">
        <v>0.05</v>
      </c>
      <c r="C169" s="25">
        <f t="shared" si="20"/>
        <v>1.27</v>
      </c>
      <c r="D169" s="32">
        <f t="shared" si="15"/>
        <v>4.1798596491228075</v>
      </c>
      <c r="E169" s="32">
        <f t="shared" si="16"/>
        <v>7.8491009498771449</v>
      </c>
      <c r="F169" s="33">
        <f t="shared" si="17"/>
        <v>-2.9098596491228075</v>
      </c>
      <c r="G169" s="33">
        <f t="shared" si="18"/>
        <v>-0.37072521651901458</v>
      </c>
      <c r="I169" s="18">
        <v>-0.5</v>
      </c>
      <c r="J169" s="18">
        <v>0.5</v>
      </c>
      <c r="K169" s="18">
        <v>-2</v>
      </c>
      <c r="L169" s="18">
        <v>1</v>
      </c>
      <c r="M169" s="18">
        <v>1.5</v>
      </c>
      <c r="N169" s="18">
        <v>2</v>
      </c>
      <c r="O169" s="19">
        <f t="shared" si="19"/>
        <v>-1</v>
      </c>
      <c r="P169" s="19">
        <v>-0.5</v>
      </c>
      <c r="Q169" s="19">
        <v>-4</v>
      </c>
      <c r="R169" s="19">
        <v>1</v>
      </c>
      <c r="S169" s="19">
        <v>0.5</v>
      </c>
      <c r="T169" s="19">
        <v>2.5</v>
      </c>
    </row>
    <row r="170" spans="1:20" x14ac:dyDescent="0.25">
      <c r="A170" s="30">
        <v>45606</v>
      </c>
      <c r="B170" s="5">
        <f>AVERAGE(B169,B171)</f>
        <v>6.0000000000000005E-2</v>
      </c>
      <c r="C170" s="25">
        <f>B170*$H$4</f>
        <v>1.524</v>
      </c>
      <c r="D170" s="32">
        <f t="shared" si="15"/>
        <v>4.1798596491228075</v>
      </c>
      <c r="E170" s="32">
        <f t="shared" si="16"/>
        <v>7.8491009498771449</v>
      </c>
      <c r="F170" s="33">
        <f t="shared" si="17"/>
        <v>-2.6558596491228075</v>
      </c>
      <c r="G170" s="33">
        <f t="shared" si="18"/>
        <v>-0.33836482242776827</v>
      </c>
      <c r="I170" s="18">
        <v>-0.5</v>
      </c>
      <c r="J170" s="18">
        <v>0.5</v>
      </c>
      <c r="K170" s="18">
        <v>-2</v>
      </c>
      <c r="L170" s="18">
        <v>1</v>
      </c>
      <c r="M170" s="18">
        <v>1.5</v>
      </c>
      <c r="N170" s="18">
        <v>2</v>
      </c>
      <c r="O170" s="19">
        <f t="shared" si="19"/>
        <v>-1</v>
      </c>
      <c r="P170" s="19">
        <v>-0.5</v>
      </c>
      <c r="Q170" s="19">
        <v>-4</v>
      </c>
      <c r="R170" s="19">
        <v>1</v>
      </c>
      <c r="S170" s="19">
        <v>0.5</v>
      </c>
      <c r="T170" s="19">
        <v>2.5</v>
      </c>
    </row>
    <row r="171" spans="1:20" x14ac:dyDescent="0.25">
      <c r="A171" s="30">
        <v>45636</v>
      </c>
      <c r="B171" s="5">
        <v>7.0000000000000007E-2</v>
      </c>
      <c r="C171" s="25">
        <f t="shared" si="20"/>
        <v>1.778</v>
      </c>
      <c r="D171" s="32">
        <f t="shared" si="15"/>
        <v>4.1798596491228075</v>
      </c>
      <c r="E171" s="32">
        <f t="shared" si="16"/>
        <v>7.8491009498771449</v>
      </c>
      <c r="F171" s="33">
        <f t="shared" si="17"/>
        <v>-2.4018596491228075</v>
      </c>
      <c r="G171" s="33">
        <f t="shared" si="18"/>
        <v>-0.30600442833652197</v>
      </c>
      <c r="I171" s="18">
        <v>-0.5</v>
      </c>
      <c r="J171" s="18">
        <v>0.5</v>
      </c>
      <c r="K171" s="18">
        <v>-2</v>
      </c>
      <c r="L171" s="18">
        <v>1</v>
      </c>
      <c r="M171" s="18">
        <v>1.5</v>
      </c>
      <c r="N171" s="18">
        <v>2</v>
      </c>
      <c r="O171" s="19">
        <f t="shared" si="19"/>
        <v>-1</v>
      </c>
      <c r="P171" s="19">
        <v>-0.5</v>
      </c>
      <c r="Q171" s="19">
        <v>-4</v>
      </c>
      <c r="R171" s="19">
        <v>1</v>
      </c>
      <c r="S171" s="19">
        <v>0.5</v>
      </c>
      <c r="T171" s="19">
        <v>2.5</v>
      </c>
    </row>
    <row r="172" spans="1:20" x14ac:dyDescent="0.25">
      <c r="A172" s="30">
        <v>45667</v>
      </c>
      <c r="B172" s="5">
        <v>0.34</v>
      </c>
      <c r="C172" s="25">
        <f t="shared" si="20"/>
        <v>8.636000000000001</v>
      </c>
      <c r="D172" s="32">
        <f t="shared" si="15"/>
        <v>4.1798596491228075</v>
      </c>
      <c r="E172" s="32">
        <f t="shared" si="16"/>
        <v>7.8491009498771449</v>
      </c>
      <c r="F172" s="33">
        <f t="shared" si="17"/>
        <v>4.4561403508771935</v>
      </c>
      <c r="G172" s="33">
        <f t="shared" si="18"/>
        <v>0.56772621212712793</v>
      </c>
      <c r="I172" s="18">
        <v>-0.5</v>
      </c>
      <c r="J172" s="18">
        <v>0.5</v>
      </c>
      <c r="K172" s="18">
        <v>-2</v>
      </c>
      <c r="L172" s="18">
        <v>1</v>
      </c>
      <c r="M172" s="18">
        <v>1.5</v>
      </c>
      <c r="N172" s="18">
        <v>2</v>
      </c>
      <c r="O172" s="19">
        <f t="shared" si="19"/>
        <v>-1</v>
      </c>
      <c r="P172" s="19">
        <v>-0.5</v>
      </c>
      <c r="Q172" s="19">
        <v>-4</v>
      </c>
      <c r="R172" s="19">
        <v>1</v>
      </c>
      <c r="S172" s="19">
        <v>0.5</v>
      </c>
      <c r="T172" s="19">
        <v>2.5</v>
      </c>
    </row>
    <row r="173" spans="1:20" x14ac:dyDescent="0.25">
      <c r="A173" s="30">
        <v>45698</v>
      </c>
      <c r="B173" s="5">
        <v>0.21</v>
      </c>
      <c r="C173" s="25">
        <f t="shared" si="20"/>
        <v>5.3339999999999996</v>
      </c>
      <c r="D173" s="32">
        <f t="shared" si="15"/>
        <v>4.1798596491228075</v>
      </c>
      <c r="E173" s="32">
        <f t="shared" si="16"/>
        <v>7.8491009498771449</v>
      </c>
      <c r="F173" s="33">
        <f t="shared" si="17"/>
        <v>1.1541403508771921</v>
      </c>
      <c r="G173" s="33">
        <f t="shared" si="18"/>
        <v>0.14704108894092602</v>
      </c>
      <c r="I173" s="18">
        <v>-0.5</v>
      </c>
      <c r="J173" s="18">
        <v>0.5</v>
      </c>
      <c r="K173" s="18">
        <v>-2</v>
      </c>
      <c r="L173" s="18">
        <v>1</v>
      </c>
      <c r="M173" s="18">
        <v>1.5</v>
      </c>
      <c r="N173" s="18">
        <v>2</v>
      </c>
      <c r="O173" s="19">
        <f t="shared" si="19"/>
        <v>-1</v>
      </c>
      <c r="P173" s="19">
        <v>-0.5</v>
      </c>
      <c r="Q173" s="19">
        <v>-4</v>
      </c>
      <c r="R173" s="19">
        <v>1</v>
      </c>
      <c r="S173" s="19">
        <v>0.5</v>
      </c>
      <c r="T173" s="19">
        <v>2.5</v>
      </c>
    </row>
    <row r="174" spans="1:20" x14ac:dyDescent="0.25">
      <c r="A174" s="59">
        <v>45735</v>
      </c>
      <c r="B174" s="5">
        <v>0.28999999999999998</v>
      </c>
      <c r="C174" s="25">
        <f t="shared" ref="C174" si="21">B174*$H$4</f>
        <v>7.3659999999999988</v>
      </c>
      <c r="D174" s="32">
        <f t="shared" si="15"/>
        <v>4.1798596491228075</v>
      </c>
      <c r="E174" s="32">
        <f t="shared" si="16"/>
        <v>7.8491009498771449</v>
      </c>
      <c r="F174" s="33">
        <f t="shared" ref="F174" si="22">C174-D174</f>
        <v>3.1861403508771913</v>
      </c>
      <c r="G174" s="33">
        <f t="shared" ref="G174" si="23">F174/E174</f>
        <v>0.40592424167089625</v>
      </c>
      <c r="I174" s="18">
        <v>-0.5</v>
      </c>
      <c r="J174" s="18">
        <v>0.5</v>
      </c>
      <c r="K174" s="18">
        <v>-2</v>
      </c>
      <c r="L174" s="18">
        <v>1</v>
      </c>
      <c r="M174" s="18">
        <v>1.5</v>
      </c>
      <c r="N174" s="18">
        <v>2</v>
      </c>
      <c r="O174" s="19">
        <f t="shared" si="19"/>
        <v>-1</v>
      </c>
      <c r="P174" s="19">
        <v>-0.5</v>
      </c>
      <c r="Q174" s="19">
        <v>-4</v>
      </c>
      <c r="R174" s="19">
        <v>1</v>
      </c>
      <c r="S174" s="19">
        <v>0.5</v>
      </c>
      <c r="T174" s="19">
        <v>2.5</v>
      </c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W175"/>
  <sheetViews>
    <sheetView zoomScaleNormal="100" workbookViewId="0">
      <selection activeCell="G5" sqref="G5:G175"/>
    </sheetView>
  </sheetViews>
  <sheetFormatPr defaultRowHeight="15" x14ac:dyDescent="0.25"/>
  <cols>
    <col min="1" max="1" width="15.5703125" style="40" customWidth="1"/>
    <col min="2" max="2" width="18.7109375" style="1" customWidth="1"/>
    <col min="3" max="3" width="19.5703125" style="43" customWidth="1"/>
    <col min="4" max="4" width="22.85546875" style="1" customWidth="1"/>
    <col min="5" max="5" width="16" style="1" customWidth="1"/>
    <col min="6" max="6" width="13.7109375" style="1" customWidth="1"/>
    <col min="7" max="7" width="21.5703125" style="1" bestFit="1" customWidth="1"/>
    <col min="8" max="8" width="15" bestFit="1" customWidth="1"/>
    <col min="10" max="10" width="18.7109375" bestFit="1" customWidth="1"/>
    <col min="11" max="11" width="21.28515625" customWidth="1"/>
    <col min="12" max="12" width="14" customWidth="1"/>
    <col min="13" max="13" width="18.28515625" bestFit="1" customWidth="1"/>
    <col min="14" max="14" width="12.28515625" bestFit="1" customWidth="1"/>
    <col min="15" max="15" width="18" bestFit="1" customWidth="1"/>
    <col min="16" max="16" width="15.5703125" bestFit="1" customWidth="1"/>
    <col min="17" max="17" width="18.7109375" bestFit="1" customWidth="1"/>
    <col min="18" max="26" width="8.85546875"/>
  </cols>
  <sheetData>
    <row r="1" spans="1:23" x14ac:dyDescent="0.25">
      <c r="B1" s="63"/>
      <c r="C1" s="63"/>
      <c r="D1" s="16">
        <v>25.4</v>
      </c>
      <c r="E1" s="63"/>
      <c r="F1" s="63"/>
      <c r="G1" s="63"/>
    </row>
    <row r="2" spans="1:23" ht="20.25" customHeight="1" x14ac:dyDescent="0.25">
      <c r="A2" s="69" t="s">
        <v>15</v>
      </c>
      <c r="B2" s="70"/>
      <c r="C2" s="70"/>
      <c r="D2" s="70"/>
      <c r="E2" s="70"/>
      <c r="F2" s="70"/>
      <c r="G2" s="70"/>
    </row>
    <row r="3" spans="1:23" x14ac:dyDescent="0.25">
      <c r="A3" s="67" t="s">
        <v>1</v>
      </c>
      <c r="B3" s="68"/>
      <c r="C3" s="68"/>
      <c r="D3" s="68"/>
      <c r="E3" s="68"/>
      <c r="F3" s="68"/>
      <c r="G3" s="68"/>
    </row>
    <row r="4" spans="1:23" x14ac:dyDescent="0.25">
      <c r="A4" s="37" t="s">
        <v>16</v>
      </c>
      <c r="B4" s="7" t="s">
        <v>3</v>
      </c>
      <c r="C4" s="41" t="s">
        <v>17</v>
      </c>
      <c r="D4" s="8" t="s">
        <v>4</v>
      </c>
      <c r="E4" s="8" t="s">
        <v>5</v>
      </c>
      <c r="F4" s="7"/>
      <c r="G4" s="7" t="s">
        <v>19</v>
      </c>
      <c r="H4" s="18" t="s">
        <v>24</v>
      </c>
      <c r="J4" s="18" t="s">
        <v>8</v>
      </c>
      <c r="K4" s="18" t="s">
        <v>9</v>
      </c>
      <c r="L4" s="18" t="s">
        <v>10</v>
      </c>
      <c r="M4" s="18" t="s">
        <v>11</v>
      </c>
      <c r="N4" s="18" t="s">
        <v>12</v>
      </c>
      <c r="O4" s="19" t="s">
        <v>7</v>
      </c>
      <c r="P4" s="19" t="s">
        <v>8</v>
      </c>
      <c r="Q4" s="19" t="s">
        <v>13</v>
      </c>
      <c r="R4" s="19" t="s">
        <v>10</v>
      </c>
      <c r="S4" s="19" t="s">
        <v>14</v>
      </c>
      <c r="T4" s="19" t="s">
        <v>12</v>
      </c>
      <c r="U4" s="44"/>
      <c r="V4" s="44"/>
      <c r="W4" s="44"/>
    </row>
    <row r="5" spans="1:23" x14ac:dyDescent="0.25">
      <c r="A5" s="38">
        <v>40553</v>
      </c>
      <c r="B5" s="29">
        <v>0.11</v>
      </c>
      <c r="C5" s="42">
        <f t="shared" ref="C5:C36" si="0">B5*$D$1</f>
        <v>2.794</v>
      </c>
      <c r="D5" s="2">
        <f>AVERAGE($C$5:$C$175)</f>
        <v>1.257374269005848</v>
      </c>
      <c r="E5" s="2">
        <f>_xlfn.STDEV.S($C$5:$C$175)</f>
        <v>2.5798292465687851</v>
      </c>
      <c r="F5" s="2">
        <f>C5-D5</f>
        <v>1.536625730994152</v>
      </c>
      <c r="G5" s="1">
        <f>F5/E5</f>
        <v>0.59563078953302406</v>
      </c>
      <c r="H5" s="18">
        <v>-0.5</v>
      </c>
      <c r="J5" s="18">
        <v>0.5</v>
      </c>
      <c r="K5" s="18">
        <v>-2</v>
      </c>
      <c r="L5" s="18">
        <v>1</v>
      </c>
      <c r="M5" s="18">
        <v>1.5</v>
      </c>
      <c r="N5" s="18">
        <v>2</v>
      </c>
      <c r="O5" s="19">
        <f>-1</f>
        <v>-1</v>
      </c>
      <c r="P5" s="19">
        <v>-0.5</v>
      </c>
      <c r="Q5" s="19">
        <v>-4</v>
      </c>
      <c r="R5" s="19">
        <v>1</v>
      </c>
      <c r="S5" s="19">
        <v>0.5</v>
      </c>
      <c r="T5" s="19">
        <v>2.5</v>
      </c>
      <c r="U5" s="12"/>
      <c r="V5" s="45"/>
      <c r="W5" s="46"/>
    </row>
    <row r="6" spans="1:23" x14ac:dyDescent="0.25">
      <c r="A6" s="39">
        <v>40584</v>
      </c>
      <c r="B6" s="29">
        <v>0.01</v>
      </c>
      <c r="C6" s="42">
        <f t="shared" si="0"/>
        <v>0.254</v>
      </c>
      <c r="D6" s="2">
        <f t="shared" ref="D6:D69" si="1">AVERAGE($C$5:$C$175)</f>
        <v>1.257374269005848</v>
      </c>
      <c r="E6" s="2">
        <f t="shared" ref="E6:E69" si="2">_xlfn.STDEV.S($C$5:$C$175)</f>
        <v>2.5798292465687851</v>
      </c>
      <c r="F6" s="2">
        <f t="shared" ref="F6:F69" si="3">C6-D6</f>
        <v>-1.003374269005848</v>
      </c>
      <c r="G6" s="1">
        <f t="shared" ref="G6:G69" si="4">F6/E6</f>
        <v>-0.38893049621030235</v>
      </c>
      <c r="H6" s="18">
        <v>-0.5</v>
      </c>
      <c r="J6" s="18">
        <v>0.5</v>
      </c>
      <c r="K6" s="18">
        <v>-2</v>
      </c>
      <c r="L6" s="18">
        <v>1</v>
      </c>
      <c r="M6" s="18">
        <v>1.5</v>
      </c>
      <c r="N6" s="18">
        <v>2</v>
      </c>
      <c r="O6" s="19">
        <f t="shared" ref="O6:O69" si="5">-1</f>
        <v>-1</v>
      </c>
      <c r="P6" s="19">
        <v>-0.5</v>
      </c>
      <c r="Q6" s="19">
        <v>-4</v>
      </c>
      <c r="R6" s="19">
        <v>1</v>
      </c>
      <c r="S6" s="19">
        <v>0.5</v>
      </c>
      <c r="T6" s="19">
        <v>2.5</v>
      </c>
      <c r="U6" s="12"/>
      <c r="V6" s="45"/>
      <c r="W6" s="46"/>
    </row>
    <row r="7" spans="1:23" x14ac:dyDescent="0.25">
      <c r="A7" s="38">
        <v>40612</v>
      </c>
      <c r="B7" s="29">
        <v>7.0000000000000007E-2</v>
      </c>
      <c r="C7" s="42">
        <f t="shared" si="0"/>
        <v>1.778</v>
      </c>
      <c r="D7" s="2">
        <f t="shared" si="1"/>
        <v>1.257374269005848</v>
      </c>
      <c r="E7" s="2">
        <f t="shared" si="2"/>
        <v>2.5798292465687851</v>
      </c>
      <c r="F7" s="2">
        <f t="shared" si="3"/>
        <v>0.52062573099415199</v>
      </c>
      <c r="G7" s="1">
        <f t="shared" si="4"/>
        <v>0.20180627523569347</v>
      </c>
      <c r="H7" s="18">
        <v>-0.5</v>
      </c>
      <c r="J7" s="18">
        <v>0.5</v>
      </c>
      <c r="K7" s="18">
        <v>-2</v>
      </c>
      <c r="L7" s="18">
        <v>1</v>
      </c>
      <c r="M7" s="18">
        <v>1.5</v>
      </c>
      <c r="N7" s="18">
        <v>2</v>
      </c>
      <c r="O7" s="19">
        <f t="shared" si="5"/>
        <v>-1</v>
      </c>
      <c r="P7" s="19">
        <v>-0.5</v>
      </c>
      <c r="Q7" s="19">
        <v>-4</v>
      </c>
      <c r="R7" s="19">
        <v>1</v>
      </c>
      <c r="S7" s="19">
        <v>0.5</v>
      </c>
      <c r="T7" s="19">
        <v>2.5</v>
      </c>
      <c r="U7" s="12"/>
      <c r="V7" s="45"/>
      <c r="W7" s="46"/>
    </row>
    <row r="8" spans="1:23" x14ac:dyDescent="0.25">
      <c r="A8" s="38">
        <v>40643</v>
      </c>
      <c r="B8" s="29">
        <v>0.05</v>
      </c>
      <c r="C8" s="42">
        <f t="shared" si="0"/>
        <v>1.27</v>
      </c>
      <c r="D8" s="2">
        <f t="shared" si="1"/>
        <v>1.257374269005848</v>
      </c>
      <c r="E8" s="2">
        <f t="shared" si="2"/>
        <v>2.5798292465687851</v>
      </c>
      <c r="F8" s="2">
        <f t="shared" si="3"/>
        <v>1.2625730994151985E-2</v>
      </c>
      <c r="G8" s="1">
        <f t="shared" si="4"/>
        <v>4.8940180870282067E-3</v>
      </c>
      <c r="H8" s="18">
        <v>-0.5</v>
      </c>
      <c r="J8" s="18">
        <v>0.5</v>
      </c>
      <c r="K8" s="18">
        <v>-2</v>
      </c>
      <c r="L8" s="18">
        <v>1</v>
      </c>
      <c r="M8" s="18">
        <v>1.5</v>
      </c>
      <c r="N8" s="18">
        <v>2</v>
      </c>
      <c r="O8" s="19">
        <f t="shared" si="5"/>
        <v>-1</v>
      </c>
      <c r="P8" s="19">
        <v>-0.5</v>
      </c>
      <c r="Q8" s="19">
        <v>-4</v>
      </c>
      <c r="R8" s="19">
        <v>1</v>
      </c>
      <c r="S8" s="19">
        <v>0.5</v>
      </c>
      <c r="T8" s="19">
        <v>2.5</v>
      </c>
      <c r="U8" s="12"/>
      <c r="V8" s="45"/>
      <c r="W8" s="46"/>
    </row>
    <row r="9" spans="1:23" x14ac:dyDescent="0.25">
      <c r="A9" s="38">
        <v>40673</v>
      </c>
      <c r="B9" s="29">
        <v>0.03</v>
      </c>
      <c r="C9" s="42">
        <f t="shared" si="0"/>
        <v>0.7619999999999999</v>
      </c>
      <c r="D9" s="2">
        <f t="shared" si="1"/>
        <v>1.257374269005848</v>
      </c>
      <c r="E9" s="2">
        <f t="shared" si="2"/>
        <v>2.5798292465687851</v>
      </c>
      <c r="F9" s="2">
        <f t="shared" si="3"/>
        <v>-0.49537426900584813</v>
      </c>
      <c r="G9" s="1">
        <f t="shared" si="4"/>
        <v>-0.19201823906163712</v>
      </c>
      <c r="H9" s="18">
        <v>-0.5</v>
      </c>
      <c r="J9" s="18">
        <v>0.5</v>
      </c>
      <c r="K9" s="18">
        <v>-2</v>
      </c>
      <c r="L9" s="18">
        <v>1</v>
      </c>
      <c r="M9" s="18">
        <v>1.5</v>
      </c>
      <c r="N9" s="18">
        <v>2</v>
      </c>
      <c r="O9" s="19">
        <f t="shared" si="5"/>
        <v>-1</v>
      </c>
      <c r="P9" s="19">
        <v>-0.5</v>
      </c>
      <c r="Q9" s="19">
        <v>-4</v>
      </c>
      <c r="R9" s="19">
        <v>1</v>
      </c>
      <c r="S9" s="19">
        <v>0.5</v>
      </c>
      <c r="T9" s="19">
        <v>2.5</v>
      </c>
      <c r="U9" s="12"/>
      <c r="V9" s="45"/>
      <c r="W9" s="46"/>
    </row>
    <row r="10" spans="1:23" x14ac:dyDescent="0.25">
      <c r="A10" s="38">
        <v>40704</v>
      </c>
      <c r="B10" s="29">
        <v>0.01</v>
      </c>
      <c r="C10" s="42">
        <f t="shared" si="0"/>
        <v>0.254</v>
      </c>
      <c r="D10" s="2">
        <f t="shared" si="1"/>
        <v>1.257374269005848</v>
      </c>
      <c r="E10" s="2">
        <f t="shared" si="2"/>
        <v>2.5798292465687851</v>
      </c>
      <c r="F10" s="2">
        <f t="shared" si="3"/>
        <v>-1.003374269005848</v>
      </c>
      <c r="G10" s="1">
        <f t="shared" si="4"/>
        <v>-0.38893049621030235</v>
      </c>
      <c r="H10" s="18">
        <v>-0.5</v>
      </c>
      <c r="J10" s="18">
        <v>0.5</v>
      </c>
      <c r="K10" s="18">
        <v>-2</v>
      </c>
      <c r="L10" s="18">
        <v>1</v>
      </c>
      <c r="M10" s="18">
        <v>1.5</v>
      </c>
      <c r="N10" s="18">
        <v>2</v>
      </c>
      <c r="O10" s="19">
        <f t="shared" si="5"/>
        <v>-1</v>
      </c>
      <c r="P10" s="19">
        <v>-0.5</v>
      </c>
      <c r="Q10" s="19">
        <v>-4</v>
      </c>
      <c r="R10" s="19">
        <v>1</v>
      </c>
      <c r="S10" s="19">
        <v>0.5</v>
      </c>
      <c r="T10" s="19">
        <v>2.5</v>
      </c>
      <c r="U10" s="12"/>
      <c r="V10" s="45"/>
      <c r="W10" s="46"/>
    </row>
    <row r="11" spans="1:23" x14ac:dyDescent="0.25">
      <c r="A11" s="38">
        <v>40734</v>
      </c>
      <c r="B11" s="29">
        <v>0.03</v>
      </c>
      <c r="C11" s="42">
        <f t="shared" si="0"/>
        <v>0.7619999999999999</v>
      </c>
      <c r="D11" s="2">
        <f t="shared" si="1"/>
        <v>1.257374269005848</v>
      </c>
      <c r="E11" s="2">
        <f t="shared" si="2"/>
        <v>2.5798292465687851</v>
      </c>
      <c r="F11" s="2">
        <f t="shared" si="3"/>
        <v>-0.49537426900584813</v>
      </c>
      <c r="G11" s="1">
        <f t="shared" si="4"/>
        <v>-0.19201823906163712</v>
      </c>
      <c r="H11" s="18">
        <v>-0.5</v>
      </c>
      <c r="J11" s="18">
        <v>0.5</v>
      </c>
      <c r="K11" s="18">
        <v>-2</v>
      </c>
      <c r="L11" s="18">
        <v>1</v>
      </c>
      <c r="M11" s="18">
        <v>1.5</v>
      </c>
      <c r="N11" s="18">
        <v>2</v>
      </c>
      <c r="O11" s="19">
        <f t="shared" si="5"/>
        <v>-1</v>
      </c>
      <c r="P11" s="19">
        <v>-0.5</v>
      </c>
      <c r="Q11" s="19">
        <v>-4</v>
      </c>
      <c r="R11" s="19">
        <v>1</v>
      </c>
      <c r="S11" s="19">
        <v>0.5</v>
      </c>
      <c r="T11" s="19">
        <v>2.5</v>
      </c>
      <c r="U11" s="12"/>
      <c r="V11" s="45"/>
      <c r="W11" s="46"/>
    </row>
    <row r="12" spans="1:23" x14ac:dyDescent="0.25">
      <c r="A12" s="38">
        <v>40765</v>
      </c>
      <c r="B12" s="29">
        <v>0.01</v>
      </c>
      <c r="C12" s="42">
        <f t="shared" si="0"/>
        <v>0.254</v>
      </c>
      <c r="D12" s="2">
        <f t="shared" si="1"/>
        <v>1.257374269005848</v>
      </c>
      <c r="E12" s="2">
        <f t="shared" si="2"/>
        <v>2.5798292465687851</v>
      </c>
      <c r="F12" s="2">
        <f t="shared" si="3"/>
        <v>-1.003374269005848</v>
      </c>
      <c r="G12" s="1">
        <f t="shared" si="4"/>
        <v>-0.38893049621030235</v>
      </c>
      <c r="H12" s="18">
        <v>-0.5</v>
      </c>
      <c r="J12" s="18">
        <v>0.5</v>
      </c>
      <c r="K12" s="18">
        <v>-2</v>
      </c>
      <c r="L12" s="18">
        <v>1</v>
      </c>
      <c r="M12" s="18">
        <v>1.5</v>
      </c>
      <c r="N12" s="18">
        <v>2</v>
      </c>
      <c r="O12" s="19">
        <f t="shared" si="5"/>
        <v>-1</v>
      </c>
      <c r="P12" s="19">
        <v>-0.5</v>
      </c>
      <c r="Q12" s="19">
        <v>-4</v>
      </c>
      <c r="R12" s="19">
        <v>1</v>
      </c>
      <c r="S12" s="19">
        <v>0.5</v>
      </c>
      <c r="T12" s="19">
        <v>2.5</v>
      </c>
      <c r="U12" s="12"/>
      <c r="V12" s="45"/>
      <c r="W12" s="46"/>
    </row>
    <row r="13" spans="1:23" x14ac:dyDescent="0.25">
      <c r="A13" s="38">
        <v>40796</v>
      </c>
      <c r="B13" s="29">
        <v>0.01</v>
      </c>
      <c r="C13" s="42">
        <f t="shared" si="0"/>
        <v>0.254</v>
      </c>
      <c r="D13" s="2">
        <f t="shared" si="1"/>
        <v>1.257374269005848</v>
      </c>
      <c r="E13" s="2">
        <f t="shared" si="2"/>
        <v>2.5798292465687851</v>
      </c>
      <c r="F13" s="2">
        <f t="shared" si="3"/>
        <v>-1.003374269005848</v>
      </c>
      <c r="G13" s="1">
        <f t="shared" si="4"/>
        <v>-0.38893049621030235</v>
      </c>
      <c r="H13" s="18">
        <v>-0.5</v>
      </c>
      <c r="J13" s="18">
        <v>0.5</v>
      </c>
      <c r="K13" s="18">
        <v>-2</v>
      </c>
      <c r="L13" s="18">
        <v>1</v>
      </c>
      <c r="M13" s="18">
        <v>1.5</v>
      </c>
      <c r="N13" s="18">
        <v>2</v>
      </c>
      <c r="O13" s="19">
        <f t="shared" si="5"/>
        <v>-1</v>
      </c>
      <c r="P13" s="19">
        <v>-0.5</v>
      </c>
      <c r="Q13" s="19">
        <v>-4</v>
      </c>
      <c r="R13" s="19">
        <v>1</v>
      </c>
      <c r="S13" s="19">
        <v>0.5</v>
      </c>
      <c r="T13" s="19">
        <v>2.5</v>
      </c>
      <c r="U13" s="12"/>
      <c r="V13" s="45"/>
      <c r="W13" s="46"/>
    </row>
    <row r="14" spans="1:23" x14ac:dyDescent="0.25">
      <c r="A14" s="39">
        <v>40826</v>
      </c>
      <c r="B14" s="29">
        <v>0.01</v>
      </c>
      <c r="C14" s="42">
        <f t="shared" si="0"/>
        <v>0.254</v>
      </c>
      <c r="D14" s="2">
        <f t="shared" si="1"/>
        <v>1.257374269005848</v>
      </c>
      <c r="E14" s="2">
        <f t="shared" si="2"/>
        <v>2.5798292465687851</v>
      </c>
      <c r="F14" s="2">
        <f t="shared" si="3"/>
        <v>-1.003374269005848</v>
      </c>
      <c r="G14" s="1">
        <f t="shared" si="4"/>
        <v>-0.38893049621030235</v>
      </c>
      <c r="H14" s="18">
        <v>-0.5</v>
      </c>
      <c r="J14" s="18">
        <v>0.5</v>
      </c>
      <c r="K14" s="18">
        <v>-2</v>
      </c>
      <c r="L14" s="18">
        <v>1</v>
      </c>
      <c r="M14" s="18">
        <v>1.5</v>
      </c>
      <c r="N14" s="18">
        <v>2</v>
      </c>
      <c r="O14" s="19">
        <f t="shared" si="5"/>
        <v>-1</v>
      </c>
      <c r="P14" s="19">
        <v>-0.5</v>
      </c>
      <c r="Q14" s="19">
        <v>-4</v>
      </c>
      <c r="R14" s="19">
        <v>1</v>
      </c>
      <c r="S14" s="19">
        <v>0.5</v>
      </c>
      <c r="T14" s="19">
        <v>2.5</v>
      </c>
      <c r="U14" s="12"/>
      <c r="V14" s="45"/>
      <c r="W14" s="46"/>
    </row>
    <row r="15" spans="1:23" x14ac:dyDescent="0.25">
      <c r="A15" s="38">
        <v>40857</v>
      </c>
      <c r="B15" s="29">
        <v>0.01</v>
      </c>
      <c r="C15" s="42">
        <f t="shared" si="0"/>
        <v>0.254</v>
      </c>
      <c r="D15" s="2">
        <f t="shared" si="1"/>
        <v>1.257374269005848</v>
      </c>
      <c r="E15" s="2">
        <f t="shared" si="2"/>
        <v>2.5798292465687851</v>
      </c>
      <c r="F15" s="2">
        <f t="shared" si="3"/>
        <v>-1.003374269005848</v>
      </c>
      <c r="G15" s="1">
        <f t="shared" si="4"/>
        <v>-0.38893049621030235</v>
      </c>
      <c r="H15" s="18">
        <v>-0.5</v>
      </c>
      <c r="J15" s="18">
        <v>0.5</v>
      </c>
      <c r="K15" s="18">
        <v>-2</v>
      </c>
      <c r="L15" s="18">
        <v>1</v>
      </c>
      <c r="M15" s="18">
        <v>1.5</v>
      </c>
      <c r="N15" s="18">
        <v>2</v>
      </c>
      <c r="O15" s="19">
        <f t="shared" si="5"/>
        <v>-1</v>
      </c>
      <c r="P15" s="19">
        <v>-0.5</v>
      </c>
      <c r="Q15" s="19">
        <v>-4</v>
      </c>
      <c r="R15" s="19">
        <v>1</v>
      </c>
      <c r="S15" s="19">
        <v>0.5</v>
      </c>
      <c r="T15" s="19">
        <v>2.5</v>
      </c>
      <c r="U15" s="12"/>
      <c r="V15" s="45"/>
      <c r="W15" s="46"/>
    </row>
    <row r="16" spans="1:23" x14ac:dyDescent="0.25">
      <c r="A16" s="38">
        <v>40887</v>
      </c>
      <c r="B16" s="29">
        <v>0.05</v>
      </c>
      <c r="C16" s="42">
        <f t="shared" si="0"/>
        <v>1.27</v>
      </c>
      <c r="D16" s="2">
        <f t="shared" si="1"/>
        <v>1.257374269005848</v>
      </c>
      <c r="E16" s="2">
        <f t="shared" si="2"/>
        <v>2.5798292465687851</v>
      </c>
      <c r="F16" s="2">
        <f t="shared" si="3"/>
        <v>1.2625730994151985E-2</v>
      </c>
      <c r="G16" s="1">
        <f t="shared" si="4"/>
        <v>4.8940180870282067E-3</v>
      </c>
      <c r="H16" s="18">
        <v>-0.5</v>
      </c>
      <c r="J16" s="18">
        <v>0.5</v>
      </c>
      <c r="K16" s="18">
        <v>-2</v>
      </c>
      <c r="L16" s="18">
        <v>1</v>
      </c>
      <c r="M16" s="18">
        <v>1.5</v>
      </c>
      <c r="N16" s="18">
        <v>2</v>
      </c>
      <c r="O16" s="19">
        <f t="shared" si="5"/>
        <v>-1</v>
      </c>
      <c r="P16" s="19">
        <v>-0.5</v>
      </c>
      <c r="Q16" s="19">
        <v>-4</v>
      </c>
      <c r="R16" s="19">
        <v>1</v>
      </c>
      <c r="S16" s="19">
        <v>0.5</v>
      </c>
      <c r="T16" s="19">
        <v>2.5</v>
      </c>
      <c r="U16" s="12"/>
      <c r="V16" s="45"/>
      <c r="W16" s="46"/>
    </row>
    <row r="17" spans="1:23" x14ac:dyDescent="0.25">
      <c r="A17" s="38">
        <v>40918</v>
      </c>
      <c r="B17" s="29">
        <v>0.02</v>
      </c>
      <c r="C17" s="42">
        <f t="shared" si="0"/>
        <v>0.50800000000000001</v>
      </c>
      <c r="D17" s="2">
        <f t="shared" si="1"/>
        <v>1.257374269005848</v>
      </c>
      <c r="E17" s="2">
        <f t="shared" si="2"/>
        <v>2.5798292465687851</v>
      </c>
      <c r="F17" s="2">
        <f t="shared" si="3"/>
        <v>-0.74937426900584803</v>
      </c>
      <c r="G17" s="1">
        <f t="shared" si="4"/>
        <v>-0.29047436763596973</v>
      </c>
      <c r="H17" s="18">
        <v>-0.5</v>
      </c>
      <c r="J17" s="18">
        <v>0.5</v>
      </c>
      <c r="K17" s="18">
        <v>-2</v>
      </c>
      <c r="L17" s="18">
        <v>1</v>
      </c>
      <c r="M17" s="18">
        <v>1.5</v>
      </c>
      <c r="N17" s="18">
        <v>2</v>
      </c>
      <c r="O17" s="19">
        <f t="shared" si="5"/>
        <v>-1</v>
      </c>
      <c r="P17" s="19">
        <v>-0.5</v>
      </c>
      <c r="Q17" s="19">
        <v>-4</v>
      </c>
      <c r="R17" s="19">
        <v>1</v>
      </c>
      <c r="S17" s="19">
        <v>0.5</v>
      </c>
      <c r="T17" s="19">
        <v>2.5</v>
      </c>
      <c r="U17" s="12"/>
      <c r="V17" s="45"/>
      <c r="W17" s="46"/>
    </row>
    <row r="18" spans="1:23" x14ac:dyDescent="0.25">
      <c r="A18" s="38">
        <v>40949</v>
      </c>
      <c r="B18" s="29">
        <v>0</v>
      </c>
      <c r="C18" s="42">
        <f t="shared" si="0"/>
        <v>0</v>
      </c>
      <c r="D18" s="2">
        <f t="shared" si="1"/>
        <v>1.257374269005848</v>
      </c>
      <c r="E18" s="2">
        <f t="shared" si="2"/>
        <v>2.5798292465687851</v>
      </c>
      <c r="F18" s="2">
        <f t="shared" si="3"/>
        <v>-1.257374269005848</v>
      </c>
      <c r="G18" s="1">
        <f t="shared" si="4"/>
        <v>-0.48738662478463496</v>
      </c>
      <c r="H18" s="18">
        <v>-0.5</v>
      </c>
      <c r="J18" s="18">
        <v>0.5</v>
      </c>
      <c r="K18" s="18">
        <v>-2</v>
      </c>
      <c r="L18" s="18">
        <v>1</v>
      </c>
      <c r="M18" s="18">
        <v>1.5</v>
      </c>
      <c r="N18" s="18">
        <v>2</v>
      </c>
      <c r="O18" s="19">
        <f t="shared" si="5"/>
        <v>-1</v>
      </c>
      <c r="P18" s="19">
        <v>-0.5</v>
      </c>
      <c r="Q18" s="19">
        <v>-4</v>
      </c>
      <c r="R18" s="19">
        <v>1</v>
      </c>
      <c r="S18" s="19">
        <v>0.5</v>
      </c>
      <c r="T18" s="19">
        <v>2.5</v>
      </c>
      <c r="U18" s="12"/>
      <c r="V18" s="12"/>
      <c r="W18" s="46"/>
    </row>
    <row r="19" spans="1:23" x14ac:dyDescent="0.25">
      <c r="A19" s="38">
        <v>40978</v>
      </c>
      <c r="B19" s="29">
        <v>0</v>
      </c>
      <c r="C19" s="42">
        <f t="shared" si="0"/>
        <v>0</v>
      </c>
      <c r="D19" s="2">
        <f t="shared" si="1"/>
        <v>1.257374269005848</v>
      </c>
      <c r="E19" s="2">
        <f t="shared" si="2"/>
        <v>2.5798292465687851</v>
      </c>
      <c r="F19" s="2">
        <f t="shared" si="3"/>
        <v>-1.257374269005848</v>
      </c>
      <c r="G19" s="1">
        <f t="shared" si="4"/>
        <v>-0.48738662478463496</v>
      </c>
      <c r="H19" s="18">
        <v>-0.5</v>
      </c>
      <c r="J19" s="18">
        <v>0.5</v>
      </c>
      <c r="K19" s="18">
        <v>-2</v>
      </c>
      <c r="L19" s="18">
        <v>1</v>
      </c>
      <c r="M19" s="18">
        <v>1.5</v>
      </c>
      <c r="N19" s="18">
        <v>2</v>
      </c>
      <c r="O19" s="19">
        <f t="shared" si="5"/>
        <v>-1</v>
      </c>
      <c r="P19" s="19">
        <v>-0.5</v>
      </c>
      <c r="Q19" s="19">
        <v>-4</v>
      </c>
      <c r="R19" s="19">
        <v>1</v>
      </c>
      <c r="S19" s="19">
        <v>0.5</v>
      </c>
      <c r="T19" s="19">
        <v>2.5</v>
      </c>
      <c r="U19" s="12"/>
      <c r="V19" s="45"/>
      <c r="W19" s="46"/>
    </row>
    <row r="20" spans="1:23" x14ac:dyDescent="0.25">
      <c r="A20" s="38">
        <v>41009</v>
      </c>
      <c r="B20" s="29">
        <v>0.02</v>
      </c>
      <c r="C20" s="42">
        <f t="shared" si="0"/>
        <v>0.50800000000000001</v>
      </c>
      <c r="D20" s="2">
        <f t="shared" si="1"/>
        <v>1.257374269005848</v>
      </c>
      <c r="E20" s="2">
        <f t="shared" si="2"/>
        <v>2.5798292465687851</v>
      </c>
      <c r="F20" s="2">
        <f t="shared" si="3"/>
        <v>-0.74937426900584803</v>
      </c>
      <c r="G20" s="1">
        <f t="shared" si="4"/>
        <v>-0.29047436763596973</v>
      </c>
      <c r="H20" s="18">
        <v>-0.5</v>
      </c>
      <c r="J20" s="18">
        <v>0.5</v>
      </c>
      <c r="K20" s="18">
        <v>-2</v>
      </c>
      <c r="L20" s="18">
        <v>1</v>
      </c>
      <c r="M20" s="18">
        <v>1.5</v>
      </c>
      <c r="N20" s="18">
        <v>2</v>
      </c>
      <c r="O20" s="19">
        <f t="shared" si="5"/>
        <v>-1</v>
      </c>
      <c r="P20" s="19">
        <v>-0.5</v>
      </c>
      <c r="Q20" s="19">
        <v>-4</v>
      </c>
      <c r="R20" s="19">
        <v>1</v>
      </c>
      <c r="S20" s="19">
        <v>0.5</v>
      </c>
      <c r="T20" s="19">
        <v>2.5</v>
      </c>
      <c r="U20" s="12"/>
      <c r="V20" s="45"/>
      <c r="W20" s="46"/>
    </row>
    <row r="21" spans="1:23" x14ac:dyDescent="0.25">
      <c r="A21" s="38">
        <v>41039</v>
      </c>
      <c r="B21" s="29">
        <v>0.01</v>
      </c>
      <c r="C21" s="42">
        <f t="shared" si="0"/>
        <v>0.254</v>
      </c>
      <c r="D21" s="2">
        <f t="shared" si="1"/>
        <v>1.257374269005848</v>
      </c>
      <c r="E21" s="2">
        <f t="shared" si="2"/>
        <v>2.5798292465687851</v>
      </c>
      <c r="F21" s="2">
        <f t="shared" si="3"/>
        <v>-1.003374269005848</v>
      </c>
      <c r="G21" s="1">
        <f t="shared" si="4"/>
        <v>-0.38893049621030235</v>
      </c>
      <c r="H21" s="18">
        <v>-0.5</v>
      </c>
      <c r="J21" s="18">
        <v>0.5</v>
      </c>
      <c r="K21" s="18">
        <v>-2</v>
      </c>
      <c r="L21" s="18">
        <v>1</v>
      </c>
      <c r="M21" s="18">
        <v>1.5</v>
      </c>
      <c r="N21" s="18">
        <v>2</v>
      </c>
      <c r="O21" s="19">
        <f t="shared" si="5"/>
        <v>-1</v>
      </c>
      <c r="P21" s="19">
        <v>-0.5</v>
      </c>
      <c r="Q21" s="19">
        <v>-4</v>
      </c>
      <c r="R21" s="19">
        <v>1</v>
      </c>
      <c r="S21" s="19">
        <v>0.5</v>
      </c>
      <c r="T21" s="19">
        <v>2.5</v>
      </c>
      <c r="U21" s="12"/>
      <c r="V21" s="12"/>
      <c r="W21" s="46"/>
    </row>
    <row r="22" spans="1:23" x14ac:dyDescent="0.25">
      <c r="A22" s="39">
        <v>41070</v>
      </c>
      <c r="B22" s="29">
        <v>0.01</v>
      </c>
      <c r="C22" s="42">
        <f t="shared" si="0"/>
        <v>0.254</v>
      </c>
      <c r="D22" s="2">
        <f t="shared" si="1"/>
        <v>1.257374269005848</v>
      </c>
      <c r="E22" s="2">
        <f t="shared" si="2"/>
        <v>2.5798292465687851</v>
      </c>
      <c r="F22" s="2">
        <f t="shared" si="3"/>
        <v>-1.003374269005848</v>
      </c>
      <c r="G22" s="1">
        <f t="shared" si="4"/>
        <v>-0.38893049621030235</v>
      </c>
      <c r="H22" s="18">
        <v>-0.5</v>
      </c>
      <c r="J22" s="18">
        <v>0.5</v>
      </c>
      <c r="K22" s="18">
        <v>-2</v>
      </c>
      <c r="L22" s="18">
        <v>1</v>
      </c>
      <c r="M22" s="18">
        <v>1.5</v>
      </c>
      <c r="N22" s="18">
        <v>2</v>
      </c>
      <c r="O22" s="19">
        <f t="shared" si="5"/>
        <v>-1</v>
      </c>
      <c r="P22" s="19">
        <v>-0.5</v>
      </c>
      <c r="Q22" s="19">
        <v>-4</v>
      </c>
      <c r="R22" s="19">
        <v>1</v>
      </c>
      <c r="S22" s="19">
        <v>0.5</v>
      </c>
      <c r="T22" s="19">
        <v>2.5</v>
      </c>
      <c r="U22" s="12"/>
      <c r="V22" s="12"/>
      <c r="W22" s="46"/>
    </row>
    <row r="23" spans="1:23" x14ac:dyDescent="0.25">
      <c r="A23" s="38">
        <v>41100</v>
      </c>
      <c r="B23" s="29">
        <v>0.01</v>
      </c>
      <c r="C23" s="42">
        <f t="shared" si="0"/>
        <v>0.254</v>
      </c>
      <c r="D23" s="2">
        <f t="shared" si="1"/>
        <v>1.257374269005848</v>
      </c>
      <c r="E23" s="2">
        <f t="shared" si="2"/>
        <v>2.5798292465687851</v>
      </c>
      <c r="F23" s="2">
        <f t="shared" si="3"/>
        <v>-1.003374269005848</v>
      </c>
      <c r="G23" s="1">
        <f t="shared" si="4"/>
        <v>-0.38893049621030235</v>
      </c>
      <c r="H23" s="18">
        <v>-0.5</v>
      </c>
      <c r="J23" s="18">
        <v>0.5</v>
      </c>
      <c r="K23" s="18">
        <v>-2</v>
      </c>
      <c r="L23" s="18">
        <v>1</v>
      </c>
      <c r="M23" s="18">
        <v>1.5</v>
      </c>
      <c r="N23" s="18">
        <v>2</v>
      </c>
      <c r="O23" s="19">
        <f t="shared" si="5"/>
        <v>-1</v>
      </c>
      <c r="P23" s="19">
        <v>-0.5</v>
      </c>
      <c r="Q23" s="19">
        <v>-4</v>
      </c>
      <c r="R23" s="19">
        <v>1</v>
      </c>
      <c r="S23" s="19">
        <v>0.5</v>
      </c>
      <c r="T23" s="19">
        <v>2.5</v>
      </c>
    </row>
    <row r="24" spans="1:23" x14ac:dyDescent="0.25">
      <c r="A24" s="38">
        <v>41131</v>
      </c>
      <c r="B24" s="29">
        <v>0</v>
      </c>
      <c r="C24" s="42">
        <f t="shared" si="0"/>
        <v>0</v>
      </c>
      <c r="D24" s="2">
        <f t="shared" si="1"/>
        <v>1.257374269005848</v>
      </c>
      <c r="E24" s="2">
        <f t="shared" si="2"/>
        <v>2.5798292465687851</v>
      </c>
      <c r="F24" s="2">
        <f t="shared" si="3"/>
        <v>-1.257374269005848</v>
      </c>
      <c r="G24" s="1">
        <f t="shared" si="4"/>
        <v>-0.48738662478463496</v>
      </c>
      <c r="H24" s="18">
        <v>-0.5</v>
      </c>
      <c r="J24" s="18">
        <v>0.5</v>
      </c>
      <c r="K24" s="18">
        <v>-2</v>
      </c>
      <c r="L24" s="18">
        <v>1</v>
      </c>
      <c r="M24" s="18">
        <v>1.5</v>
      </c>
      <c r="N24" s="18">
        <v>2</v>
      </c>
      <c r="O24" s="19">
        <f t="shared" si="5"/>
        <v>-1</v>
      </c>
      <c r="P24" s="19">
        <v>-0.5</v>
      </c>
      <c r="Q24" s="19">
        <v>-4</v>
      </c>
      <c r="R24" s="19">
        <v>1</v>
      </c>
      <c r="S24" s="19">
        <v>0.5</v>
      </c>
      <c r="T24" s="19">
        <v>2.5</v>
      </c>
    </row>
    <row r="25" spans="1:23" x14ac:dyDescent="0.25">
      <c r="A25" s="38">
        <v>41162</v>
      </c>
      <c r="B25" s="29">
        <v>0.02</v>
      </c>
      <c r="C25" s="42">
        <f t="shared" si="0"/>
        <v>0.50800000000000001</v>
      </c>
      <c r="D25" s="2">
        <f t="shared" si="1"/>
        <v>1.257374269005848</v>
      </c>
      <c r="E25" s="2">
        <f t="shared" si="2"/>
        <v>2.5798292465687851</v>
      </c>
      <c r="F25" s="2">
        <f t="shared" si="3"/>
        <v>-0.74937426900584803</v>
      </c>
      <c r="G25" s="1">
        <f t="shared" si="4"/>
        <v>-0.29047436763596973</v>
      </c>
      <c r="H25" s="18">
        <v>-0.5</v>
      </c>
      <c r="J25" s="18">
        <v>0.5</v>
      </c>
      <c r="K25" s="18">
        <v>-2</v>
      </c>
      <c r="L25" s="18">
        <v>1</v>
      </c>
      <c r="M25" s="18">
        <v>1.5</v>
      </c>
      <c r="N25" s="18">
        <v>2</v>
      </c>
      <c r="O25" s="19">
        <f t="shared" si="5"/>
        <v>-1</v>
      </c>
      <c r="P25" s="19">
        <v>-0.5</v>
      </c>
      <c r="Q25" s="19">
        <v>-4</v>
      </c>
      <c r="R25" s="19">
        <v>1</v>
      </c>
      <c r="S25" s="19">
        <v>0.5</v>
      </c>
      <c r="T25" s="19">
        <v>2.5</v>
      </c>
    </row>
    <row r="26" spans="1:23" x14ac:dyDescent="0.25">
      <c r="A26" s="38">
        <v>41192</v>
      </c>
      <c r="B26" s="29">
        <v>0.02</v>
      </c>
      <c r="C26" s="42">
        <f t="shared" si="0"/>
        <v>0.50800000000000001</v>
      </c>
      <c r="D26" s="2">
        <f t="shared" si="1"/>
        <v>1.257374269005848</v>
      </c>
      <c r="E26" s="2">
        <f t="shared" si="2"/>
        <v>2.5798292465687851</v>
      </c>
      <c r="F26" s="2">
        <f t="shared" si="3"/>
        <v>-0.74937426900584803</v>
      </c>
      <c r="G26" s="1">
        <f t="shared" si="4"/>
        <v>-0.29047436763596973</v>
      </c>
      <c r="H26" s="18">
        <v>-0.5</v>
      </c>
      <c r="J26" s="18">
        <v>0.5</v>
      </c>
      <c r="K26" s="18">
        <v>-2</v>
      </c>
      <c r="L26" s="18">
        <v>1</v>
      </c>
      <c r="M26" s="18">
        <v>1.5</v>
      </c>
      <c r="N26" s="18">
        <v>2</v>
      </c>
      <c r="O26" s="19">
        <f t="shared" si="5"/>
        <v>-1</v>
      </c>
      <c r="P26" s="19">
        <v>-0.5</v>
      </c>
      <c r="Q26" s="19">
        <v>-4</v>
      </c>
      <c r="R26" s="19">
        <v>1</v>
      </c>
      <c r="S26" s="19">
        <v>0.5</v>
      </c>
      <c r="T26" s="19">
        <v>2.5</v>
      </c>
    </row>
    <row r="27" spans="1:23" x14ac:dyDescent="0.25">
      <c r="A27" s="38">
        <v>41223</v>
      </c>
      <c r="B27" s="29">
        <v>0.01</v>
      </c>
      <c r="C27" s="42">
        <f t="shared" si="0"/>
        <v>0.254</v>
      </c>
      <c r="D27" s="2">
        <f t="shared" si="1"/>
        <v>1.257374269005848</v>
      </c>
      <c r="E27" s="2">
        <f t="shared" si="2"/>
        <v>2.5798292465687851</v>
      </c>
      <c r="F27" s="2">
        <f t="shared" si="3"/>
        <v>-1.003374269005848</v>
      </c>
      <c r="G27" s="1">
        <f t="shared" si="4"/>
        <v>-0.38893049621030235</v>
      </c>
      <c r="H27" s="18">
        <v>-0.5</v>
      </c>
      <c r="J27" s="18">
        <v>0.5</v>
      </c>
      <c r="K27" s="18">
        <v>-2</v>
      </c>
      <c r="L27" s="18">
        <v>1</v>
      </c>
      <c r="M27" s="18">
        <v>1.5</v>
      </c>
      <c r="N27" s="18">
        <v>2</v>
      </c>
      <c r="O27" s="19">
        <f t="shared" si="5"/>
        <v>-1</v>
      </c>
      <c r="P27" s="19">
        <v>-0.5</v>
      </c>
      <c r="Q27" s="19">
        <v>-4</v>
      </c>
      <c r="R27" s="19">
        <v>1</v>
      </c>
      <c r="S27" s="19">
        <v>0.5</v>
      </c>
      <c r="T27" s="19">
        <v>2.5</v>
      </c>
    </row>
    <row r="28" spans="1:23" x14ac:dyDescent="0.25">
      <c r="A28" s="38">
        <v>41253</v>
      </c>
      <c r="B28" s="29">
        <v>7.0000000000000007E-2</v>
      </c>
      <c r="C28" s="42">
        <f t="shared" si="0"/>
        <v>1.778</v>
      </c>
      <c r="D28" s="2">
        <f t="shared" si="1"/>
        <v>1.257374269005848</v>
      </c>
      <c r="E28" s="2">
        <f t="shared" si="2"/>
        <v>2.5798292465687851</v>
      </c>
      <c r="F28" s="2">
        <f t="shared" si="3"/>
        <v>0.52062573099415199</v>
      </c>
      <c r="G28" s="1">
        <f t="shared" si="4"/>
        <v>0.20180627523569347</v>
      </c>
      <c r="H28" s="18">
        <v>-0.5</v>
      </c>
      <c r="J28" s="18">
        <v>0.5</v>
      </c>
      <c r="K28" s="18">
        <v>-2</v>
      </c>
      <c r="L28" s="18">
        <v>1</v>
      </c>
      <c r="M28" s="18">
        <v>1.5</v>
      </c>
      <c r="N28" s="18">
        <v>2</v>
      </c>
      <c r="O28" s="19">
        <f t="shared" si="5"/>
        <v>-1</v>
      </c>
      <c r="P28" s="19">
        <v>-0.5</v>
      </c>
      <c r="Q28" s="19">
        <v>-4</v>
      </c>
      <c r="R28" s="19">
        <v>1</v>
      </c>
      <c r="S28" s="19">
        <v>0.5</v>
      </c>
      <c r="T28" s="19">
        <v>2.5</v>
      </c>
    </row>
    <row r="29" spans="1:23" x14ac:dyDescent="0.25">
      <c r="A29" s="38">
        <v>41284</v>
      </c>
      <c r="B29" s="29">
        <v>0.04</v>
      </c>
      <c r="C29" s="42">
        <f t="shared" si="0"/>
        <v>1.016</v>
      </c>
      <c r="D29" s="2">
        <f t="shared" si="1"/>
        <v>1.257374269005848</v>
      </c>
      <c r="E29" s="2">
        <f t="shared" si="2"/>
        <v>2.5798292465687851</v>
      </c>
      <c r="F29" s="2">
        <f t="shared" si="3"/>
        <v>-0.24137426900584802</v>
      </c>
      <c r="G29" s="1">
        <f t="shared" si="4"/>
        <v>-9.3562110487304437E-2</v>
      </c>
      <c r="H29" s="18">
        <v>-0.5</v>
      </c>
      <c r="J29" s="18">
        <v>0.5</v>
      </c>
      <c r="K29" s="18">
        <v>-2</v>
      </c>
      <c r="L29" s="18">
        <v>1</v>
      </c>
      <c r="M29" s="18">
        <v>1.5</v>
      </c>
      <c r="N29" s="18">
        <v>2</v>
      </c>
      <c r="O29" s="19">
        <f t="shared" si="5"/>
        <v>-1</v>
      </c>
      <c r="P29" s="19">
        <v>-0.5</v>
      </c>
      <c r="Q29" s="19">
        <v>-4</v>
      </c>
      <c r="R29" s="19">
        <v>1</v>
      </c>
      <c r="S29" s="19">
        <v>0.5</v>
      </c>
      <c r="T29" s="19">
        <v>2.5</v>
      </c>
    </row>
    <row r="30" spans="1:23" x14ac:dyDescent="0.25">
      <c r="A30" s="39">
        <v>41315</v>
      </c>
      <c r="B30" s="29">
        <v>0</v>
      </c>
      <c r="C30" s="42">
        <f t="shared" si="0"/>
        <v>0</v>
      </c>
      <c r="D30" s="2">
        <f t="shared" si="1"/>
        <v>1.257374269005848</v>
      </c>
      <c r="E30" s="2">
        <f t="shared" si="2"/>
        <v>2.5798292465687851</v>
      </c>
      <c r="F30" s="2">
        <f t="shared" si="3"/>
        <v>-1.257374269005848</v>
      </c>
      <c r="G30" s="1">
        <f t="shared" si="4"/>
        <v>-0.48738662478463496</v>
      </c>
      <c r="H30" s="18">
        <v>-0.5</v>
      </c>
      <c r="J30" s="18">
        <v>0.5</v>
      </c>
      <c r="K30" s="18">
        <v>-2</v>
      </c>
      <c r="L30" s="18">
        <v>1</v>
      </c>
      <c r="M30" s="18">
        <v>1.5</v>
      </c>
      <c r="N30" s="18">
        <v>2</v>
      </c>
      <c r="O30" s="19">
        <f t="shared" si="5"/>
        <v>-1</v>
      </c>
      <c r="P30" s="19">
        <v>-0.5</v>
      </c>
      <c r="Q30" s="19">
        <v>-4</v>
      </c>
      <c r="R30" s="19">
        <v>1</v>
      </c>
      <c r="S30" s="19">
        <v>0.5</v>
      </c>
      <c r="T30" s="19">
        <v>2.5</v>
      </c>
    </row>
    <row r="31" spans="1:23" x14ac:dyDescent="0.25">
      <c r="A31" s="38">
        <v>41343</v>
      </c>
      <c r="B31" s="29">
        <v>0.04</v>
      </c>
      <c r="C31" s="42">
        <f t="shared" si="0"/>
        <v>1.016</v>
      </c>
      <c r="D31" s="2">
        <f t="shared" si="1"/>
        <v>1.257374269005848</v>
      </c>
      <c r="E31" s="2">
        <f t="shared" si="2"/>
        <v>2.5798292465687851</v>
      </c>
      <c r="F31" s="2">
        <f t="shared" si="3"/>
        <v>-0.24137426900584802</v>
      </c>
      <c r="G31" s="1">
        <f t="shared" si="4"/>
        <v>-9.3562110487304437E-2</v>
      </c>
      <c r="H31" s="18">
        <v>-0.5</v>
      </c>
      <c r="J31" s="18">
        <v>0.5</v>
      </c>
      <c r="K31" s="18">
        <v>-2</v>
      </c>
      <c r="L31" s="18">
        <v>1</v>
      </c>
      <c r="M31" s="18">
        <v>1.5</v>
      </c>
      <c r="N31" s="18">
        <v>2</v>
      </c>
      <c r="O31" s="19">
        <f t="shared" si="5"/>
        <v>-1</v>
      </c>
      <c r="P31" s="19">
        <v>-0.5</v>
      </c>
      <c r="Q31" s="19">
        <v>-4</v>
      </c>
      <c r="R31" s="19">
        <v>1</v>
      </c>
      <c r="S31" s="19">
        <v>0.5</v>
      </c>
      <c r="T31" s="19">
        <v>2.5</v>
      </c>
    </row>
    <row r="32" spans="1:23" x14ac:dyDescent="0.25">
      <c r="A32" s="38">
        <v>41374</v>
      </c>
      <c r="B32" s="29">
        <v>0.05</v>
      </c>
      <c r="C32" s="42">
        <f t="shared" si="0"/>
        <v>1.27</v>
      </c>
      <c r="D32" s="2">
        <f t="shared" si="1"/>
        <v>1.257374269005848</v>
      </c>
      <c r="E32" s="2">
        <f t="shared" si="2"/>
        <v>2.5798292465687851</v>
      </c>
      <c r="F32" s="2">
        <f t="shared" si="3"/>
        <v>1.2625730994151985E-2</v>
      </c>
      <c r="G32" s="1">
        <f t="shared" si="4"/>
        <v>4.8940180870282067E-3</v>
      </c>
      <c r="H32" s="18">
        <v>-0.5</v>
      </c>
      <c r="J32" s="18">
        <v>0.5</v>
      </c>
      <c r="K32" s="18">
        <v>-2</v>
      </c>
      <c r="L32" s="18">
        <v>1</v>
      </c>
      <c r="M32" s="18">
        <v>1.5</v>
      </c>
      <c r="N32" s="18">
        <v>2</v>
      </c>
      <c r="O32" s="19">
        <f t="shared" si="5"/>
        <v>-1</v>
      </c>
      <c r="P32" s="19">
        <v>-0.5</v>
      </c>
      <c r="Q32" s="19">
        <v>-4</v>
      </c>
      <c r="R32" s="19">
        <v>1</v>
      </c>
      <c r="S32" s="19">
        <v>0.5</v>
      </c>
      <c r="T32" s="19">
        <v>2.5</v>
      </c>
    </row>
    <row r="33" spans="1:20" x14ac:dyDescent="0.25">
      <c r="A33" s="38">
        <v>41404</v>
      </c>
      <c r="B33" s="29">
        <v>0.02</v>
      </c>
      <c r="C33" s="42">
        <f t="shared" si="0"/>
        <v>0.50800000000000001</v>
      </c>
      <c r="D33" s="2">
        <f t="shared" si="1"/>
        <v>1.257374269005848</v>
      </c>
      <c r="E33" s="2">
        <f t="shared" si="2"/>
        <v>2.5798292465687851</v>
      </c>
      <c r="F33" s="2">
        <f t="shared" si="3"/>
        <v>-0.74937426900584803</v>
      </c>
      <c r="G33" s="1">
        <f t="shared" si="4"/>
        <v>-0.29047436763596973</v>
      </c>
      <c r="H33" s="18">
        <v>-0.5</v>
      </c>
      <c r="J33" s="18">
        <v>0.5</v>
      </c>
      <c r="K33" s="18">
        <v>-2</v>
      </c>
      <c r="L33" s="18">
        <v>1</v>
      </c>
      <c r="M33" s="18">
        <v>1.5</v>
      </c>
      <c r="N33" s="18">
        <v>2</v>
      </c>
      <c r="O33" s="19">
        <f t="shared" si="5"/>
        <v>-1</v>
      </c>
      <c r="P33" s="19">
        <v>-0.5</v>
      </c>
      <c r="Q33" s="19">
        <v>-4</v>
      </c>
      <c r="R33" s="19">
        <v>1</v>
      </c>
      <c r="S33" s="19">
        <v>0.5</v>
      </c>
      <c r="T33" s="19">
        <v>2.5</v>
      </c>
    </row>
    <row r="34" spans="1:20" x14ac:dyDescent="0.25">
      <c r="A34" s="38">
        <v>41435</v>
      </c>
      <c r="B34" s="29">
        <v>0.01</v>
      </c>
      <c r="C34" s="42">
        <f t="shared" si="0"/>
        <v>0.254</v>
      </c>
      <c r="D34" s="2">
        <f t="shared" si="1"/>
        <v>1.257374269005848</v>
      </c>
      <c r="E34" s="2">
        <f t="shared" si="2"/>
        <v>2.5798292465687851</v>
      </c>
      <c r="F34" s="2">
        <f t="shared" si="3"/>
        <v>-1.003374269005848</v>
      </c>
      <c r="G34" s="1">
        <f t="shared" si="4"/>
        <v>-0.38893049621030235</v>
      </c>
      <c r="H34" s="18">
        <v>-0.5</v>
      </c>
      <c r="J34" s="18">
        <v>0.5</v>
      </c>
      <c r="K34" s="18">
        <v>-2</v>
      </c>
      <c r="L34" s="18">
        <v>1</v>
      </c>
      <c r="M34" s="18">
        <v>1.5</v>
      </c>
      <c r="N34" s="18">
        <v>2</v>
      </c>
      <c r="O34" s="19">
        <f t="shared" si="5"/>
        <v>-1</v>
      </c>
      <c r="P34" s="19">
        <v>-0.5</v>
      </c>
      <c r="Q34" s="19">
        <v>-4</v>
      </c>
      <c r="R34" s="19">
        <v>1</v>
      </c>
      <c r="S34" s="19">
        <v>0.5</v>
      </c>
      <c r="T34" s="19">
        <v>2.5</v>
      </c>
    </row>
    <row r="35" spans="1:20" x14ac:dyDescent="0.25">
      <c r="A35" s="38">
        <v>41465</v>
      </c>
      <c r="B35" s="29">
        <v>0.01</v>
      </c>
      <c r="C35" s="42">
        <f t="shared" si="0"/>
        <v>0.254</v>
      </c>
      <c r="D35" s="2">
        <f t="shared" si="1"/>
        <v>1.257374269005848</v>
      </c>
      <c r="E35" s="2">
        <f t="shared" si="2"/>
        <v>2.5798292465687851</v>
      </c>
      <c r="F35" s="2">
        <f t="shared" si="3"/>
        <v>-1.003374269005848</v>
      </c>
      <c r="G35" s="1">
        <f t="shared" si="4"/>
        <v>-0.38893049621030235</v>
      </c>
      <c r="H35" s="18">
        <v>-0.5</v>
      </c>
      <c r="J35" s="18">
        <v>0.5</v>
      </c>
      <c r="K35" s="18">
        <v>-2</v>
      </c>
      <c r="L35" s="18">
        <v>1</v>
      </c>
      <c r="M35" s="18">
        <v>1.5</v>
      </c>
      <c r="N35" s="18">
        <v>2</v>
      </c>
      <c r="O35" s="19">
        <f t="shared" si="5"/>
        <v>-1</v>
      </c>
      <c r="P35" s="19">
        <v>-0.5</v>
      </c>
      <c r="Q35" s="19">
        <v>-4</v>
      </c>
      <c r="R35" s="19">
        <v>1</v>
      </c>
      <c r="S35" s="19">
        <v>0.5</v>
      </c>
      <c r="T35" s="19">
        <v>2.5</v>
      </c>
    </row>
    <row r="36" spans="1:20" x14ac:dyDescent="0.25">
      <c r="A36" s="38">
        <v>41496</v>
      </c>
      <c r="B36" s="29">
        <v>0.01</v>
      </c>
      <c r="C36" s="42">
        <f t="shared" si="0"/>
        <v>0.254</v>
      </c>
      <c r="D36" s="2">
        <f t="shared" si="1"/>
        <v>1.257374269005848</v>
      </c>
      <c r="E36" s="2">
        <f t="shared" si="2"/>
        <v>2.5798292465687851</v>
      </c>
      <c r="F36" s="2">
        <f t="shared" si="3"/>
        <v>-1.003374269005848</v>
      </c>
      <c r="G36" s="1">
        <f t="shared" si="4"/>
        <v>-0.38893049621030235</v>
      </c>
      <c r="H36" s="18">
        <v>-0.5</v>
      </c>
      <c r="J36" s="18">
        <v>0.5</v>
      </c>
      <c r="K36" s="18">
        <v>-2</v>
      </c>
      <c r="L36" s="18">
        <v>1</v>
      </c>
      <c r="M36" s="18">
        <v>1.5</v>
      </c>
      <c r="N36" s="18">
        <v>2</v>
      </c>
      <c r="O36" s="19">
        <f t="shared" si="5"/>
        <v>-1</v>
      </c>
      <c r="P36" s="19">
        <v>-0.5</v>
      </c>
      <c r="Q36" s="19">
        <v>-4</v>
      </c>
      <c r="R36" s="19">
        <v>1</v>
      </c>
      <c r="S36" s="19">
        <v>0.5</v>
      </c>
      <c r="T36" s="19">
        <v>2.5</v>
      </c>
    </row>
    <row r="37" spans="1:20" x14ac:dyDescent="0.25">
      <c r="A37" s="38">
        <v>41527</v>
      </c>
      <c r="B37" s="29">
        <v>0</v>
      </c>
      <c r="C37" s="42">
        <f t="shared" ref="C37:C68" si="6">B37*$D$1</f>
        <v>0</v>
      </c>
      <c r="D37" s="2">
        <f t="shared" si="1"/>
        <v>1.257374269005848</v>
      </c>
      <c r="E37" s="2">
        <f t="shared" si="2"/>
        <v>2.5798292465687851</v>
      </c>
      <c r="F37" s="2">
        <f t="shared" si="3"/>
        <v>-1.257374269005848</v>
      </c>
      <c r="G37" s="1">
        <f t="shared" si="4"/>
        <v>-0.48738662478463496</v>
      </c>
      <c r="H37" s="18">
        <v>-0.5</v>
      </c>
      <c r="J37" s="18">
        <v>0.5</v>
      </c>
      <c r="K37" s="18">
        <v>-2</v>
      </c>
      <c r="L37" s="18">
        <v>1</v>
      </c>
      <c r="M37" s="18">
        <v>1.5</v>
      </c>
      <c r="N37" s="18">
        <v>2</v>
      </c>
      <c r="O37" s="19">
        <f t="shared" si="5"/>
        <v>-1</v>
      </c>
      <c r="P37" s="19">
        <v>-0.5</v>
      </c>
      <c r="Q37" s="19">
        <v>-4</v>
      </c>
      <c r="R37" s="19">
        <v>1</v>
      </c>
      <c r="S37" s="19">
        <v>0.5</v>
      </c>
      <c r="T37" s="19">
        <v>2.5</v>
      </c>
    </row>
    <row r="38" spans="1:20" x14ac:dyDescent="0.25">
      <c r="A38" s="39">
        <v>41557</v>
      </c>
      <c r="B38" s="29">
        <v>0.02</v>
      </c>
      <c r="C38" s="42">
        <f t="shared" si="6"/>
        <v>0.50800000000000001</v>
      </c>
      <c r="D38" s="2">
        <f t="shared" si="1"/>
        <v>1.257374269005848</v>
      </c>
      <c r="E38" s="2">
        <f t="shared" si="2"/>
        <v>2.5798292465687851</v>
      </c>
      <c r="F38" s="2">
        <f t="shared" si="3"/>
        <v>-0.74937426900584803</v>
      </c>
      <c r="G38" s="1">
        <f t="shared" si="4"/>
        <v>-0.29047436763596973</v>
      </c>
      <c r="H38" s="18">
        <v>-0.5</v>
      </c>
      <c r="J38" s="18">
        <v>0.5</v>
      </c>
      <c r="K38" s="18">
        <v>-2</v>
      </c>
      <c r="L38" s="18">
        <v>1</v>
      </c>
      <c r="M38" s="18">
        <v>1.5</v>
      </c>
      <c r="N38" s="18">
        <v>2</v>
      </c>
      <c r="O38" s="19">
        <f t="shared" si="5"/>
        <v>-1</v>
      </c>
      <c r="P38" s="19">
        <v>-0.5</v>
      </c>
      <c r="Q38" s="19">
        <v>-4</v>
      </c>
      <c r="R38" s="19">
        <v>1</v>
      </c>
      <c r="S38" s="19">
        <v>0.5</v>
      </c>
      <c r="T38" s="19">
        <v>2.5</v>
      </c>
    </row>
    <row r="39" spans="1:20" x14ac:dyDescent="0.25">
      <c r="A39" s="38">
        <v>41588</v>
      </c>
      <c r="B39" s="29">
        <v>0.02</v>
      </c>
      <c r="C39" s="42">
        <f t="shared" si="6"/>
        <v>0.50800000000000001</v>
      </c>
      <c r="D39" s="2">
        <f t="shared" si="1"/>
        <v>1.257374269005848</v>
      </c>
      <c r="E39" s="2">
        <f t="shared" si="2"/>
        <v>2.5798292465687851</v>
      </c>
      <c r="F39" s="2">
        <f t="shared" si="3"/>
        <v>-0.74937426900584803</v>
      </c>
      <c r="G39" s="1">
        <f t="shared" si="4"/>
        <v>-0.29047436763596973</v>
      </c>
      <c r="H39" s="18">
        <v>-0.5</v>
      </c>
      <c r="J39" s="18">
        <v>0.5</v>
      </c>
      <c r="K39" s="18">
        <v>-2</v>
      </c>
      <c r="L39" s="18">
        <v>1</v>
      </c>
      <c r="M39" s="18">
        <v>1.5</v>
      </c>
      <c r="N39" s="18">
        <v>2</v>
      </c>
      <c r="O39" s="19">
        <f t="shared" si="5"/>
        <v>-1</v>
      </c>
      <c r="P39" s="19">
        <v>-0.5</v>
      </c>
      <c r="Q39" s="19">
        <v>-4</v>
      </c>
      <c r="R39" s="19">
        <v>1</v>
      </c>
      <c r="S39" s="19">
        <v>0.5</v>
      </c>
      <c r="T39" s="19">
        <v>2.5</v>
      </c>
    </row>
    <row r="40" spans="1:20" x14ac:dyDescent="0.25">
      <c r="A40" s="38">
        <v>41618</v>
      </c>
      <c r="B40" s="29">
        <v>0.09</v>
      </c>
      <c r="C40" s="42">
        <f t="shared" si="6"/>
        <v>2.2859999999999996</v>
      </c>
      <c r="D40" s="2">
        <f t="shared" si="1"/>
        <v>1.257374269005848</v>
      </c>
      <c r="E40" s="2">
        <f t="shared" si="2"/>
        <v>2.5798292465687851</v>
      </c>
      <c r="F40" s="2">
        <f t="shared" si="3"/>
        <v>1.0286257309941516</v>
      </c>
      <c r="G40" s="1">
        <f t="shared" si="4"/>
        <v>0.39871853238435861</v>
      </c>
      <c r="H40" s="18">
        <v>-0.5</v>
      </c>
      <c r="J40" s="18">
        <v>0.5</v>
      </c>
      <c r="K40" s="18">
        <v>-2</v>
      </c>
      <c r="L40" s="18">
        <v>1</v>
      </c>
      <c r="M40" s="18">
        <v>1.5</v>
      </c>
      <c r="N40" s="18">
        <v>2</v>
      </c>
      <c r="O40" s="19">
        <f t="shared" si="5"/>
        <v>-1</v>
      </c>
      <c r="P40" s="19">
        <v>-0.5</v>
      </c>
      <c r="Q40" s="19">
        <v>-4</v>
      </c>
      <c r="R40" s="19">
        <v>1</v>
      </c>
      <c r="S40" s="19">
        <v>0.5</v>
      </c>
      <c r="T40" s="19">
        <v>2.5</v>
      </c>
    </row>
    <row r="41" spans="1:20" x14ac:dyDescent="0.25">
      <c r="A41" s="38">
        <v>41649</v>
      </c>
      <c r="B41" s="29">
        <v>0.05</v>
      </c>
      <c r="C41" s="42">
        <f t="shared" si="6"/>
        <v>1.27</v>
      </c>
      <c r="D41" s="2">
        <f t="shared" si="1"/>
        <v>1.257374269005848</v>
      </c>
      <c r="E41" s="2">
        <f t="shared" si="2"/>
        <v>2.5798292465687851</v>
      </c>
      <c r="F41" s="2">
        <f t="shared" si="3"/>
        <v>1.2625730994151985E-2</v>
      </c>
      <c r="G41" s="1">
        <f t="shared" si="4"/>
        <v>4.8940180870282067E-3</v>
      </c>
      <c r="H41" s="18">
        <v>-0.5</v>
      </c>
      <c r="J41" s="18">
        <v>0.5</v>
      </c>
      <c r="K41" s="18">
        <v>-2</v>
      </c>
      <c r="L41" s="18">
        <v>1</v>
      </c>
      <c r="M41" s="18">
        <v>1.5</v>
      </c>
      <c r="N41" s="18">
        <v>2</v>
      </c>
      <c r="O41" s="19">
        <f t="shared" si="5"/>
        <v>-1</v>
      </c>
      <c r="P41" s="19">
        <v>-0.5</v>
      </c>
      <c r="Q41" s="19">
        <v>-4</v>
      </c>
      <c r="R41" s="19">
        <v>1</v>
      </c>
      <c r="S41" s="19">
        <v>0.5</v>
      </c>
      <c r="T41" s="19">
        <v>2.5</v>
      </c>
    </row>
    <row r="42" spans="1:20" x14ac:dyDescent="0.25">
      <c r="A42" s="38">
        <v>41680</v>
      </c>
      <c r="B42" s="29">
        <v>0</v>
      </c>
      <c r="C42" s="42">
        <f t="shared" si="6"/>
        <v>0</v>
      </c>
      <c r="D42" s="2">
        <f t="shared" si="1"/>
        <v>1.257374269005848</v>
      </c>
      <c r="E42" s="2">
        <f t="shared" si="2"/>
        <v>2.5798292465687851</v>
      </c>
      <c r="F42" s="2">
        <f t="shared" si="3"/>
        <v>-1.257374269005848</v>
      </c>
      <c r="G42" s="1">
        <f t="shared" si="4"/>
        <v>-0.48738662478463496</v>
      </c>
      <c r="H42" s="18">
        <v>-0.5</v>
      </c>
      <c r="J42" s="18">
        <v>0.5</v>
      </c>
      <c r="K42" s="18">
        <v>-2</v>
      </c>
      <c r="L42" s="18">
        <v>1</v>
      </c>
      <c r="M42" s="18">
        <v>1.5</v>
      </c>
      <c r="N42" s="18">
        <v>2</v>
      </c>
      <c r="O42" s="19">
        <f t="shared" si="5"/>
        <v>-1</v>
      </c>
      <c r="P42" s="19">
        <v>-0.5</v>
      </c>
      <c r="Q42" s="19">
        <v>-4</v>
      </c>
      <c r="R42" s="19">
        <v>1</v>
      </c>
      <c r="S42" s="19">
        <v>0.5</v>
      </c>
      <c r="T42" s="19">
        <v>2.5</v>
      </c>
    </row>
    <row r="43" spans="1:20" x14ac:dyDescent="0.25">
      <c r="A43" s="38">
        <v>41708</v>
      </c>
      <c r="B43" s="29">
        <v>0</v>
      </c>
      <c r="C43" s="42">
        <f t="shared" si="6"/>
        <v>0</v>
      </c>
      <c r="D43" s="2">
        <f t="shared" si="1"/>
        <v>1.257374269005848</v>
      </c>
      <c r="E43" s="2">
        <f t="shared" si="2"/>
        <v>2.5798292465687851</v>
      </c>
      <c r="F43" s="2">
        <f t="shared" si="3"/>
        <v>-1.257374269005848</v>
      </c>
      <c r="G43" s="1">
        <f t="shared" si="4"/>
        <v>-0.48738662478463496</v>
      </c>
      <c r="H43" s="18">
        <v>-0.5</v>
      </c>
      <c r="J43" s="18">
        <v>0.5</v>
      </c>
      <c r="K43" s="18">
        <v>-2</v>
      </c>
      <c r="L43" s="18">
        <v>1</v>
      </c>
      <c r="M43" s="18">
        <v>1.5</v>
      </c>
      <c r="N43" s="18">
        <v>2</v>
      </c>
      <c r="O43" s="19">
        <f t="shared" si="5"/>
        <v>-1</v>
      </c>
      <c r="P43" s="19">
        <v>-0.5</v>
      </c>
      <c r="Q43" s="19">
        <v>-4</v>
      </c>
      <c r="R43" s="19">
        <v>1</v>
      </c>
      <c r="S43" s="19">
        <v>0.5</v>
      </c>
      <c r="T43" s="19">
        <v>2.5</v>
      </c>
    </row>
    <row r="44" spans="1:20" x14ac:dyDescent="0.25">
      <c r="A44" s="38">
        <v>41739</v>
      </c>
      <c r="B44" s="29">
        <v>0</v>
      </c>
      <c r="C44" s="42">
        <f t="shared" si="6"/>
        <v>0</v>
      </c>
      <c r="D44" s="2">
        <f t="shared" si="1"/>
        <v>1.257374269005848</v>
      </c>
      <c r="E44" s="2">
        <f t="shared" si="2"/>
        <v>2.5798292465687851</v>
      </c>
      <c r="F44" s="2">
        <f t="shared" si="3"/>
        <v>-1.257374269005848</v>
      </c>
      <c r="G44" s="1">
        <f t="shared" si="4"/>
        <v>-0.48738662478463496</v>
      </c>
      <c r="H44" s="18">
        <v>-0.5</v>
      </c>
      <c r="J44" s="18">
        <v>0.5</v>
      </c>
      <c r="K44" s="18">
        <v>-2</v>
      </c>
      <c r="L44" s="18">
        <v>1</v>
      </c>
      <c r="M44" s="18">
        <v>1.5</v>
      </c>
      <c r="N44" s="18">
        <v>2</v>
      </c>
      <c r="O44" s="19">
        <f t="shared" si="5"/>
        <v>-1</v>
      </c>
      <c r="P44" s="19">
        <v>-0.5</v>
      </c>
      <c r="Q44" s="19">
        <v>-4</v>
      </c>
      <c r="R44" s="19">
        <v>1</v>
      </c>
      <c r="S44" s="19">
        <v>0.5</v>
      </c>
      <c r="T44" s="19">
        <v>2.5</v>
      </c>
    </row>
    <row r="45" spans="1:20" x14ac:dyDescent="0.25">
      <c r="A45" s="38">
        <v>41769</v>
      </c>
      <c r="B45" s="29">
        <v>0</v>
      </c>
      <c r="C45" s="42">
        <f t="shared" si="6"/>
        <v>0</v>
      </c>
      <c r="D45" s="2">
        <f t="shared" si="1"/>
        <v>1.257374269005848</v>
      </c>
      <c r="E45" s="2">
        <f t="shared" si="2"/>
        <v>2.5798292465687851</v>
      </c>
      <c r="F45" s="2">
        <f t="shared" si="3"/>
        <v>-1.257374269005848</v>
      </c>
      <c r="G45" s="1">
        <f t="shared" si="4"/>
        <v>-0.48738662478463496</v>
      </c>
      <c r="H45" s="18">
        <v>-0.5</v>
      </c>
      <c r="J45" s="18">
        <v>0.5</v>
      </c>
      <c r="K45" s="18">
        <v>-2</v>
      </c>
      <c r="L45" s="18">
        <v>1</v>
      </c>
      <c r="M45" s="18">
        <v>1.5</v>
      </c>
      <c r="N45" s="18">
        <v>2</v>
      </c>
      <c r="O45" s="19">
        <f t="shared" si="5"/>
        <v>-1</v>
      </c>
      <c r="P45" s="19">
        <v>-0.5</v>
      </c>
      <c r="Q45" s="19">
        <v>-4</v>
      </c>
      <c r="R45" s="19">
        <v>1</v>
      </c>
      <c r="S45" s="19">
        <v>0.5</v>
      </c>
      <c r="T45" s="19">
        <v>2.5</v>
      </c>
    </row>
    <row r="46" spans="1:20" x14ac:dyDescent="0.25">
      <c r="A46" s="39">
        <v>41800</v>
      </c>
      <c r="B46" s="29">
        <v>0.03</v>
      </c>
      <c r="C46" s="42">
        <f t="shared" si="6"/>
        <v>0.7619999999999999</v>
      </c>
      <c r="D46" s="2">
        <f t="shared" si="1"/>
        <v>1.257374269005848</v>
      </c>
      <c r="E46" s="2">
        <f t="shared" si="2"/>
        <v>2.5798292465687851</v>
      </c>
      <c r="F46" s="2">
        <f t="shared" si="3"/>
        <v>-0.49537426900584813</v>
      </c>
      <c r="G46" s="1">
        <f t="shared" si="4"/>
        <v>-0.19201823906163712</v>
      </c>
      <c r="H46" s="18">
        <v>-0.5</v>
      </c>
      <c r="J46" s="18">
        <v>0.5</v>
      </c>
      <c r="K46" s="18">
        <v>-2</v>
      </c>
      <c r="L46" s="18">
        <v>1</v>
      </c>
      <c r="M46" s="18">
        <v>1.5</v>
      </c>
      <c r="N46" s="18">
        <v>2</v>
      </c>
      <c r="O46" s="19">
        <f t="shared" si="5"/>
        <v>-1</v>
      </c>
      <c r="P46" s="19">
        <v>-0.5</v>
      </c>
      <c r="Q46" s="19">
        <v>-4</v>
      </c>
      <c r="R46" s="19">
        <v>1</v>
      </c>
      <c r="S46" s="19">
        <v>0.5</v>
      </c>
      <c r="T46" s="19">
        <v>2.5</v>
      </c>
    </row>
    <row r="47" spans="1:20" x14ac:dyDescent="0.25">
      <c r="A47" s="38">
        <v>41830</v>
      </c>
      <c r="B47" s="29">
        <v>0.02</v>
      </c>
      <c r="C47" s="42">
        <f t="shared" si="6"/>
        <v>0.50800000000000001</v>
      </c>
      <c r="D47" s="2">
        <f t="shared" si="1"/>
        <v>1.257374269005848</v>
      </c>
      <c r="E47" s="2">
        <f t="shared" si="2"/>
        <v>2.5798292465687851</v>
      </c>
      <c r="F47" s="2">
        <f t="shared" si="3"/>
        <v>-0.74937426900584803</v>
      </c>
      <c r="G47" s="1">
        <f t="shared" si="4"/>
        <v>-0.29047436763596973</v>
      </c>
      <c r="H47" s="18">
        <v>-0.5</v>
      </c>
      <c r="J47" s="18">
        <v>0.5</v>
      </c>
      <c r="K47" s="18">
        <v>-2</v>
      </c>
      <c r="L47" s="18">
        <v>1</v>
      </c>
      <c r="M47" s="18">
        <v>1.5</v>
      </c>
      <c r="N47" s="18">
        <v>2</v>
      </c>
      <c r="O47" s="19">
        <f t="shared" si="5"/>
        <v>-1</v>
      </c>
      <c r="P47" s="19">
        <v>-0.5</v>
      </c>
      <c r="Q47" s="19">
        <v>-4</v>
      </c>
      <c r="R47" s="19">
        <v>1</v>
      </c>
      <c r="S47" s="19">
        <v>0.5</v>
      </c>
      <c r="T47" s="19">
        <v>2.5</v>
      </c>
    </row>
    <row r="48" spans="1:20" x14ac:dyDescent="0.25">
      <c r="A48" s="38">
        <v>41861</v>
      </c>
      <c r="B48" s="29">
        <v>0.01</v>
      </c>
      <c r="C48" s="42">
        <f t="shared" si="6"/>
        <v>0.254</v>
      </c>
      <c r="D48" s="2">
        <f t="shared" si="1"/>
        <v>1.257374269005848</v>
      </c>
      <c r="E48" s="2">
        <f t="shared" si="2"/>
        <v>2.5798292465687851</v>
      </c>
      <c r="F48" s="2">
        <f t="shared" si="3"/>
        <v>-1.003374269005848</v>
      </c>
      <c r="G48" s="1">
        <f t="shared" si="4"/>
        <v>-0.38893049621030235</v>
      </c>
      <c r="H48" s="18">
        <v>-0.5</v>
      </c>
      <c r="J48" s="18">
        <v>0.5</v>
      </c>
      <c r="K48" s="18">
        <v>-2</v>
      </c>
      <c r="L48" s="18">
        <v>1</v>
      </c>
      <c r="M48" s="18">
        <v>1.5</v>
      </c>
      <c r="N48" s="18">
        <v>2</v>
      </c>
      <c r="O48" s="19">
        <f t="shared" si="5"/>
        <v>-1</v>
      </c>
      <c r="P48" s="19">
        <v>-0.5</v>
      </c>
      <c r="Q48" s="19">
        <v>-4</v>
      </c>
      <c r="R48" s="19">
        <v>1</v>
      </c>
      <c r="S48" s="19">
        <v>0.5</v>
      </c>
      <c r="T48" s="19">
        <v>2.5</v>
      </c>
    </row>
    <row r="49" spans="1:20" x14ac:dyDescent="0.25">
      <c r="A49" s="38">
        <v>41892</v>
      </c>
      <c r="B49" s="29">
        <v>0</v>
      </c>
      <c r="C49" s="42">
        <f t="shared" si="6"/>
        <v>0</v>
      </c>
      <c r="D49" s="2">
        <f t="shared" si="1"/>
        <v>1.257374269005848</v>
      </c>
      <c r="E49" s="2">
        <f t="shared" si="2"/>
        <v>2.5798292465687851</v>
      </c>
      <c r="F49" s="2">
        <f t="shared" si="3"/>
        <v>-1.257374269005848</v>
      </c>
      <c r="G49" s="1">
        <f t="shared" si="4"/>
        <v>-0.48738662478463496</v>
      </c>
      <c r="H49" s="18">
        <v>-0.5</v>
      </c>
      <c r="J49" s="18">
        <v>0.5</v>
      </c>
      <c r="K49" s="18">
        <v>-2</v>
      </c>
      <c r="L49" s="18">
        <v>1</v>
      </c>
      <c r="M49" s="18">
        <v>1.5</v>
      </c>
      <c r="N49" s="18">
        <v>2</v>
      </c>
      <c r="O49" s="19">
        <f t="shared" si="5"/>
        <v>-1</v>
      </c>
      <c r="P49" s="19">
        <v>-0.5</v>
      </c>
      <c r="Q49" s="19">
        <v>-4</v>
      </c>
      <c r="R49" s="19">
        <v>1</v>
      </c>
      <c r="S49" s="19">
        <v>0.5</v>
      </c>
      <c r="T49" s="19">
        <v>2.5</v>
      </c>
    </row>
    <row r="50" spans="1:20" x14ac:dyDescent="0.25">
      <c r="A50" s="38">
        <v>41922</v>
      </c>
      <c r="B50" s="29">
        <v>0</v>
      </c>
      <c r="C50" s="42">
        <f t="shared" si="6"/>
        <v>0</v>
      </c>
      <c r="D50" s="2">
        <f t="shared" si="1"/>
        <v>1.257374269005848</v>
      </c>
      <c r="E50" s="2">
        <f t="shared" si="2"/>
        <v>2.5798292465687851</v>
      </c>
      <c r="F50" s="2">
        <f t="shared" si="3"/>
        <v>-1.257374269005848</v>
      </c>
      <c r="G50" s="1">
        <f t="shared" si="4"/>
        <v>-0.48738662478463496</v>
      </c>
      <c r="H50" s="18">
        <v>-0.5</v>
      </c>
      <c r="J50" s="18">
        <v>0.5</v>
      </c>
      <c r="K50" s="18">
        <v>-2</v>
      </c>
      <c r="L50" s="18">
        <v>1</v>
      </c>
      <c r="M50" s="18">
        <v>1.5</v>
      </c>
      <c r="N50" s="18">
        <v>2</v>
      </c>
      <c r="O50" s="19">
        <f t="shared" si="5"/>
        <v>-1</v>
      </c>
      <c r="P50" s="19">
        <v>-0.5</v>
      </c>
      <c r="Q50" s="19">
        <v>-4</v>
      </c>
      <c r="R50" s="19">
        <v>1</v>
      </c>
      <c r="S50" s="19">
        <v>0.5</v>
      </c>
      <c r="T50" s="19">
        <v>2.5</v>
      </c>
    </row>
    <row r="51" spans="1:20" x14ac:dyDescent="0.25">
      <c r="A51" s="38">
        <v>41953</v>
      </c>
      <c r="B51" s="29">
        <v>0.01</v>
      </c>
      <c r="C51" s="42">
        <f t="shared" si="6"/>
        <v>0.254</v>
      </c>
      <c r="D51" s="2">
        <f t="shared" si="1"/>
        <v>1.257374269005848</v>
      </c>
      <c r="E51" s="2">
        <f t="shared" si="2"/>
        <v>2.5798292465687851</v>
      </c>
      <c r="F51" s="2">
        <f t="shared" si="3"/>
        <v>-1.003374269005848</v>
      </c>
      <c r="G51" s="1">
        <f t="shared" si="4"/>
        <v>-0.38893049621030235</v>
      </c>
      <c r="H51" s="18">
        <v>-0.5</v>
      </c>
      <c r="J51" s="18">
        <v>0.5</v>
      </c>
      <c r="K51" s="18">
        <v>-2</v>
      </c>
      <c r="L51" s="18">
        <v>1</v>
      </c>
      <c r="M51" s="18">
        <v>1.5</v>
      </c>
      <c r="N51" s="18">
        <v>2</v>
      </c>
      <c r="O51" s="19">
        <f t="shared" si="5"/>
        <v>-1</v>
      </c>
      <c r="P51" s="19">
        <v>-0.5</v>
      </c>
      <c r="Q51" s="19">
        <v>-4</v>
      </c>
      <c r="R51" s="19">
        <v>1</v>
      </c>
      <c r="S51" s="19">
        <v>0.5</v>
      </c>
      <c r="T51" s="19">
        <v>2.5</v>
      </c>
    </row>
    <row r="52" spans="1:20" x14ac:dyDescent="0.25">
      <c r="A52" s="38">
        <v>41983</v>
      </c>
      <c r="B52" s="29">
        <v>7.0000000000000007E-2</v>
      </c>
      <c r="C52" s="42">
        <f t="shared" si="6"/>
        <v>1.778</v>
      </c>
      <c r="D52" s="2">
        <f t="shared" si="1"/>
        <v>1.257374269005848</v>
      </c>
      <c r="E52" s="2">
        <f t="shared" si="2"/>
        <v>2.5798292465687851</v>
      </c>
      <c r="F52" s="2">
        <f t="shared" si="3"/>
        <v>0.52062573099415199</v>
      </c>
      <c r="G52" s="1">
        <f t="shared" si="4"/>
        <v>0.20180627523569347</v>
      </c>
      <c r="H52" s="18">
        <v>-0.5</v>
      </c>
      <c r="J52" s="18">
        <v>0.5</v>
      </c>
      <c r="K52" s="18">
        <v>-2</v>
      </c>
      <c r="L52" s="18">
        <v>1</v>
      </c>
      <c r="M52" s="18">
        <v>1.5</v>
      </c>
      <c r="N52" s="18">
        <v>2</v>
      </c>
      <c r="O52" s="19">
        <f t="shared" si="5"/>
        <v>-1</v>
      </c>
      <c r="P52" s="19">
        <v>-0.5</v>
      </c>
      <c r="Q52" s="19">
        <v>-4</v>
      </c>
      <c r="R52" s="19">
        <v>1</v>
      </c>
      <c r="S52" s="19">
        <v>0.5</v>
      </c>
      <c r="T52" s="19">
        <v>2.5</v>
      </c>
    </row>
    <row r="53" spans="1:20" x14ac:dyDescent="0.25">
      <c r="A53" s="38">
        <v>42014</v>
      </c>
      <c r="B53" s="29">
        <v>0.02</v>
      </c>
      <c r="C53" s="42">
        <f t="shared" si="6"/>
        <v>0.50800000000000001</v>
      </c>
      <c r="D53" s="2">
        <f t="shared" si="1"/>
        <v>1.257374269005848</v>
      </c>
      <c r="E53" s="2">
        <f t="shared" si="2"/>
        <v>2.5798292465687851</v>
      </c>
      <c r="F53" s="2">
        <f t="shared" si="3"/>
        <v>-0.74937426900584803</v>
      </c>
      <c r="G53" s="1">
        <f t="shared" si="4"/>
        <v>-0.29047436763596973</v>
      </c>
      <c r="H53" s="18">
        <v>-0.5</v>
      </c>
      <c r="J53" s="18">
        <v>0.5</v>
      </c>
      <c r="K53" s="18">
        <v>-2</v>
      </c>
      <c r="L53" s="18">
        <v>1</v>
      </c>
      <c r="M53" s="18">
        <v>1.5</v>
      </c>
      <c r="N53" s="18">
        <v>2</v>
      </c>
      <c r="O53" s="19">
        <f t="shared" si="5"/>
        <v>-1</v>
      </c>
      <c r="P53" s="19">
        <v>-0.5</v>
      </c>
      <c r="Q53" s="19">
        <v>-4</v>
      </c>
      <c r="R53" s="19">
        <v>1</v>
      </c>
      <c r="S53" s="19">
        <v>0.5</v>
      </c>
      <c r="T53" s="19">
        <v>2.5</v>
      </c>
    </row>
    <row r="54" spans="1:20" x14ac:dyDescent="0.25">
      <c r="A54" s="39">
        <v>42045</v>
      </c>
      <c r="B54" s="29">
        <v>0.01</v>
      </c>
      <c r="C54" s="42">
        <f t="shared" si="6"/>
        <v>0.254</v>
      </c>
      <c r="D54" s="2">
        <f t="shared" si="1"/>
        <v>1.257374269005848</v>
      </c>
      <c r="E54" s="2">
        <f t="shared" si="2"/>
        <v>2.5798292465687851</v>
      </c>
      <c r="F54" s="2">
        <f t="shared" si="3"/>
        <v>-1.003374269005848</v>
      </c>
      <c r="G54" s="1">
        <f t="shared" si="4"/>
        <v>-0.38893049621030235</v>
      </c>
      <c r="H54" s="18">
        <v>-0.5</v>
      </c>
      <c r="J54" s="18">
        <v>0.5</v>
      </c>
      <c r="K54" s="18">
        <v>-2</v>
      </c>
      <c r="L54" s="18">
        <v>1</v>
      </c>
      <c r="M54" s="18">
        <v>1.5</v>
      </c>
      <c r="N54" s="18">
        <v>2</v>
      </c>
      <c r="O54" s="19">
        <f t="shared" si="5"/>
        <v>-1</v>
      </c>
      <c r="P54" s="19">
        <v>-0.5</v>
      </c>
      <c r="Q54" s="19">
        <v>-4</v>
      </c>
      <c r="R54" s="19">
        <v>1</v>
      </c>
      <c r="S54" s="19">
        <v>0.5</v>
      </c>
      <c r="T54" s="19">
        <v>2.5</v>
      </c>
    </row>
    <row r="55" spans="1:20" x14ac:dyDescent="0.25">
      <c r="A55" s="38">
        <v>42073</v>
      </c>
      <c r="B55" s="29">
        <v>0.02</v>
      </c>
      <c r="C55" s="42">
        <f t="shared" si="6"/>
        <v>0.50800000000000001</v>
      </c>
      <c r="D55" s="2">
        <f t="shared" si="1"/>
        <v>1.257374269005848</v>
      </c>
      <c r="E55" s="2">
        <f t="shared" si="2"/>
        <v>2.5798292465687851</v>
      </c>
      <c r="F55" s="2">
        <f t="shared" si="3"/>
        <v>-0.74937426900584803</v>
      </c>
      <c r="G55" s="1">
        <f t="shared" si="4"/>
        <v>-0.29047436763596973</v>
      </c>
      <c r="H55" s="18">
        <v>-0.5</v>
      </c>
      <c r="J55" s="18">
        <v>0.5</v>
      </c>
      <c r="K55" s="18">
        <v>-2</v>
      </c>
      <c r="L55" s="18">
        <v>1</v>
      </c>
      <c r="M55" s="18">
        <v>1.5</v>
      </c>
      <c r="N55" s="18">
        <v>2</v>
      </c>
      <c r="O55" s="19">
        <f t="shared" si="5"/>
        <v>-1</v>
      </c>
      <c r="P55" s="19">
        <v>-0.5</v>
      </c>
      <c r="Q55" s="19">
        <v>-4</v>
      </c>
      <c r="R55" s="19">
        <v>1</v>
      </c>
      <c r="S55" s="19">
        <v>0.5</v>
      </c>
      <c r="T55" s="19">
        <v>2.5</v>
      </c>
    </row>
    <row r="56" spans="1:20" x14ac:dyDescent="0.25">
      <c r="A56" s="38">
        <v>42104</v>
      </c>
      <c r="B56" s="29">
        <v>0.03</v>
      </c>
      <c r="C56" s="42">
        <f t="shared" si="6"/>
        <v>0.7619999999999999</v>
      </c>
      <c r="D56" s="2">
        <f t="shared" si="1"/>
        <v>1.257374269005848</v>
      </c>
      <c r="E56" s="2">
        <f t="shared" si="2"/>
        <v>2.5798292465687851</v>
      </c>
      <c r="F56" s="2">
        <f t="shared" si="3"/>
        <v>-0.49537426900584813</v>
      </c>
      <c r="G56" s="1">
        <f t="shared" si="4"/>
        <v>-0.19201823906163712</v>
      </c>
      <c r="H56" s="18">
        <v>-0.5</v>
      </c>
      <c r="J56" s="18">
        <v>0.5</v>
      </c>
      <c r="K56" s="18">
        <v>-2</v>
      </c>
      <c r="L56" s="18">
        <v>1</v>
      </c>
      <c r="M56" s="18">
        <v>1.5</v>
      </c>
      <c r="N56" s="18">
        <v>2</v>
      </c>
      <c r="O56" s="19">
        <f t="shared" si="5"/>
        <v>-1</v>
      </c>
      <c r="P56" s="19">
        <v>-0.5</v>
      </c>
      <c r="Q56" s="19">
        <v>-4</v>
      </c>
      <c r="R56" s="19">
        <v>1</v>
      </c>
      <c r="S56" s="19">
        <v>0.5</v>
      </c>
      <c r="T56" s="19">
        <v>2.5</v>
      </c>
    </row>
    <row r="57" spans="1:20" x14ac:dyDescent="0.25">
      <c r="A57" s="38">
        <v>42134</v>
      </c>
      <c r="B57" s="29">
        <v>0.01</v>
      </c>
      <c r="C57" s="42">
        <f t="shared" si="6"/>
        <v>0.254</v>
      </c>
      <c r="D57" s="2">
        <f t="shared" si="1"/>
        <v>1.257374269005848</v>
      </c>
      <c r="E57" s="2">
        <f t="shared" si="2"/>
        <v>2.5798292465687851</v>
      </c>
      <c r="F57" s="2">
        <f t="shared" si="3"/>
        <v>-1.003374269005848</v>
      </c>
      <c r="G57" s="1">
        <f t="shared" si="4"/>
        <v>-0.38893049621030235</v>
      </c>
      <c r="H57" s="18">
        <v>-0.5</v>
      </c>
      <c r="J57" s="18">
        <v>0.5</v>
      </c>
      <c r="K57" s="18">
        <v>-2</v>
      </c>
      <c r="L57" s="18">
        <v>1</v>
      </c>
      <c r="M57" s="18">
        <v>1.5</v>
      </c>
      <c r="N57" s="18">
        <v>2</v>
      </c>
      <c r="O57" s="19">
        <f t="shared" si="5"/>
        <v>-1</v>
      </c>
      <c r="P57" s="19">
        <v>-0.5</v>
      </c>
      <c r="Q57" s="19">
        <v>-4</v>
      </c>
      <c r="R57" s="19">
        <v>1</v>
      </c>
      <c r="S57" s="19">
        <v>0.5</v>
      </c>
      <c r="T57" s="19">
        <v>2.5</v>
      </c>
    </row>
    <row r="58" spans="1:20" x14ac:dyDescent="0.25">
      <c r="A58" s="38">
        <v>42165</v>
      </c>
      <c r="B58" s="29">
        <v>0.01</v>
      </c>
      <c r="C58" s="42">
        <f t="shared" si="6"/>
        <v>0.254</v>
      </c>
      <c r="D58" s="2">
        <f t="shared" si="1"/>
        <v>1.257374269005848</v>
      </c>
      <c r="E58" s="2">
        <f t="shared" si="2"/>
        <v>2.5798292465687851</v>
      </c>
      <c r="F58" s="2">
        <f t="shared" si="3"/>
        <v>-1.003374269005848</v>
      </c>
      <c r="G58" s="1">
        <f t="shared" si="4"/>
        <v>-0.38893049621030235</v>
      </c>
      <c r="H58" s="18">
        <v>-0.5</v>
      </c>
      <c r="J58" s="18">
        <v>0.5</v>
      </c>
      <c r="K58" s="18">
        <v>-2</v>
      </c>
      <c r="L58" s="18">
        <v>1</v>
      </c>
      <c r="M58" s="18">
        <v>1.5</v>
      </c>
      <c r="N58" s="18">
        <v>2</v>
      </c>
      <c r="O58" s="19">
        <f t="shared" si="5"/>
        <v>-1</v>
      </c>
      <c r="P58" s="19">
        <v>-0.5</v>
      </c>
      <c r="Q58" s="19">
        <v>-4</v>
      </c>
      <c r="R58" s="19">
        <v>1</v>
      </c>
      <c r="S58" s="19">
        <v>0.5</v>
      </c>
      <c r="T58" s="19">
        <v>2.5</v>
      </c>
    </row>
    <row r="59" spans="1:20" x14ac:dyDescent="0.25">
      <c r="A59" s="38">
        <v>42195</v>
      </c>
      <c r="B59" s="29">
        <v>0.01</v>
      </c>
      <c r="C59" s="42">
        <f t="shared" si="6"/>
        <v>0.254</v>
      </c>
      <c r="D59" s="2">
        <f t="shared" si="1"/>
        <v>1.257374269005848</v>
      </c>
      <c r="E59" s="2">
        <f t="shared" si="2"/>
        <v>2.5798292465687851</v>
      </c>
      <c r="F59" s="2">
        <f t="shared" si="3"/>
        <v>-1.003374269005848</v>
      </c>
      <c r="G59" s="1">
        <f t="shared" si="4"/>
        <v>-0.38893049621030235</v>
      </c>
      <c r="H59" s="18">
        <v>-0.5</v>
      </c>
      <c r="J59" s="18">
        <v>0.5</v>
      </c>
      <c r="K59" s="18">
        <v>-2</v>
      </c>
      <c r="L59" s="18">
        <v>1</v>
      </c>
      <c r="M59" s="18">
        <v>1.5</v>
      </c>
      <c r="N59" s="18">
        <v>2</v>
      </c>
      <c r="O59" s="19">
        <f t="shared" si="5"/>
        <v>-1</v>
      </c>
      <c r="P59" s="19">
        <v>-0.5</v>
      </c>
      <c r="Q59" s="19">
        <v>-4</v>
      </c>
      <c r="R59" s="19">
        <v>1</v>
      </c>
      <c r="S59" s="19">
        <v>0.5</v>
      </c>
      <c r="T59" s="19">
        <v>2.5</v>
      </c>
    </row>
    <row r="60" spans="1:20" x14ac:dyDescent="0.25">
      <c r="A60" s="38">
        <v>42226</v>
      </c>
      <c r="B60" s="29">
        <v>0</v>
      </c>
      <c r="C60" s="42">
        <f t="shared" si="6"/>
        <v>0</v>
      </c>
      <c r="D60" s="2">
        <f t="shared" si="1"/>
        <v>1.257374269005848</v>
      </c>
      <c r="E60" s="2">
        <f t="shared" si="2"/>
        <v>2.5798292465687851</v>
      </c>
      <c r="F60" s="2">
        <f t="shared" si="3"/>
        <v>-1.257374269005848</v>
      </c>
      <c r="G60" s="1">
        <f t="shared" si="4"/>
        <v>-0.48738662478463496</v>
      </c>
      <c r="H60" s="18">
        <v>-0.5</v>
      </c>
      <c r="J60" s="18">
        <v>0.5</v>
      </c>
      <c r="K60" s="18">
        <v>-2</v>
      </c>
      <c r="L60" s="18">
        <v>1</v>
      </c>
      <c r="M60" s="18">
        <v>1.5</v>
      </c>
      <c r="N60" s="18">
        <v>2</v>
      </c>
      <c r="O60" s="19">
        <f t="shared" si="5"/>
        <v>-1</v>
      </c>
      <c r="P60" s="19">
        <v>-0.5</v>
      </c>
      <c r="Q60" s="19">
        <v>-4</v>
      </c>
      <c r="R60" s="19">
        <v>1</v>
      </c>
      <c r="S60" s="19">
        <v>0.5</v>
      </c>
      <c r="T60" s="19">
        <v>2.5</v>
      </c>
    </row>
    <row r="61" spans="1:20" x14ac:dyDescent="0.25">
      <c r="A61" s="38">
        <v>42257</v>
      </c>
      <c r="B61" s="29">
        <v>0.02</v>
      </c>
      <c r="C61" s="42">
        <f t="shared" si="6"/>
        <v>0.50800000000000001</v>
      </c>
      <c r="D61" s="2">
        <f t="shared" si="1"/>
        <v>1.257374269005848</v>
      </c>
      <c r="E61" s="2">
        <f t="shared" si="2"/>
        <v>2.5798292465687851</v>
      </c>
      <c r="F61" s="2">
        <f t="shared" si="3"/>
        <v>-0.74937426900584803</v>
      </c>
      <c r="G61" s="1">
        <f t="shared" si="4"/>
        <v>-0.29047436763596973</v>
      </c>
      <c r="H61" s="18">
        <v>-0.5</v>
      </c>
      <c r="J61" s="18">
        <v>0.5</v>
      </c>
      <c r="K61" s="18">
        <v>-2</v>
      </c>
      <c r="L61" s="18">
        <v>1</v>
      </c>
      <c r="M61" s="18">
        <v>1.5</v>
      </c>
      <c r="N61" s="18">
        <v>2</v>
      </c>
      <c r="O61" s="19">
        <f t="shared" si="5"/>
        <v>-1</v>
      </c>
      <c r="P61" s="19">
        <v>-0.5</v>
      </c>
      <c r="Q61" s="19">
        <v>-4</v>
      </c>
      <c r="R61" s="19">
        <v>1</v>
      </c>
      <c r="S61" s="19">
        <v>0.5</v>
      </c>
      <c r="T61" s="19">
        <v>2.5</v>
      </c>
    </row>
    <row r="62" spans="1:20" x14ac:dyDescent="0.25">
      <c r="A62" s="39">
        <v>42287</v>
      </c>
      <c r="B62" s="29">
        <v>0</v>
      </c>
      <c r="C62" s="42">
        <f t="shared" si="6"/>
        <v>0</v>
      </c>
      <c r="D62" s="2">
        <f t="shared" si="1"/>
        <v>1.257374269005848</v>
      </c>
      <c r="E62" s="2">
        <f t="shared" si="2"/>
        <v>2.5798292465687851</v>
      </c>
      <c r="F62" s="2">
        <f t="shared" si="3"/>
        <v>-1.257374269005848</v>
      </c>
      <c r="G62" s="1">
        <f t="shared" si="4"/>
        <v>-0.48738662478463496</v>
      </c>
      <c r="H62" s="18">
        <v>-0.5</v>
      </c>
      <c r="J62" s="18">
        <v>0.5</v>
      </c>
      <c r="K62" s="18">
        <v>-2</v>
      </c>
      <c r="L62" s="18">
        <v>1</v>
      </c>
      <c r="M62" s="18">
        <v>1.5</v>
      </c>
      <c r="N62" s="18">
        <v>2</v>
      </c>
      <c r="O62" s="19">
        <f t="shared" si="5"/>
        <v>-1</v>
      </c>
      <c r="P62" s="19">
        <v>-0.5</v>
      </c>
      <c r="Q62" s="19">
        <v>-4</v>
      </c>
      <c r="R62" s="19">
        <v>1</v>
      </c>
      <c r="S62" s="19">
        <v>0.5</v>
      </c>
      <c r="T62" s="19">
        <v>2.5</v>
      </c>
    </row>
    <row r="63" spans="1:20" x14ac:dyDescent="0.25">
      <c r="A63" s="38">
        <v>42318</v>
      </c>
      <c r="B63" s="29">
        <v>0.01</v>
      </c>
      <c r="C63" s="42">
        <f t="shared" si="6"/>
        <v>0.254</v>
      </c>
      <c r="D63" s="2">
        <f t="shared" si="1"/>
        <v>1.257374269005848</v>
      </c>
      <c r="E63" s="2">
        <f t="shared" si="2"/>
        <v>2.5798292465687851</v>
      </c>
      <c r="F63" s="2">
        <f t="shared" si="3"/>
        <v>-1.003374269005848</v>
      </c>
      <c r="G63" s="1">
        <f t="shared" si="4"/>
        <v>-0.38893049621030235</v>
      </c>
      <c r="H63" s="18">
        <v>-0.5</v>
      </c>
      <c r="J63" s="18">
        <v>0.5</v>
      </c>
      <c r="K63" s="18">
        <v>-2</v>
      </c>
      <c r="L63" s="18">
        <v>1</v>
      </c>
      <c r="M63" s="18">
        <v>1.5</v>
      </c>
      <c r="N63" s="18">
        <v>2</v>
      </c>
      <c r="O63" s="19">
        <f t="shared" si="5"/>
        <v>-1</v>
      </c>
      <c r="P63" s="19">
        <v>-0.5</v>
      </c>
      <c r="Q63" s="19">
        <v>-4</v>
      </c>
      <c r="R63" s="19">
        <v>1</v>
      </c>
      <c r="S63" s="19">
        <v>0.5</v>
      </c>
      <c r="T63" s="19">
        <v>2.5</v>
      </c>
    </row>
    <row r="64" spans="1:20" x14ac:dyDescent="0.25">
      <c r="A64" s="38">
        <v>42348</v>
      </c>
      <c r="B64" s="29">
        <v>0.01</v>
      </c>
      <c r="C64" s="42">
        <f t="shared" si="6"/>
        <v>0.254</v>
      </c>
      <c r="D64" s="2">
        <f t="shared" si="1"/>
        <v>1.257374269005848</v>
      </c>
      <c r="E64" s="2">
        <f t="shared" si="2"/>
        <v>2.5798292465687851</v>
      </c>
      <c r="F64" s="2">
        <f t="shared" si="3"/>
        <v>-1.003374269005848</v>
      </c>
      <c r="G64" s="1">
        <f t="shared" si="4"/>
        <v>-0.38893049621030235</v>
      </c>
      <c r="H64" s="18">
        <v>-0.5</v>
      </c>
      <c r="J64" s="18">
        <v>0.5</v>
      </c>
      <c r="K64" s="18">
        <v>-2</v>
      </c>
      <c r="L64" s="18">
        <v>1</v>
      </c>
      <c r="M64" s="18">
        <v>1.5</v>
      </c>
      <c r="N64" s="18">
        <v>2</v>
      </c>
      <c r="O64" s="19">
        <f t="shared" si="5"/>
        <v>-1</v>
      </c>
      <c r="P64" s="19">
        <v>-0.5</v>
      </c>
      <c r="Q64" s="19">
        <v>-4</v>
      </c>
      <c r="R64" s="19">
        <v>1</v>
      </c>
      <c r="S64" s="19">
        <v>0.5</v>
      </c>
      <c r="T64" s="19">
        <v>2.5</v>
      </c>
    </row>
    <row r="65" spans="1:20" x14ac:dyDescent="0.25">
      <c r="A65" s="38">
        <v>42379</v>
      </c>
      <c r="B65" s="29">
        <v>0.01</v>
      </c>
      <c r="C65" s="42">
        <f t="shared" si="6"/>
        <v>0.254</v>
      </c>
      <c r="D65" s="2">
        <f t="shared" si="1"/>
        <v>1.257374269005848</v>
      </c>
      <c r="E65" s="2">
        <f t="shared" si="2"/>
        <v>2.5798292465687851</v>
      </c>
      <c r="F65" s="2">
        <f t="shared" si="3"/>
        <v>-1.003374269005848</v>
      </c>
      <c r="G65" s="1">
        <f t="shared" si="4"/>
        <v>-0.38893049621030235</v>
      </c>
      <c r="H65" s="18">
        <v>-0.5</v>
      </c>
      <c r="J65" s="18">
        <v>0.5</v>
      </c>
      <c r="K65" s="18">
        <v>-2</v>
      </c>
      <c r="L65" s="18">
        <v>1</v>
      </c>
      <c r="M65" s="18">
        <v>1.5</v>
      </c>
      <c r="N65" s="18">
        <v>2</v>
      </c>
      <c r="O65" s="19">
        <f t="shared" si="5"/>
        <v>-1</v>
      </c>
      <c r="P65" s="19">
        <v>-0.5</v>
      </c>
      <c r="Q65" s="19">
        <v>-4</v>
      </c>
      <c r="R65" s="19">
        <v>1</v>
      </c>
      <c r="S65" s="19">
        <v>0.5</v>
      </c>
      <c r="T65" s="19">
        <v>2.5</v>
      </c>
    </row>
    <row r="66" spans="1:20" x14ac:dyDescent="0.25">
      <c r="A66" s="38">
        <v>42410</v>
      </c>
      <c r="B66" s="29">
        <v>0.01</v>
      </c>
      <c r="C66" s="42">
        <f t="shared" si="6"/>
        <v>0.254</v>
      </c>
      <c r="D66" s="2">
        <f t="shared" si="1"/>
        <v>1.257374269005848</v>
      </c>
      <c r="E66" s="2">
        <f t="shared" si="2"/>
        <v>2.5798292465687851</v>
      </c>
      <c r="F66" s="2">
        <f t="shared" si="3"/>
        <v>-1.003374269005848</v>
      </c>
      <c r="G66" s="1">
        <f t="shared" si="4"/>
        <v>-0.38893049621030235</v>
      </c>
      <c r="H66" s="18">
        <v>-0.5</v>
      </c>
      <c r="J66" s="18">
        <v>0.5</v>
      </c>
      <c r="K66" s="18">
        <v>-2</v>
      </c>
      <c r="L66" s="18">
        <v>1</v>
      </c>
      <c r="M66" s="18">
        <v>1.5</v>
      </c>
      <c r="N66" s="18">
        <v>2</v>
      </c>
      <c r="O66" s="19">
        <f t="shared" si="5"/>
        <v>-1</v>
      </c>
      <c r="P66" s="19">
        <v>-0.5</v>
      </c>
      <c r="Q66" s="19">
        <v>-4</v>
      </c>
      <c r="R66" s="19">
        <v>1</v>
      </c>
      <c r="S66" s="19">
        <v>0.5</v>
      </c>
      <c r="T66" s="19">
        <v>2.5</v>
      </c>
    </row>
    <row r="67" spans="1:20" x14ac:dyDescent="0.25">
      <c r="A67" s="38">
        <v>42439</v>
      </c>
      <c r="B67" s="29">
        <v>0.03</v>
      </c>
      <c r="C67" s="42">
        <f t="shared" si="6"/>
        <v>0.7619999999999999</v>
      </c>
      <c r="D67" s="2">
        <f t="shared" si="1"/>
        <v>1.257374269005848</v>
      </c>
      <c r="E67" s="2">
        <f t="shared" si="2"/>
        <v>2.5798292465687851</v>
      </c>
      <c r="F67" s="2">
        <f t="shared" si="3"/>
        <v>-0.49537426900584813</v>
      </c>
      <c r="G67" s="1">
        <f t="shared" si="4"/>
        <v>-0.19201823906163712</v>
      </c>
      <c r="H67" s="18">
        <v>-0.5</v>
      </c>
      <c r="J67" s="18">
        <v>0.5</v>
      </c>
      <c r="K67" s="18">
        <v>-2</v>
      </c>
      <c r="L67" s="18">
        <v>1</v>
      </c>
      <c r="M67" s="18">
        <v>1.5</v>
      </c>
      <c r="N67" s="18">
        <v>2</v>
      </c>
      <c r="O67" s="19">
        <f t="shared" si="5"/>
        <v>-1</v>
      </c>
      <c r="P67" s="19">
        <v>-0.5</v>
      </c>
      <c r="Q67" s="19">
        <v>-4</v>
      </c>
      <c r="R67" s="19">
        <v>1</v>
      </c>
      <c r="S67" s="19">
        <v>0.5</v>
      </c>
      <c r="T67" s="19">
        <v>2.5</v>
      </c>
    </row>
    <row r="68" spans="1:20" x14ac:dyDescent="0.25">
      <c r="A68" s="38">
        <v>42470</v>
      </c>
      <c r="B68" s="29">
        <v>0</v>
      </c>
      <c r="C68" s="42">
        <f t="shared" si="6"/>
        <v>0</v>
      </c>
      <c r="D68" s="2">
        <f t="shared" si="1"/>
        <v>1.257374269005848</v>
      </c>
      <c r="E68" s="2">
        <f t="shared" si="2"/>
        <v>2.5798292465687851</v>
      </c>
      <c r="F68" s="2">
        <f t="shared" si="3"/>
        <v>-1.257374269005848</v>
      </c>
      <c r="G68" s="1">
        <f t="shared" si="4"/>
        <v>-0.48738662478463496</v>
      </c>
      <c r="H68" s="18">
        <v>-0.5</v>
      </c>
      <c r="J68" s="18">
        <v>0.5</v>
      </c>
      <c r="K68" s="18">
        <v>-2</v>
      </c>
      <c r="L68" s="18">
        <v>1</v>
      </c>
      <c r="M68" s="18">
        <v>1.5</v>
      </c>
      <c r="N68" s="18">
        <v>2</v>
      </c>
      <c r="O68" s="19">
        <f t="shared" si="5"/>
        <v>-1</v>
      </c>
      <c r="P68" s="19">
        <v>-0.5</v>
      </c>
      <c r="Q68" s="19">
        <v>-4</v>
      </c>
      <c r="R68" s="19">
        <v>1</v>
      </c>
      <c r="S68" s="19">
        <v>0.5</v>
      </c>
      <c r="T68" s="19">
        <v>2.5</v>
      </c>
    </row>
    <row r="69" spans="1:20" x14ac:dyDescent="0.25">
      <c r="A69" s="38">
        <v>42500</v>
      </c>
      <c r="B69" s="29">
        <v>0.01</v>
      </c>
      <c r="C69" s="42">
        <f t="shared" ref="C69:C100" si="7">B69*$D$1</f>
        <v>0.254</v>
      </c>
      <c r="D69" s="2">
        <f t="shared" si="1"/>
        <v>1.257374269005848</v>
      </c>
      <c r="E69" s="2">
        <f t="shared" si="2"/>
        <v>2.5798292465687851</v>
      </c>
      <c r="F69" s="2">
        <f t="shared" si="3"/>
        <v>-1.003374269005848</v>
      </c>
      <c r="G69" s="1">
        <f t="shared" si="4"/>
        <v>-0.38893049621030235</v>
      </c>
      <c r="H69" s="18">
        <v>-0.5</v>
      </c>
      <c r="J69" s="18">
        <v>0.5</v>
      </c>
      <c r="K69" s="18">
        <v>-2</v>
      </c>
      <c r="L69" s="18">
        <v>1</v>
      </c>
      <c r="M69" s="18">
        <v>1.5</v>
      </c>
      <c r="N69" s="18">
        <v>2</v>
      </c>
      <c r="O69" s="19">
        <f t="shared" si="5"/>
        <v>-1</v>
      </c>
      <c r="P69" s="19">
        <v>-0.5</v>
      </c>
      <c r="Q69" s="19">
        <v>-4</v>
      </c>
      <c r="R69" s="19">
        <v>1</v>
      </c>
      <c r="S69" s="19">
        <v>0.5</v>
      </c>
      <c r="T69" s="19">
        <v>2.5</v>
      </c>
    </row>
    <row r="70" spans="1:20" x14ac:dyDescent="0.25">
      <c r="A70" s="39">
        <v>42531</v>
      </c>
      <c r="B70" s="29">
        <v>0</v>
      </c>
      <c r="C70" s="42">
        <f t="shared" si="7"/>
        <v>0</v>
      </c>
      <c r="D70" s="2">
        <f t="shared" ref="D70:D133" si="8">AVERAGE($C$5:$C$175)</f>
        <v>1.257374269005848</v>
      </c>
      <c r="E70" s="2">
        <f t="shared" ref="E70:E133" si="9">_xlfn.STDEV.S($C$5:$C$175)</f>
        <v>2.5798292465687851</v>
      </c>
      <c r="F70" s="2">
        <f t="shared" ref="F70:F133" si="10">C70-D70</f>
        <v>-1.257374269005848</v>
      </c>
      <c r="G70" s="1">
        <f t="shared" ref="G70:G133" si="11">F70/E70</f>
        <v>-0.48738662478463496</v>
      </c>
      <c r="H70" s="18">
        <v>-0.5</v>
      </c>
      <c r="J70" s="18">
        <v>0.5</v>
      </c>
      <c r="K70" s="18">
        <v>-2</v>
      </c>
      <c r="L70" s="18">
        <v>1</v>
      </c>
      <c r="M70" s="18">
        <v>1.5</v>
      </c>
      <c r="N70" s="18">
        <v>2</v>
      </c>
      <c r="O70" s="19">
        <f t="shared" ref="O70:O133" si="12">-1</f>
        <v>-1</v>
      </c>
      <c r="P70" s="19">
        <v>-0.5</v>
      </c>
      <c r="Q70" s="19">
        <v>-4</v>
      </c>
      <c r="R70" s="19">
        <v>1</v>
      </c>
      <c r="S70" s="19">
        <v>0.5</v>
      </c>
      <c r="T70" s="19">
        <v>2.5</v>
      </c>
    </row>
    <row r="71" spans="1:20" x14ac:dyDescent="0.25">
      <c r="A71" s="38">
        <v>42561</v>
      </c>
      <c r="B71" s="29">
        <v>0.01</v>
      </c>
      <c r="C71" s="42">
        <f t="shared" si="7"/>
        <v>0.254</v>
      </c>
      <c r="D71" s="2">
        <f t="shared" si="8"/>
        <v>1.257374269005848</v>
      </c>
      <c r="E71" s="2">
        <f t="shared" si="9"/>
        <v>2.5798292465687851</v>
      </c>
      <c r="F71" s="2">
        <f t="shared" si="10"/>
        <v>-1.003374269005848</v>
      </c>
      <c r="G71" s="1">
        <f t="shared" si="11"/>
        <v>-0.38893049621030235</v>
      </c>
      <c r="H71" s="18">
        <v>-0.5</v>
      </c>
      <c r="J71" s="18">
        <v>0.5</v>
      </c>
      <c r="K71" s="18">
        <v>-2</v>
      </c>
      <c r="L71" s="18">
        <v>1</v>
      </c>
      <c r="M71" s="18">
        <v>1.5</v>
      </c>
      <c r="N71" s="18">
        <v>2</v>
      </c>
      <c r="O71" s="19">
        <f t="shared" si="12"/>
        <v>-1</v>
      </c>
      <c r="P71" s="19">
        <v>-0.5</v>
      </c>
      <c r="Q71" s="19">
        <v>-4</v>
      </c>
      <c r="R71" s="19">
        <v>1</v>
      </c>
      <c r="S71" s="19">
        <v>0.5</v>
      </c>
      <c r="T71" s="19">
        <v>2.5</v>
      </c>
    </row>
    <row r="72" spans="1:20" x14ac:dyDescent="0.25">
      <c r="A72" s="38">
        <v>42592</v>
      </c>
      <c r="B72" s="29">
        <v>0</v>
      </c>
      <c r="C72" s="42">
        <f t="shared" si="7"/>
        <v>0</v>
      </c>
      <c r="D72" s="2">
        <f t="shared" si="8"/>
        <v>1.257374269005848</v>
      </c>
      <c r="E72" s="2">
        <f t="shared" si="9"/>
        <v>2.5798292465687851</v>
      </c>
      <c r="F72" s="2">
        <f t="shared" si="10"/>
        <v>-1.257374269005848</v>
      </c>
      <c r="G72" s="1">
        <f t="shared" si="11"/>
        <v>-0.48738662478463496</v>
      </c>
      <c r="H72" s="18">
        <v>-0.5</v>
      </c>
      <c r="J72" s="18">
        <v>0.5</v>
      </c>
      <c r="K72" s="18">
        <v>-2</v>
      </c>
      <c r="L72" s="18">
        <v>1</v>
      </c>
      <c r="M72" s="18">
        <v>1.5</v>
      </c>
      <c r="N72" s="18">
        <v>2</v>
      </c>
      <c r="O72" s="19">
        <f t="shared" si="12"/>
        <v>-1</v>
      </c>
      <c r="P72" s="19">
        <v>-0.5</v>
      </c>
      <c r="Q72" s="19">
        <v>-4</v>
      </c>
      <c r="R72" s="19">
        <v>1</v>
      </c>
      <c r="S72" s="19">
        <v>0.5</v>
      </c>
      <c r="T72" s="19">
        <v>2.5</v>
      </c>
    </row>
    <row r="73" spans="1:20" x14ac:dyDescent="0.25">
      <c r="A73" s="38">
        <v>42623</v>
      </c>
      <c r="B73" s="29">
        <v>0</v>
      </c>
      <c r="C73" s="42">
        <f t="shared" si="7"/>
        <v>0</v>
      </c>
      <c r="D73" s="2">
        <f t="shared" si="8"/>
        <v>1.257374269005848</v>
      </c>
      <c r="E73" s="2">
        <f t="shared" si="9"/>
        <v>2.5798292465687851</v>
      </c>
      <c r="F73" s="2">
        <f t="shared" si="10"/>
        <v>-1.257374269005848</v>
      </c>
      <c r="G73" s="1">
        <f t="shared" si="11"/>
        <v>-0.48738662478463496</v>
      </c>
      <c r="H73" s="18">
        <v>-0.5</v>
      </c>
      <c r="J73" s="18">
        <v>0.5</v>
      </c>
      <c r="K73" s="18">
        <v>-2</v>
      </c>
      <c r="L73" s="18">
        <v>1</v>
      </c>
      <c r="M73" s="18">
        <v>1.5</v>
      </c>
      <c r="N73" s="18">
        <v>2</v>
      </c>
      <c r="O73" s="19">
        <f t="shared" si="12"/>
        <v>-1</v>
      </c>
      <c r="P73" s="19">
        <v>-0.5</v>
      </c>
      <c r="Q73" s="19">
        <v>-4</v>
      </c>
      <c r="R73" s="19">
        <v>1</v>
      </c>
      <c r="S73" s="19">
        <v>0.5</v>
      </c>
      <c r="T73" s="19">
        <v>2.5</v>
      </c>
    </row>
    <row r="74" spans="1:20" x14ac:dyDescent="0.25">
      <c r="A74" s="38">
        <v>42653</v>
      </c>
      <c r="B74" s="29">
        <v>0</v>
      </c>
      <c r="C74" s="42">
        <f t="shared" si="7"/>
        <v>0</v>
      </c>
      <c r="D74" s="2">
        <f t="shared" si="8"/>
        <v>1.257374269005848</v>
      </c>
      <c r="E74" s="2">
        <f t="shared" si="9"/>
        <v>2.5798292465687851</v>
      </c>
      <c r="F74" s="2">
        <f t="shared" si="10"/>
        <v>-1.257374269005848</v>
      </c>
      <c r="G74" s="1">
        <f t="shared" si="11"/>
        <v>-0.48738662478463496</v>
      </c>
      <c r="H74" s="18">
        <v>-0.5</v>
      </c>
      <c r="J74" s="18">
        <v>0.5</v>
      </c>
      <c r="K74" s="18">
        <v>-2</v>
      </c>
      <c r="L74" s="18">
        <v>1</v>
      </c>
      <c r="M74" s="18">
        <v>1.5</v>
      </c>
      <c r="N74" s="18">
        <v>2</v>
      </c>
      <c r="O74" s="19">
        <f t="shared" si="12"/>
        <v>-1</v>
      </c>
      <c r="P74" s="19">
        <v>-0.5</v>
      </c>
      <c r="Q74" s="19">
        <v>-4</v>
      </c>
      <c r="R74" s="19">
        <v>1</v>
      </c>
      <c r="S74" s="19">
        <v>0.5</v>
      </c>
      <c r="T74" s="19">
        <v>2.5</v>
      </c>
    </row>
    <row r="75" spans="1:20" x14ac:dyDescent="0.25">
      <c r="A75" s="38">
        <v>42684</v>
      </c>
      <c r="B75" s="29">
        <v>0.01</v>
      </c>
      <c r="C75" s="42">
        <f t="shared" si="7"/>
        <v>0.254</v>
      </c>
      <c r="D75" s="2">
        <f t="shared" si="8"/>
        <v>1.257374269005848</v>
      </c>
      <c r="E75" s="2">
        <f t="shared" si="9"/>
        <v>2.5798292465687851</v>
      </c>
      <c r="F75" s="2">
        <f t="shared" si="10"/>
        <v>-1.003374269005848</v>
      </c>
      <c r="G75" s="1">
        <f t="shared" si="11"/>
        <v>-0.38893049621030235</v>
      </c>
      <c r="H75" s="18">
        <v>-0.5</v>
      </c>
      <c r="J75" s="18">
        <v>0.5</v>
      </c>
      <c r="K75" s="18">
        <v>-2</v>
      </c>
      <c r="L75" s="18">
        <v>1</v>
      </c>
      <c r="M75" s="18">
        <v>1.5</v>
      </c>
      <c r="N75" s="18">
        <v>2</v>
      </c>
      <c r="O75" s="19">
        <f t="shared" si="12"/>
        <v>-1</v>
      </c>
      <c r="P75" s="19">
        <v>-0.5</v>
      </c>
      <c r="Q75" s="19">
        <v>-4</v>
      </c>
      <c r="R75" s="19">
        <v>1</v>
      </c>
      <c r="S75" s="19">
        <v>0.5</v>
      </c>
      <c r="T75" s="19">
        <v>2.5</v>
      </c>
    </row>
    <row r="76" spans="1:20" x14ac:dyDescent="0.25">
      <c r="A76" s="38">
        <v>42714</v>
      </c>
      <c r="B76" s="29">
        <v>0.04</v>
      </c>
      <c r="C76" s="42">
        <f t="shared" si="7"/>
        <v>1.016</v>
      </c>
      <c r="D76" s="2">
        <f t="shared" si="8"/>
        <v>1.257374269005848</v>
      </c>
      <c r="E76" s="2">
        <f t="shared" si="9"/>
        <v>2.5798292465687851</v>
      </c>
      <c r="F76" s="2">
        <f t="shared" si="10"/>
        <v>-0.24137426900584802</v>
      </c>
      <c r="G76" s="1">
        <f t="shared" si="11"/>
        <v>-9.3562110487304437E-2</v>
      </c>
      <c r="H76" s="18">
        <v>-0.5</v>
      </c>
      <c r="J76" s="18">
        <v>0.5</v>
      </c>
      <c r="K76" s="18">
        <v>-2</v>
      </c>
      <c r="L76" s="18">
        <v>1</v>
      </c>
      <c r="M76" s="18">
        <v>1.5</v>
      </c>
      <c r="N76" s="18">
        <v>2</v>
      </c>
      <c r="O76" s="19">
        <f t="shared" si="12"/>
        <v>-1</v>
      </c>
      <c r="P76" s="19">
        <v>-0.5</v>
      </c>
      <c r="Q76" s="19">
        <v>-4</v>
      </c>
      <c r="R76" s="19">
        <v>1</v>
      </c>
      <c r="S76" s="19">
        <v>0.5</v>
      </c>
      <c r="T76" s="19">
        <v>2.5</v>
      </c>
    </row>
    <row r="77" spans="1:20" x14ac:dyDescent="0.25">
      <c r="A77" s="38">
        <v>42745</v>
      </c>
      <c r="B77" s="29">
        <v>0.06</v>
      </c>
      <c r="C77" s="42">
        <f t="shared" si="7"/>
        <v>1.5239999999999998</v>
      </c>
      <c r="D77" s="2">
        <f t="shared" si="8"/>
        <v>1.257374269005848</v>
      </c>
      <c r="E77" s="2">
        <f t="shared" si="9"/>
        <v>2.5798292465687851</v>
      </c>
      <c r="F77" s="2">
        <f t="shared" si="10"/>
        <v>0.26662573099415177</v>
      </c>
      <c r="G77" s="1">
        <f t="shared" si="11"/>
        <v>0.10335014666136076</v>
      </c>
      <c r="H77" s="18">
        <v>-0.5</v>
      </c>
      <c r="J77" s="18">
        <v>0.5</v>
      </c>
      <c r="K77" s="18">
        <v>-2</v>
      </c>
      <c r="L77" s="18">
        <v>1</v>
      </c>
      <c r="M77" s="18">
        <v>1.5</v>
      </c>
      <c r="N77" s="18">
        <v>2</v>
      </c>
      <c r="O77" s="19">
        <f t="shared" si="12"/>
        <v>-1</v>
      </c>
      <c r="P77" s="19">
        <v>-0.5</v>
      </c>
      <c r="Q77" s="19">
        <v>-4</v>
      </c>
      <c r="R77" s="19">
        <v>1</v>
      </c>
      <c r="S77" s="19">
        <v>0.5</v>
      </c>
      <c r="T77" s="19">
        <v>2.5</v>
      </c>
    </row>
    <row r="78" spans="1:20" x14ac:dyDescent="0.25">
      <c r="A78" s="39">
        <v>42776</v>
      </c>
      <c r="B78" s="29">
        <v>0.12</v>
      </c>
      <c r="C78" s="42">
        <f t="shared" si="7"/>
        <v>3.0479999999999996</v>
      </c>
      <c r="D78" s="2">
        <f t="shared" si="8"/>
        <v>1.257374269005848</v>
      </c>
      <c r="E78" s="2">
        <f t="shared" si="9"/>
        <v>2.5798292465687851</v>
      </c>
      <c r="F78" s="2">
        <f t="shared" si="10"/>
        <v>1.7906257309941516</v>
      </c>
      <c r="G78" s="1">
        <f t="shared" si="11"/>
        <v>0.69408691810735645</v>
      </c>
      <c r="H78" s="18">
        <v>-0.5</v>
      </c>
      <c r="J78" s="18">
        <v>0.5</v>
      </c>
      <c r="K78" s="18">
        <v>-2</v>
      </c>
      <c r="L78" s="18">
        <v>1</v>
      </c>
      <c r="M78" s="18">
        <v>1.5</v>
      </c>
      <c r="N78" s="18">
        <v>2</v>
      </c>
      <c r="O78" s="19">
        <f t="shared" si="12"/>
        <v>-1</v>
      </c>
      <c r="P78" s="19">
        <v>-0.5</v>
      </c>
      <c r="Q78" s="19">
        <v>-4</v>
      </c>
      <c r="R78" s="19">
        <v>1</v>
      </c>
      <c r="S78" s="19">
        <v>0.5</v>
      </c>
      <c r="T78" s="19">
        <v>2.5</v>
      </c>
    </row>
    <row r="79" spans="1:20" x14ac:dyDescent="0.25">
      <c r="A79" s="38">
        <v>42804</v>
      </c>
      <c r="B79" s="29">
        <v>0</v>
      </c>
      <c r="C79" s="42">
        <f t="shared" si="7"/>
        <v>0</v>
      </c>
      <c r="D79" s="2">
        <f t="shared" si="8"/>
        <v>1.257374269005848</v>
      </c>
      <c r="E79" s="2">
        <f t="shared" si="9"/>
        <v>2.5798292465687851</v>
      </c>
      <c r="F79" s="2">
        <f t="shared" si="10"/>
        <v>-1.257374269005848</v>
      </c>
      <c r="G79" s="1">
        <f t="shared" si="11"/>
        <v>-0.48738662478463496</v>
      </c>
      <c r="H79" s="18">
        <v>-0.5</v>
      </c>
      <c r="J79" s="18">
        <v>0.5</v>
      </c>
      <c r="K79" s="18">
        <v>-2</v>
      </c>
      <c r="L79" s="18">
        <v>1</v>
      </c>
      <c r="M79" s="18">
        <v>1.5</v>
      </c>
      <c r="N79" s="18">
        <v>2</v>
      </c>
      <c r="O79" s="19">
        <f t="shared" si="12"/>
        <v>-1</v>
      </c>
      <c r="P79" s="19">
        <v>-0.5</v>
      </c>
      <c r="Q79" s="19">
        <v>-4</v>
      </c>
      <c r="R79" s="19">
        <v>1</v>
      </c>
      <c r="S79" s="19">
        <v>0.5</v>
      </c>
      <c r="T79" s="19">
        <v>2.5</v>
      </c>
    </row>
    <row r="80" spans="1:20" x14ac:dyDescent="0.25">
      <c r="A80" s="38">
        <v>42835</v>
      </c>
      <c r="B80" s="29">
        <v>0.02</v>
      </c>
      <c r="C80" s="42">
        <f t="shared" si="7"/>
        <v>0.50800000000000001</v>
      </c>
      <c r="D80" s="2">
        <f t="shared" si="8"/>
        <v>1.257374269005848</v>
      </c>
      <c r="E80" s="2">
        <f t="shared" si="9"/>
        <v>2.5798292465687851</v>
      </c>
      <c r="F80" s="2">
        <f t="shared" si="10"/>
        <v>-0.74937426900584803</v>
      </c>
      <c r="G80" s="1">
        <f t="shared" si="11"/>
        <v>-0.29047436763596973</v>
      </c>
      <c r="H80" s="18">
        <v>-0.5</v>
      </c>
      <c r="J80" s="18">
        <v>0.5</v>
      </c>
      <c r="K80" s="18">
        <v>-2</v>
      </c>
      <c r="L80" s="18">
        <v>1</v>
      </c>
      <c r="M80" s="18">
        <v>1.5</v>
      </c>
      <c r="N80" s="18">
        <v>2</v>
      </c>
      <c r="O80" s="19">
        <f t="shared" si="12"/>
        <v>-1</v>
      </c>
      <c r="P80" s="19">
        <v>-0.5</v>
      </c>
      <c r="Q80" s="19">
        <v>-4</v>
      </c>
      <c r="R80" s="19">
        <v>1</v>
      </c>
      <c r="S80" s="19">
        <v>0.5</v>
      </c>
      <c r="T80" s="19">
        <v>2.5</v>
      </c>
    </row>
    <row r="81" spans="1:20" x14ac:dyDescent="0.25">
      <c r="A81" s="38">
        <v>42865</v>
      </c>
      <c r="B81" s="29">
        <v>0.03</v>
      </c>
      <c r="C81" s="42">
        <f t="shared" si="7"/>
        <v>0.7619999999999999</v>
      </c>
      <c r="D81" s="2">
        <f t="shared" si="8"/>
        <v>1.257374269005848</v>
      </c>
      <c r="E81" s="2">
        <f t="shared" si="9"/>
        <v>2.5798292465687851</v>
      </c>
      <c r="F81" s="2">
        <f t="shared" si="10"/>
        <v>-0.49537426900584813</v>
      </c>
      <c r="G81" s="1">
        <f t="shared" si="11"/>
        <v>-0.19201823906163712</v>
      </c>
      <c r="H81" s="18">
        <v>-0.5</v>
      </c>
      <c r="J81" s="18">
        <v>0.5</v>
      </c>
      <c r="K81" s="18">
        <v>-2</v>
      </c>
      <c r="L81" s="18">
        <v>1</v>
      </c>
      <c r="M81" s="18">
        <v>1.5</v>
      </c>
      <c r="N81" s="18">
        <v>2</v>
      </c>
      <c r="O81" s="19">
        <f t="shared" si="12"/>
        <v>-1</v>
      </c>
      <c r="P81" s="19">
        <v>-0.5</v>
      </c>
      <c r="Q81" s="19">
        <v>-4</v>
      </c>
      <c r="R81" s="19">
        <v>1</v>
      </c>
      <c r="S81" s="19">
        <v>0.5</v>
      </c>
      <c r="T81" s="19">
        <v>2.5</v>
      </c>
    </row>
    <row r="82" spans="1:20" x14ac:dyDescent="0.25">
      <c r="A82" s="38">
        <v>42896</v>
      </c>
      <c r="B82" s="29">
        <v>0.01</v>
      </c>
      <c r="C82" s="42">
        <f t="shared" si="7"/>
        <v>0.254</v>
      </c>
      <c r="D82" s="2">
        <f t="shared" si="8"/>
        <v>1.257374269005848</v>
      </c>
      <c r="E82" s="2">
        <f t="shared" si="9"/>
        <v>2.5798292465687851</v>
      </c>
      <c r="F82" s="2">
        <f t="shared" si="10"/>
        <v>-1.003374269005848</v>
      </c>
      <c r="G82" s="1">
        <f t="shared" si="11"/>
        <v>-0.38893049621030235</v>
      </c>
      <c r="H82" s="18">
        <v>-0.5</v>
      </c>
      <c r="J82" s="18">
        <v>0.5</v>
      </c>
      <c r="K82" s="18">
        <v>-2</v>
      </c>
      <c r="L82" s="18">
        <v>1</v>
      </c>
      <c r="M82" s="18">
        <v>1.5</v>
      </c>
      <c r="N82" s="18">
        <v>2</v>
      </c>
      <c r="O82" s="19">
        <f t="shared" si="12"/>
        <v>-1</v>
      </c>
      <c r="P82" s="19">
        <v>-0.5</v>
      </c>
      <c r="Q82" s="19">
        <v>-4</v>
      </c>
      <c r="R82" s="19">
        <v>1</v>
      </c>
      <c r="S82" s="19">
        <v>0.5</v>
      </c>
      <c r="T82" s="19">
        <v>2.5</v>
      </c>
    </row>
    <row r="83" spans="1:20" x14ac:dyDescent="0.25">
      <c r="A83" s="38">
        <v>42926</v>
      </c>
      <c r="B83" s="29">
        <v>0.01</v>
      </c>
      <c r="C83" s="42">
        <f t="shared" si="7"/>
        <v>0.254</v>
      </c>
      <c r="D83" s="2">
        <f t="shared" si="8"/>
        <v>1.257374269005848</v>
      </c>
      <c r="E83" s="2">
        <f t="shared" si="9"/>
        <v>2.5798292465687851</v>
      </c>
      <c r="F83" s="2">
        <f t="shared" si="10"/>
        <v>-1.003374269005848</v>
      </c>
      <c r="G83" s="1">
        <f t="shared" si="11"/>
        <v>-0.38893049621030235</v>
      </c>
      <c r="H83" s="18">
        <v>-0.5</v>
      </c>
      <c r="J83" s="18">
        <v>0.5</v>
      </c>
      <c r="K83" s="18">
        <v>-2</v>
      </c>
      <c r="L83" s="18">
        <v>1</v>
      </c>
      <c r="M83" s="18">
        <v>1.5</v>
      </c>
      <c r="N83" s="18">
        <v>2</v>
      </c>
      <c r="O83" s="19">
        <f t="shared" si="12"/>
        <v>-1</v>
      </c>
      <c r="P83" s="19">
        <v>-0.5</v>
      </c>
      <c r="Q83" s="19">
        <v>-4</v>
      </c>
      <c r="R83" s="19">
        <v>1</v>
      </c>
      <c r="S83" s="19">
        <v>0.5</v>
      </c>
      <c r="T83" s="19">
        <v>2.5</v>
      </c>
    </row>
    <row r="84" spans="1:20" x14ac:dyDescent="0.25">
      <c r="A84" s="38">
        <v>42957</v>
      </c>
      <c r="B84" s="29">
        <v>0</v>
      </c>
      <c r="C84" s="42">
        <f t="shared" si="7"/>
        <v>0</v>
      </c>
      <c r="D84" s="2">
        <f t="shared" si="8"/>
        <v>1.257374269005848</v>
      </c>
      <c r="E84" s="2">
        <f t="shared" si="9"/>
        <v>2.5798292465687851</v>
      </c>
      <c r="F84" s="2">
        <f t="shared" si="10"/>
        <v>-1.257374269005848</v>
      </c>
      <c r="G84" s="1">
        <f t="shared" si="11"/>
        <v>-0.48738662478463496</v>
      </c>
      <c r="H84" s="18">
        <v>-0.5</v>
      </c>
      <c r="J84" s="18">
        <v>0.5</v>
      </c>
      <c r="K84" s="18">
        <v>-2</v>
      </c>
      <c r="L84" s="18">
        <v>1</v>
      </c>
      <c r="M84" s="18">
        <v>1.5</v>
      </c>
      <c r="N84" s="18">
        <v>2</v>
      </c>
      <c r="O84" s="19">
        <f t="shared" si="12"/>
        <v>-1</v>
      </c>
      <c r="P84" s="19">
        <v>-0.5</v>
      </c>
      <c r="Q84" s="19">
        <v>-4</v>
      </c>
      <c r="R84" s="19">
        <v>1</v>
      </c>
      <c r="S84" s="19">
        <v>0.5</v>
      </c>
      <c r="T84" s="19">
        <v>2.5</v>
      </c>
    </row>
    <row r="85" spans="1:20" x14ac:dyDescent="0.25">
      <c r="A85" s="38">
        <v>42988</v>
      </c>
      <c r="B85" s="29">
        <v>0.01</v>
      </c>
      <c r="C85" s="42">
        <f t="shared" si="7"/>
        <v>0.254</v>
      </c>
      <c r="D85" s="2">
        <f t="shared" si="8"/>
        <v>1.257374269005848</v>
      </c>
      <c r="E85" s="2">
        <f t="shared" si="9"/>
        <v>2.5798292465687851</v>
      </c>
      <c r="F85" s="2">
        <f t="shared" si="10"/>
        <v>-1.003374269005848</v>
      </c>
      <c r="G85" s="1">
        <f t="shared" si="11"/>
        <v>-0.38893049621030235</v>
      </c>
      <c r="H85" s="18">
        <v>-0.5</v>
      </c>
      <c r="J85" s="18">
        <v>0.5</v>
      </c>
      <c r="K85" s="18">
        <v>-2</v>
      </c>
      <c r="L85" s="18">
        <v>1</v>
      </c>
      <c r="M85" s="18">
        <v>1.5</v>
      </c>
      <c r="N85" s="18">
        <v>2</v>
      </c>
      <c r="O85" s="19">
        <f t="shared" si="12"/>
        <v>-1</v>
      </c>
      <c r="P85" s="19">
        <v>-0.5</v>
      </c>
      <c r="Q85" s="19">
        <v>-4</v>
      </c>
      <c r="R85" s="19">
        <v>1</v>
      </c>
      <c r="S85" s="19">
        <v>0.5</v>
      </c>
      <c r="T85" s="19">
        <v>2.5</v>
      </c>
    </row>
    <row r="86" spans="1:20" x14ac:dyDescent="0.25">
      <c r="A86" s="39">
        <v>43018</v>
      </c>
      <c r="B86" s="29">
        <v>0.01</v>
      </c>
      <c r="C86" s="42">
        <f t="shared" si="7"/>
        <v>0.254</v>
      </c>
      <c r="D86" s="2">
        <f t="shared" si="8"/>
        <v>1.257374269005848</v>
      </c>
      <c r="E86" s="2">
        <f t="shared" si="9"/>
        <v>2.5798292465687851</v>
      </c>
      <c r="F86" s="2">
        <f t="shared" si="10"/>
        <v>-1.003374269005848</v>
      </c>
      <c r="G86" s="1">
        <f t="shared" si="11"/>
        <v>-0.38893049621030235</v>
      </c>
      <c r="H86" s="18">
        <v>-0.5</v>
      </c>
      <c r="J86" s="18">
        <v>0.5</v>
      </c>
      <c r="K86" s="18">
        <v>-2</v>
      </c>
      <c r="L86" s="18">
        <v>1</v>
      </c>
      <c r="M86" s="18">
        <v>1.5</v>
      </c>
      <c r="N86" s="18">
        <v>2</v>
      </c>
      <c r="O86" s="19">
        <f t="shared" si="12"/>
        <v>-1</v>
      </c>
      <c r="P86" s="19">
        <v>-0.5</v>
      </c>
      <c r="Q86" s="19">
        <v>-4</v>
      </c>
      <c r="R86" s="19">
        <v>1</v>
      </c>
      <c r="S86" s="19">
        <v>0.5</v>
      </c>
      <c r="T86" s="19">
        <v>2.5</v>
      </c>
    </row>
    <row r="87" spans="1:20" x14ac:dyDescent="0.25">
      <c r="A87" s="38">
        <v>43049</v>
      </c>
      <c r="B87" s="29">
        <v>0.01</v>
      </c>
      <c r="C87" s="42">
        <f t="shared" si="7"/>
        <v>0.254</v>
      </c>
      <c r="D87" s="2">
        <f t="shared" si="8"/>
        <v>1.257374269005848</v>
      </c>
      <c r="E87" s="2">
        <f t="shared" si="9"/>
        <v>2.5798292465687851</v>
      </c>
      <c r="F87" s="2">
        <f t="shared" si="10"/>
        <v>-1.003374269005848</v>
      </c>
      <c r="G87" s="1">
        <f t="shared" si="11"/>
        <v>-0.38893049621030235</v>
      </c>
      <c r="H87" s="18">
        <v>-0.5</v>
      </c>
      <c r="J87" s="18">
        <v>0.5</v>
      </c>
      <c r="K87" s="18">
        <v>-2</v>
      </c>
      <c r="L87" s="18">
        <v>1</v>
      </c>
      <c r="M87" s="18">
        <v>1.5</v>
      </c>
      <c r="N87" s="18">
        <v>2</v>
      </c>
      <c r="O87" s="19">
        <f t="shared" si="12"/>
        <v>-1</v>
      </c>
      <c r="P87" s="19">
        <v>-0.5</v>
      </c>
      <c r="Q87" s="19">
        <v>-4</v>
      </c>
      <c r="R87" s="19">
        <v>1</v>
      </c>
      <c r="S87" s="19">
        <v>0.5</v>
      </c>
      <c r="T87" s="19">
        <v>2.5</v>
      </c>
    </row>
    <row r="88" spans="1:20" x14ac:dyDescent="0.25">
      <c r="A88" s="38">
        <v>43079</v>
      </c>
      <c r="B88" s="29">
        <v>0.01</v>
      </c>
      <c r="C88" s="42">
        <f t="shared" si="7"/>
        <v>0.254</v>
      </c>
      <c r="D88" s="2">
        <f t="shared" si="8"/>
        <v>1.257374269005848</v>
      </c>
      <c r="E88" s="2">
        <f t="shared" si="9"/>
        <v>2.5798292465687851</v>
      </c>
      <c r="F88" s="2">
        <f t="shared" si="10"/>
        <v>-1.003374269005848</v>
      </c>
      <c r="G88" s="1">
        <f t="shared" si="11"/>
        <v>-0.38893049621030235</v>
      </c>
      <c r="H88" s="18">
        <v>-0.5</v>
      </c>
      <c r="J88" s="18">
        <v>0.5</v>
      </c>
      <c r="K88" s="18">
        <v>-2</v>
      </c>
      <c r="L88" s="18">
        <v>1</v>
      </c>
      <c r="M88" s="18">
        <v>1.5</v>
      </c>
      <c r="N88" s="18">
        <v>2</v>
      </c>
      <c r="O88" s="19">
        <f t="shared" si="12"/>
        <v>-1</v>
      </c>
      <c r="P88" s="19">
        <v>-0.5</v>
      </c>
      <c r="Q88" s="19">
        <v>-4</v>
      </c>
      <c r="R88" s="19">
        <v>1</v>
      </c>
      <c r="S88" s="19">
        <v>0.5</v>
      </c>
      <c r="T88" s="19">
        <v>2.5</v>
      </c>
    </row>
    <row r="89" spans="1:20" x14ac:dyDescent="0.25">
      <c r="A89" s="38">
        <v>43110</v>
      </c>
      <c r="B89" s="29">
        <v>0.01</v>
      </c>
      <c r="C89" s="42">
        <f t="shared" si="7"/>
        <v>0.254</v>
      </c>
      <c r="D89" s="2">
        <f t="shared" si="8"/>
        <v>1.257374269005848</v>
      </c>
      <c r="E89" s="2">
        <f t="shared" si="9"/>
        <v>2.5798292465687851</v>
      </c>
      <c r="F89" s="2">
        <f t="shared" si="10"/>
        <v>-1.003374269005848</v>
      </c>
      <c r="G89" s="1">
        <f t="shared" si="11"/>
        <v>-0.38893049621030235</v>
      </c>
      <c r="H89" s="18">
        <v>-0.5</v>
      </c>
      <c r="J89" s="18">
        <v>0.5</v>
      </c>
      <c r="K89" s="18">
        <v>-2</v>
      </c>
      <c r="L89" s="18">
        <v>1</v>
      </c>
      <c r="M89" s="18">
        <v>1.5</v>
      </c>
      <c r="N89" s="18">
        <v>2</v>
      </c>
      <c r="O89" s="19">
        <f t="shared" si="12"/>
        <v>-1</v>
      </c>
      <c r="P89" s="19">
        <v>-0.5</v>
      </c>
      <c r="Q89" s="19">
        <v>-4</v>
      </c>
      <c r="R89" s="19">
        <v>1</v>
      </c>
      <c r="S89" s="19">
        <v>0.5</v>
      </c>
      <c r="T89" s="19">
        <v>2.5</v>
      </c>
    </row>
    <row r="90" spans="1:20" x14ac:dyDescent="0.25">
      <c r="A90" s="38">
        <v>43141</v>
      </c>
      <c r="B90" s="29">
        <v>0.03</v>
      </c>
      <c r="C90" s="42">
        <f t="shared" si="7"/>
        <v>0.7619999999999999</v>
      </c>
      <c r="D90" s="2">
        <f t="shared" si="8"/>
        <v>1.257374269005848</v>
      </c>
      <c r="E90" s="2">
        <f t="shared" si="9"/>
        <v>2.5798292465687851</v>
      </c>
      <c r="F90" s="2">
        <f t="shared" si="10"/>
        <v>-0.49537426900584813</v>
      </c>
      <c r="G90" s="1">
        <f t="shared" si="11"/>
        <v>-0.19201823906163712</v>
      </c>
      <c r="H90" s="18">
        <v>-0.5</v>
      </c>
      <c r="J90" s="18">
        <v>0.5</v>
      </c>
      <c r="K90" s="18">
        <v>-2</v>
      </c>
      <c r="L90" s="18">
        <v>1</v>
      </c>
      <c r="M90" s="18">
        <v>1.5</v>
      </c>
      <c r="N90" s="18">
        <v>2</v>
      </c>
      <c r="O90" s="19">
        <f t="shared" si="12"/>
        <v>-1</v>
      </c>
      <c r="P90" s="19">
        <v>-0.5</v>
      </c>
      <c r="Q90" s="19">
        <v>-4</v>
      </c>
      <c r="R90" s="19">
        <v>1</v>
      </c>
      <c r="S90" s="19">
        <v>0.5</v>
      </c>
      <c r="T90" s="19">
        <v>2.5</v>
      </c>
    </row>
    <row r="91" spans="1:20" x14ac:dyDescent="0.25">
      <c r="A91" s="38">
        <v>43169</v>
      </c>
      <c r="B91" s="29">
        <v>0.02</v>
      </c>
      <c r="C91" s="42">
        <f t="shared" si="7"/>
        <v>0.50800000000000001</v>
      </c>
      <c r="D91" s="2">
        <f t="shared" si="8"/>
        <v>1.257374269005848</v>
      </c>
      <c r="E91" s="2">
        <f t="shared" si="9"/>
        <v>2.5798292465687851</v>
      </c>
      <c r="F91" s="2">
        <f t="shared" si="10"/>
        <v>-0.74937426900584803</v>
      </c>
      <c r="G91" s="1">
        <f t="shared" si="11"/>
        <v>-0.29047436763596973</v>
      </c>
      <c r="H91" s="18">
        <v>-0.5</v>
      </c>
      <c r="J91" s="18">
        <v>0.5</v>
      </c>
      <c r="K91" s="18">
        <v>-2</v>
      </c>
      <c r="L91" s="18">
        <v>1</v>
      </c>
      <c r="M91" s="18">
        <v>1.5</v>
      </c>
      <c r="N91" s="18">
        <v>2</v>
      </c>
      <c r="O91" s="19">
        <f t="shared" si="12"/>
        <v>-1</v>
      </c>
      <c r="P91" s="19">
        <v>-0.5</v>
      </c>
      <c r="Q91" s="19">
        <v>-4</v>
      </c>
      <c r="R91" s="19">
        <v>1</v>
      </c>
      <c r="S91" s="19">
        <v>0.5</v>
      </c>
      <c r="T91" s="19">
        <v>2.5</v>
      </c>
    </row>
    <row r="92" spans="1:20" x14ac:dyDescent="0.25">
      <c r="A92" s="38">
        <v>43200</v>
      </c>
      <c r="B92" s="29">
        <v>0.02</v>
      </c>
      <c r="C92" s="42">
        <f t="shared" si="7"/>
        <v>0.50800000000000001</v>
      </c>
      <c r="D92" s="2">
        <f t="shared" si="8"/>
        <v>1.257374269005848</v>
      </c>
      <c r="E92" s="2">
        <f t="shared" si="9"/>
        <v>2.5798292465687851</v>
      </c>
      <c r="F92" s="2">
        <f t="shared" si="10"/>
        <v>-0.74937426900584803</v>
      </c>
      <c r="G92" s="1">
        <f t="shared" si="11"/>
        <v>-0.29047436763596973</v>
      </c>
      <c r="H92" s="18">
        <v>-0.5</v>
      </c>
      <c r="J92" s="18">
        <v>0.5</v>
      </c>
      <c r="K92" s="18">
        <v>-2</v>
      </c>
      <c r="L92" s="18">
        <v>1</v>
      </c>
      <c r="M92" s="18">
        <v>1.5</v>
      </c>
      <c r="N92" s="18">
        <v>2</v>
      </c>
      <c r="O92" s="19">
        <f t="shared" si="12"/>
        <v>-1</v>
      </c>
      <c r="P92" s="19">
        <v>-0.5</v>
      </c>
      <c r="Q92" s="19">
        <v>-4</v>
      </c>
      <c r="R92" s="19">
        <v>1</v>
      </c>
      <c r="S92" s="19">
        <v>0.5</v>
      </c>
      <c r="T92" s="19">
        <v>2.5</v>
      </c>
    </row>
    <row r="93" spans="1:20" x14ac:dyDescent="0.25">
      <c r="A93" s="39">
        <v>43230</v>
      </c>
      <c r="B93" s="29">
        <v>0.01</v>
      </c>
      <c r="C93" s="42">
        <f t="shared" si="7"/>
        <v>0.254</v>
      </c>
      <c r="D93" s="2">
        <f t="shared" si="8"/>
        <v>1.257374269005848</v>
      </c>
      <c r="E93" s="2">
        <f t="shared" si="9"/>
        <v>2.5798292465687851</v>
      </c>
      <c r="F93" s="2">
        <f t="shared" si="10"/>
        <v>-1.003374269005848</v>
      </c>
      <c r="G93" s="1">
        <f t="shared" si="11"/>
        <v>-0.38893049621030235</v>
      </c>
      <c r="H93" s="18">
        <v>-0.5</v>
      </c>
      <c r="J93" s="18">
        <v>0.5</v>
      </c>
      <c r="K93" s="18">
        <v>-2</v>
      </c>
      <c r="L93" s="18">
        <v>1</v>
      </c>
      <c r="M93" s="18">
        <v>1.5</v>
      </c>
      <c r="N93" s="18">
        <v>2</v>
      </c>
      <c r="O93" s="19">
        <f t="shared" si="12"/>
        <v>-1</v>
      </c>
      <c r="P93" s="19">
        <v>-0.5</v>
      </c>
      <c r="Q93" s="19">
        <v>-4</v>
      </c>
      <c r="R93" s="19">
        <v>1</v>
      </c>
      <c r="S93" s="19">
        <v>0.5</v>
      </c>
      <c r="T93" s="19">
        <v>2.5</v>
      </c>
    </row>
    <row r="94" spans="1:20" x14ac:dyDescent="0.25">
      <c r="A94" s="38">
        <v>43261</v>
      </c>
      <c r="B94" s="29">
        <v>0</v>
      </c>
      <c r="C94" s="42">
        <f t="shared" si="7"/>
        <v>0</v>
      </c>
      <c r="D94" s="2">
        <f t="shared" si="8"/>
        <v>1.257374269005848</v>
      </c>
      <c r="E94" s="2">
        <f t="shared" si="9"/>
        <v>2.5798292465687851</v>
      </c>
      <c r="F94" s="2">
        <f t="shared" si="10"/>
        <v>-1.257374269005848</v>
      </c>
      <c r="G94" s="1">
        <f t="shared" si="11"/>
        <v>-0.48738662478463496</v>
      </c>
      <c r="H94" s="18">
        <v>-0.5</v>
      </c>
      <c r="J94" s="18">
        <v>0.5</v>
      </c>
      <c r="K94" s="18">
        <v>-2</v>
      </c>
      <c r="L94" s="18">
        <v>1</v>
      </c>
      <c r="M94" s="18">
        <v>1.5</v>
      </c>
      <c r="N94" s="18">
        <v>2</v>
      </c>
      <c r="O94" s="19">
        <f t="shared" si="12"/>
        <v>-1</v>
      </c>
      <c r="P94" s="19">
        <v>-0.5</v>
      </c>
      <c r="Q94" s="19">
        <v>-4</v>
      </c>
      <c r="R94" s="19">
        <v>1</v>
      </c>
      <c r="S94" s="19">
        <v>0.5</v>
      </c>
      <c r="T94" s="19">
        <v>2.5</v>
      </c>
    </row>
    <row r="95" spans="1:20" x14ac:dyDescent="0.25">
      <c r="A95" s="38">
        <v>43291</v>
      </c>
      <c r="B95" s="29">
        <v>0.01</v>
      </c>
      <c r="C95" s="42">
        <f t="shared" si="7"/>
        <v>0.254</v>
      </c>
      <c r="D95" s="2">
        <f t="shared" si="8"/>
        <v>1.257374269005848</v>
      </c>
      <c r="E95" s="2">
        <f t="shared" si="9"/>
        <v>2.5798292465687851</v>
      </c>
      <c r="F95" s="2">
        <f t="shared" si="10"/>
        <v>-1.003374269005848</v>
      </c>
      <c r="G95" s="1">
        <f t="shared" si="11"/>
        <v>-0.38893049621030235</v>
      </c>
      <c r="H95" s="18">
        <v>-0.5</v>
      </c>
      <c r="J95" s="18">
        <v>0.5</v>
      </c>
      <c r="K95" s="18">
        <v>-2</v>
      </c>
      <c r="L95" s="18">
        <v>1</v>
      </c>
      <c r="M95" s="18">
        <v>1.5</v>
      </c>
      <c r="N95" s="18">
        <v>2</v>
      </c>
      <c r="O95" s="19">
        <f t="shared" si="12"/>
        <v>-1</v>
      </c>
      <c r="P95" s="19">
        <v>-0.5</v>
      </c>
      <c r="Q95" s="19">
        <v>-4</v>
      </c>
      <c r="R95" s="19">
        <v>1</v>
      </c>
      <c r="S95" s="19">
        <v>0.5</v>
      </c>
      <c r="T95" s="19">
        <v>2.5</v>
      </c>
    </row>
    <row r="96" spans="1:20" x14ac:dyDescent="0.25">
      <c r="A96" s="38">
        <v>43322</v>
      </c>
      <c r="B96" s="29">
        <v>0.01</v>
      </c>
      <c r="C96" s="42">
        <f t="shared" si="7"/>
        <v>0.254</v>
      </c>
      <c r="D96" s="2">
        <f t="shared" si="8"/>
        <v>1.257374269005848</v>
      </c>
      <c r="E96" s="2">
        <f t="shared" si="9"/>
        <v>2.5798292465687851</v>
      </c>
      <c r="F96" s="2">
        <f t="shared" si="10"/>
        <v>-1.003374269005848</v>
      </c>
      <c r="G96" s="1">
        <f t="shared" si="11"/>
        <v>-0.38893049621030235</v>
      </c>
      <c r="H96" s="18">
        <v>-0.5</v>
      </c>
      <c r="J96" s="18">
        <v>0.5</v>
      </c>
      <c r="K96" s="18">
        <v>-2</v>
      </c>
      <c r="L96" s="18">
        <v>1</v>
      </c>
      <c r="M96" s="18">
        <v>1.5</v>
      </c>
      <c r="N96" s="18">
        <v>2</v>
      </c>
      <c r="O96" s="19">
        <f t="shared" si="12"/>
        <v>-1</v>
      </c>
      <c r="P96" s="19">
        <v>-0.5</v>
      </c>
      <c r="Q96" s="19">
        <v>-4</v>
      </c>
      <c r="R96" s="19">
        <v>1</v>
      </c>
      <c r="S96" s="19">
        <v>0.5</v>
      </c>
      <c r="T96" s="19">
        <v>2.5</v>
      </c>
    </row>
    <row r="97" spans="1:20" x14ac:dyDescent="0.25">
      <c r="A97" s="38">
        <v>43353</v>
      </c>
      <c r="B97" s="29">
        <v>0</v>
      </c>
      <c r="C97" s="42">
        <f t="shared" si="7"/>
        <v>0</v>
      </c>
      <c r="D97" s="2">
        <f t="shared" si="8"/>
        <v>1.257374269005848</v>
      </c>
      <c r="E97" s="2">
        <f t="shared" si="9"/>
        <v>2.5798292465687851</v>
      </c>
      <c r="F97" s="2">
        <f t="shared" si="10"/>
        <v>-1.257374269005848</v>
      </c>
      <c r="G97" s="1">
        <f t="shared" si="11"/>
        <v>-0.48738662478463496</v>
      </c>
      <c r="H97" s="18">
        <v>-0.5</v>
      </c>
      <c r="J97" s="18">
        <v>0.5</v>
      </c>
      <c r="K97" s="18">
        <v>-2</v>
      </c>
      <c r="L97" s="18">
        <v>1</v>
      </c>
      <c r="M97" s="18">
        <v>1.5</v>
      </c>
      <c r="N97" s="18">
        <v>2</v>
      </c>
      <c r="O97" s="19">
        <f t="shared" si="12"/>
        <v>-1</v>
      </c>
      <c r="P97" s="19">
        <v>-0.5</v>
      </c>
      <c r="Q97" s="19">
        <v>-4</v>
      </c>
      <c r="R97" s="19">
        <v>1</v>
      </c>
      <c r="S97" s="19">
        <v>0.5</v>
      </c>
      <c r="T97" s="19">
        <v>2.5</v>
      </c>
    </row>
    <row r="98" spans="1:20" x14ac:dyDescent="0.25">
      <c r="A98" s="38">
        <v>43383</v>
      </c>
      <c r="B98" s="29">
        <v>0.01</v>
      </c>
      <c r="C98" s="42">
        <f t="shared" si="7"/>
        <v>0.254</v>
      </c>
      <c r="D98" s="2">
        <f t="shared" si="8"/>
        <v>1.257374269005848</v>
      </c>
      <c r="E98" s="2">
        <f t="shared" si="9"/>
        <v>2.5798292465687851</v>
      </c>
      <c r="F98" s="2">
        <f t="shared" si="10"/>
        <v>-1.003374269005848</v>
      </c>
      <c r="G98" s="1">
        <f t="shared" si="11"/>
        <v>-0.38893049621030235</v>
      </c>
      <c r="H98" s="18">
        <v>-0.5</v>
      </c>
      <c r="J98" s="18">
        <v>0.5</v>
      </c>
      <c r="K98" s="18">
        <v>-2</v>
      </c>
      <c r="L98" s="18">
        <v>1</v>
      </c>
      <c r="M98" s="18">
        <v>1.5</v>
      </c>
      <c r="N98" s="18">
        <v>2</v>
      </c>
      <c r="O98" s="19">
        <f t="shared" si="12"/>
        <v>-1</v>
      </c>
      <c r="P98" s="19">
        <v>-0.5</v>
      </c>
      <c r="Q98" s="19">
        <v>-4</v>
      </c>
      <c r="R98" s="19">
        <v>1</v>
      </c>
      <c r="S98" s="19">
        <v>0.5</v>
      </c>
      <c r="T98" s="19">
        <v>2.5</v>
      </c>
    </row>
    <row r="99" spans="1:20" x14ac:dyDescent="0.25">
      <c r="A99" s="38">
        <v>43414</v>
      </c>
      <c r="B99" s="29">
        <v>0</v>
      </c>
      <c r="C99" s="42">
        <f t="shared" si="7"/>
        <v>0</v>
      </c>
      <c r="D99" s="2">
        <f t="shared" si="8"/>
        <v>1.257374269005848</v>
      </c>
      <c r="E99" s="2">
        <f t="shared" si="9"/>
        <v>2.5798292465687851</v>
      </c>
      <c r="F99" s="2">
        <f t="shared" si="10"/>
        <v>-1.257374269005848</v>
      </c>
      <c r="G99" s="1">
        <f t="shared" si="11"/>
        <v>-0.48738662478463496</v>
      </c>
      <c r="H99" s="18">
        <v>-0.5</v>
      </c>
      <c r="J99" s="18">
        <v>0.5</v>
      </c>
      <c r="K99" s="18">
        <v>-2</v>
      </c>
      <c r="L99" s="18">
        <v>1</v>
      </c>
      <c r="M99" s="18">
        <v>1.5</v>
      </c>
      <c r="N99" s="18">
        <v>2</v>
      </c>
      <c r="O99" s="19">
        <f t="shared" si="12"/>
        <v>-1</v>
      </c>
      <c r="P99" s="19">
        <v>-0.5</v>
      </c>
      <c r="Q99" s="19">
        <v>-4</v>
      </c>
      <c r="R99" s="19">
        <v>1</v>
      </c>
      <c r="S99" s="19">
        <v>0.5</v>
      </c>
      <c r="T99" s="19">
        <v>2.5</v>
      </c>
    </row>
    <row r="100" spans="1:20" x14ac:dyDescent="0.25">
      <c r="A100" s="39">
        <v>43444</v>
      </c>
      <c r="B100" s="29">
        <v>0.01</v>
      </c>
      <c r="C100" s="42">
        <f t="shared" si="7"/>
        <v>0.254</v>
      </c>
      <c r="D100" s="2">
        <f t="shared" si="8"/>
        <v>1.257374269005848</v>
      </c>
      <c r="E100" s="2">
        <f t="shared" si="9"/>
        <v>2.5798292465687851</v>
      </c>
      <c r="F100" s="2">
        <f t="shared" si="10"/>
        <v>-1.003374269005848</v>
      </c>
      <c r="G100" s="1">
        <f t="shared" si="11"/>
        <v>-0.38893049621030235</v>
      </c>
      <c r="H100" s="18">
        <v>-0.5</v>
      </c>
      <c r="J100" s="18">
        <v>0.5</v>
      </c>
      <c r="K100" s="18">
        <v>-2</v>
      </c>
      <c r="L100" s="18">
        <v>1</v>
      </c>
      <c r="M100" s="18">
        <v>1.5</v>
      </c>
      <c r="N100" s="18">
        <v>2</v>
      </c>
      <c r="O100" s="19">
        <f t="shared" si="12"/>
        <v>-1</v>
      </c>
      <c r="P100" s="19">
        <v>-0.5</v>
      </c>
      <c r="Q100" s="19">
        <v>-4</v>
      </c>
      <c r="R100" s="19">
        <v>1</v>
      </c>
      <c r="S100" s="19">
        <v>0.5</v>
      </c>
      <c r="T100" s="19">
        <v>2.5</v>
      </c>
    </row>
    <row r="101" spans="1:20" x14ac:dyDescent="0.25">
      <c r="A101" s="38">
        <v>43475</v>
      </c>
      <c r="B101" s="29">
        <v>0.03</v>
      </c>
      <c r="C101" s="42">
        <f t="shared" ref="C101:C132" si="13">B101*$D$1</f>
        <v>0.7619999999999999</v>
      </c>
      <c r="D101" s="2">
        <f t="shared" si="8"/>
        <v>1.257374269005848</v>
      </c>
      <c r="E101" s="2">
        <f t="shared" si="9"/>
        <v>2.5798292465687851</v>
      </c>
      <c r="F101" s="2">
        <f t="shared" si="10"/>
        <v>-0.49537426900584813</v>
      </c>
      <c r="G101" s="1">
        <f t="shared" si="11"/>
        <v>-0.19201823906163712</v>
      </c>
      <c r="H101" s="18">
        <v>-0.5</v>
      </c>
      <c r="J101" s="18">
        <v>0.5</v>
      </c>
      <c r="K101" s="18">
        <v>-2</v>
      </c>
      <c r="L101" s="18">
        <v>1</v>
      </c>
      <c r="M101" s="18">
        <v>1.5</v>
      </c>
      <c r="N101" s="18">
        <v>2</v>
      </c>
      <c r="O101" s="19">
        <f t="shared" si="12"/>
        <v>-1</v>
      </c>
      <c r="P101" s="19">
        <v>-0.5</v>
      </c>
      <c r="Q101" s="19">
        <v>-4</v>
      </c>
      <c r="R101" s="19">
        <v>1</v>
      </c>
      <c r="S101" s="19">
        <v>0.5</v>
      </c>
      <c r="T101" s="19">
        <v>2.5</v>
      </c>
    </row>
    <row r="102" spans="1:20" x14ac:dyDescent="0.25">
      <c r="A102" s="38">
        <v>43506</v>
      </c>
      <c r="B102" s="29">
        <v>0.02</v>
      </c>
      <c r="C102" s="42">
        <f t="shared" si="13"/>
        <v>0.50800000000000001</v>
      </c>
      <c r="D102" s="2">
        <f t="shared" si="8"/>
        <v>1.257374269005848</v>
      </c>
      <c r="E102" s="2">
        <f t="shared" si="9"/>
        <v>2.5798292465687851</v>
      </c>
      <c r="F102" s="2">
        <f t="shared" si="10"/>
        <v>-0.74937426900584803</v>
      </c>
      <c r="G102" s="1">
        <f t="shared" si="11"/>
        <v>-0.29047436763596973</v>
      </c>
      <c r="H102" s="18">
        <v>-0.5</v>
      </c>
      <c r="J102" s="18">
        <v>0.5</v>
      </c>
      <c r="K102" s="18">
        <v>-2</v>
      </c>
      <c r="L102" s="18">
        <v>1</v>
      </c>
      <c r="M102" s="18">
        <v>1.5</v>
      </c>
      <c r="N102" s="18">
        <v>2</v>
      </c>
      <c r="O102" s="19">
        <f t="shared" si="12"/>
        <v>-1</v>
      </c>
      <c r="P102" s="19">
        <v>-0.5</v>
      </c>
      <c r="Q102" s="19">
        <v>-4</v>
      </c>
      <c r="R102" s="19">
        <v>1</v>
      </c>
      <c r="S102" s="19">
        <v>0.5</v>
      </c>
      <c r="T102" s="19">
        <v>2.5</v>
      </c>
    </row>
    <row r="103" spans="1:20" x14ac:dyDescent="0.25">
      <c r="A103" s="38">
        <v>43534</v>
      </c>
      <c r="B103" s="29">
        <v>0.01</v>
      </c>
      <c r="C103" s="42">
        <f t="shared" si="13"/>
        <v>0.254</v>
      </c>
      <c r="D103" s="2">
        <f t="shared" si="8"/>
        <v>1.257374269005848</v>
      </c>
      <c r="E103" s="2">
        <f t="shared" si="9"/>
        <v>2.5798292465687851</v>
      </c>
      <c r="F103" s="2">
        <f t="shared" si="10"/>
        <v>-1.003374269005848</v>
      </c>
      <c r="G103" s="1">
        <f t="shared" si="11"/>
        <v>-0.38893049621030235</v>
      </c>
      <c r="H103" s="18">
        <v>-0.5</v>
      </c>
      <c r="J103" s="18">
        <v>0.5</v>
      </c>
      <c r="K103" s="18">
        <v>-2</v>
      </c>
      <c r="L103" s="18">
        <v>1</v>
      </c>
      <c r="M103" s="18">
        <v>1.5</v>
      </c>
      <c r="N103" s="18">
        <v>2</v>
      </c>
      <c r="O103" s="19">
        <f t="shared" si="12"/>
        <v>-1</v>
      </c>
      <c r="P103" s="19">
        <v>-0.5</v>
      </c>
      <c r="Q103" s="19">
        <v>-4</v>
      </c>
      <c r="R103" s="19">
        <v>1</v>
      </c>
      <c r="S103" s="19">
        <v>0.5</v>
      </c>
      <c r="T103" s="19">
        <v>2.5</v>
      </c>
    </row>
    <row r="104" spans="1:20" x14ac:dyDescent="0.25">
      <c r="A104" s="38">
        <v>43565</v>
      </c>
      <c r="B104" s="29">
        <v>0.03</v>
      </c>
      <c r="C104" s="42">
        <f t="shared" si="13"/>
        <v>0.7619999999999999</v>
      </c>
      <c r="D104" s="2">
        <f t="shared" si="8"/>
        <v>1.257374269005848</v>
      </c>
      <c r="E104" s="2">
        <f t="shared" si="9"/>
        <v>2.5798292465687851</v>
      </c>
      <c r="F104" s="2">
        <f t="shared" si="10"/>
        <v>-0.49537426900584813</v>
      </c>
      <c r="G104" s="1">
        <f t="shared" si="11"/>
        <v>-0.19201823906163712</v>
      </c>
      <c r="H104" s="18">
        <v>-0.5</v>
      </c>
      <c r="J104" s="18">
        <v>0.5</v>
      </c>
      <c r="K104" s="18">
        <v>-2</v>
      </c>
      <c r="L104" s="18">
        <v>1</v>
      </c>
      <c r="M104" s="18">
        <v>1.5</v>
      </c>
      <c r="N104" s="18">
        <v>2</v>
      </c>
      <c r="O104" s="19">
        <f t="shared" si="12"/>
        <v>-1</v>
      </c>
      <c r="P104" s="19">
        <v>-0.5</v>
      </c>
      <c r="Q104" s="19">
        <v>-4</v>
      </c>
      <c r="R104" s="19">
        <v>1</v>
      </c>
      <c r="S104" s="19">
        <v>0.5</v>
      </c>
      <c r="T104" s="19">
        <v>2.5</v>
      </c>
    </row>
    <row r="105" spans="1:20" x14ac:dyDescent="0.25">
      <c r="A105" s="38">
        <v>43595</v>
      </c>
      <c r="B105" s="29">
        <v>0</v>
      </c>
      <c r="C105" s="42">
        <f t="shared" si="13"/>
        <v>0</v>
      </c>
      <c r="D105" s="2">
        <f t="shared" si="8"/>
        <v>1.257374269005848</v>
      </c>
      <c r="E105" s="2">
        <f t="shared" si="9"/>
        <v>2.5798292465687851</v>
      </c>
      <c r="F105" s="2">
        <f t="shared" si="10"/>
        <v>-1.257374269005848</v>
      </c>
      <c r="G105" s="1">
        <f t="shared" si="11"/>
        <v>-0.48738662478463496</v>
      </c>
      <c r="H105" s="18">
        <v>-0.5</v>
      </c>
      <c r="J105" s="18">
        <v>0.5</v>
      </c>
      <c r="K105" s="18">
        <v>-2</v>
      </c>
      <c r="L105" s="18">
        <v>1</v>
      </c>
      <c r="M105" s="18">
        <v>1.5</v>
      </c>
      <c r="N105" s="18">
        <v>2</v>
      </c>
      <c r="O105" s="19">
        <f t="shared" si="12"/>
        <v>-1</v>
      </c>
      <c r="P105" s="19">
        <v>-0.5</v>
      </c>
      <c r="Q105" s="19">
        <v>-4</v>
      </c>
      <c r="R105" s="19">
        <v>1</v>
      </c>
      <c r="S105" s="19">
        <v>0.5</v>
      </c>
      <c r="T105" s="19">
        <v>2.5</v>
      </c>
    </row>
    <row r="106" spans="1:20" x14ac:dyDescent="0.25">
      <c r="A106" s="38">
        <v>43626</v>
      </c>
      <c r="B106" s="29">
        <v>0.01</v>
      </c>
      <c r="C106" s="42">
        <f t="shared" si="13"/>
        <v>0.254</v>
      </c>
      <c r="D106" s="2">
        <f t="shared" si="8"/>
        <v>1.257374269005848</v>
      </c>
      <c r="E106" s="2">
        <f t="shared" si="9"/>
        <v>2.5798292465687851</v>
      </c>
      <c r="F106" s="2">
        <f t="shared" si="10"/>
        <v>-1.003374269005848</v>
      </c>
      <c r="G106" s="1">
        <f t="shared" si="11"/>
        <v>-0.38893049621030235</v>
      </c>
      <c r="H106" s="18">
        <v>-0.5</v>
      </c>
      <c r="J106" s="18">
        <v>0.5</v>
      </c>
      <c r="K106" s="18">
        <v>-2</v>
      </c>
      <c r="L106" s="18">
        <v>1</v>
      </c>
      <c r="M106" s="18">
        <v>1.5</v>
      </c>
      <c r="N106" s="18">
        <v>2</v>
      </c>
      <c r="O106" s="19">
        <f t="shared" si="12"/>
        <v>-1</v>
      </c>
      <c r="P106" s="19">
        <v>-0.5</v>
      </c>
      <c r="Q106" s="19">
        <v>-4</v>
      </c>
      <c r="R106" s="19">
        <v>1</v>
      </c>
      <c r="S106" s="19">
        <v>0.5</v>
      </c>
      <c r="T106" s="19">
        <v>2.5</v>
      </c>
    </row>
    <row r="107" spans="1:20" x14ac:dyDescent="0.25">
      <c r="A107" s="39">
        <v>43656</v>
      </c>
      <c r="B107" s="29">
        <v>0</v>
      </c>
      <c r="C107" s="42">
        <f t="shared" si="13"/>
        <v>0</v>
      </c>
      <c r="D107" s="2">
        <f t="shared" si="8"/>
        <v>1.257374269005848</v>
      </c>
      <c r="E107" s="2">
        <f t="shared" si="9"/>
        <v>2.5798292465687851</v>
      </c>
      <c r="F107" s="2">
        <f t="shared" si="10"/>
        <v>-1.257374269005848</v>
      </c>
      <c r="G107" s="1">
        <f t="shared" si="11"/>
        <v>-0.48738662478463496</v>
      </c>
      <c r="H107" s="18">
        <v>-0.5</v>
      </c>
      <c r="J107" s="18">
        <v>0.5</v>
      </c>
      <c r="K107" s="18">
        <v>-2</v>
      </c>
      <c r="L107" s="18">
        <v>1</v>
      </c>
      <c r="M107" s="18">
        <v>1.5</v>
      </c>
      <c r="N107" s="18">
        <v>2</v>
      </c>
      <c r="O107" s="19">
        <f t="shared" si="12"/>
        <v>-1</v>
      </c>
      <c r="P107" s="19">
        <v>-0.5</v>
      </c>
      <c r="Q107" s="19">
        <v>-4</v>
      </c>
      <c r="R107" s="19">
        <v>1</v>
      </c>
      <c r="S107" s="19">
        <v>0.5</v>
      </c>
      <c r="T107" s="19">
        <v>2.5</v>
      </c>
    </row>
    <row r="108" spans="1:20" x14ac:dyDescent="0.25">
      <c r="A108" s="38">
        <v>43687</v>
      </c>
      <c r="B108" s="29">
        <v>0</v>
      </c>
      <c r="C108" s="42">
        <f t="shared" si="13"/>
        <v>0</v>
      </c>
      <c r="D108" s="2">
        <f t="shared" si="8"/>
        <v>1.257374269005848</v>
      </c>
      <c r="E108" s="2">
        <f t="shared" si="9"/>
        <v>2.5798292465687851</v>
      </c>
      <c r="F108" s="2">
        <f t="shared" si="10"/>
        <v>-1.257374269005848</v>
      </c>
      <c r="G108" s="1">
        <f t="shared" si="11"/>
        <v>-0.48738662478463496</v>
      </c>
      <c r="H108" s="18">
        <v>-0.5</v>
      </c>
      <c r="J108" s="18">
        <v>0.5</v>
      </c>
      <c r="K108" s="18">
        <v>-2</v>
      </c>
      <c r="L108" s="18">
        <v>1</v>
      </c>
      <c r="M108" s="18">
        <v>1.5</v>
      </c>
      <c r="N108" s="18">
        <v>2</v>
      </c>
      <c r="O108" s="19">
        <f t="shared" si="12"/>
        <v>-1</v>
      </c>
      <c r="P108" s="19">
        <v>-0.5</v>
      </c>
      <c r="Q108" s="19">
        <v>-4</v>
      </c>
      <c r="R108" s="19">
        <v>1</v>
      </c>
      <c r="S108" s="19">
        <v>0.5</v>
      </c>
      <c r="T108" s="19">
        <v>2.5</v>
      </c>
    </row>
    <row r="109" spans="1:20" x14ac:dyDescent="0.25">
      <c r="A109" s="38">
        <v>43718</v>
      </c>
      <c r="B109" s="29">
        <v>0</v>
      </c>
      <c r="C109" s="42">
        <f t="shared" si="13"/>
        <v>0</v>
      </c>
      <c r="D109" s="2">
        <f t="shared" si="8"/>
        <v>1.257374269005848</v>
      </c>
      <c r="E109" s="2">
        <f t="shared" si="9"/>
        <v>2.5798292465687851</v>
      </c>
      <c r="F109" s="2">
        <f t="shared" si="10"/>
        <v>-1.257374269005848</v>
      </c>
      <c r="G109" s="1">
        <f t="shared" si="11"/>
        <v>-0.48738662478463496</v>
      </c>
      <c r="H109" s="18">
        <v>-0.5</v>
      </c>
      <c r="J109" s="18">
        <v>0.5</v>
      </c>
      <c r="K109" s="18">
        <v>-2</v>
      </c>
      <c r="L109" s="18">
        <v>1</v>
      </c>
      <c r="M109" s="18">
        <v>1.5</v>
      </c>
      <c r="N109" s="18">
        <v>2</v>
      </c>
      <c r="O109" s="19">
        <f t="shared" si="12"/>
        <v>-1</v>
      </c>
      <c r="P109" s="19">
        <v>-0.5</v>
      </c>
      <c r="Q109" s="19">
        <v>-4</v>
      </c>
      <c r="R109" s="19">
        <v>1</v>
      </c>
      <c r="S109" s="19">
        <v>0.5</v>
      </c>
      <c r="T109" s="19">
        <v>2.5</v>
      </c>
    </row>
    <row r="110" spans="1:20" x14ac:dyDescent="0.25">
      <c r="A110" s="38">
        <v>43748</v>
      </c>
      <c r="B110" s="29">
        <v>0</v>
      </c>
      <c r="C110" s="42">
        <f t="shared" si="13"/>
        <v>0</v>
      </c>
      <c r="D110" s="2">
        <f t="shared" si="8"/>
        <v>1.257374269005848</v>
      </c>
      <c r="E110" s="2">
        <f t="shared" si="9"/>
        <v>2.5798292465687851</v>
      </c>
      <c r="F110" s="2">
        <f t="shared" si="10"/>
        <v>-1.257374269005848</v>
      </c>
      <c r="G110" s="1">
        <f t="shared" si="11"/>
        <v>-0.48738662478463496</v>
      </c>
      <c r="H110" s="18">
        <v>-0.5</v>
      </c>
      <c r="J110" s="18">
        <v>0.5</v>
      </c>
      <c r="K110" s="18">
        <v>-2</v>
      </c>
      <c r="L110" s="18">
        <v>1</v>
      </c>
      <c r="M110" s="18">
        <v>1.5</v>
      </c>
      <c r="N110" s="18">
        <v>2</v>
      </c>
      <c r="O110" s="19">
        <f t="shared" si="12"/>
        <v>-1</v>
      </c>
      <c r="P110" s="19">
        <v>-0.5</v>
      </c>
      <c r="Q110" s="19">
        <v>-4</v>
      </c>
      <c r="R110" s="19">
        <v>1</v>
      </c>
      <c r="S110" s="19">
        <v>0.5</v>
      </c>
      <c r="T110" s="19">
        <v>2.5</v>
      </c>
    </row>
    <row r="111" spans="1:20" x14ac:dyDescent="0.25">
      <c r="A111" s="38">
        <v>43779</v>
      </c>
      <c r="B111" s="29">
        <v>0.01</v>
      </c>
      <c r="C111" s="42">
        <f t="shared" si="13"/>
        <v>0.254</v>
      </c>
      <c r="D111" s="2">
        <f t="shared" si="8"/>
        <v>1.257374269005848</v>
      </c>
      <c r="E111" s="2">
        <f t="shared" si="9"/>
        <v>2.5798292465687851</v>
      </c>
      <c r="F111" s="2">
        <f t="shared" si="10"/>
        <v>-1.003374269005848</v>
      </c>
      <c r="G111" s="1">
        <f t="shared" si="11"/>
        <v>-0.38893049621030235</v>
      </c>
      <c r="H111" s="18">
        <v>-0.5</v>
      </c>
      <c r="J111" s="18">
        <v>0.5</v>
      </c>
      <c r="K111" s="18">
        <v>-2</v>
      </c>
      <c r="L111" s="18">
        <v>1</v>
      </c>
      <c r="M111" s="18">
        <v>1.5</v>
      </c>
      <c r="N111" s="18">
        <v>2</v>
      </c>
      <c r="O111" s="19">
        <f t="shared" si="12"/>
        <v>-1</v>
      </c>
      <c r="P111" s="19">
        <v>-0.5</v>
      </c>
      <c r="Q111" s="19">
        <v>-4</v>
      </c>
      <c r="R111" s="19">
        <v>1</v>
      </c>
      <c r="S111" s="19">
        <v>0.5</v>
      </c>
      <c r="T111" s="19">
        <v>2.5</v>
      </c>
    </row>
    <row r="112" spans="1:20" x14ac:dyDescent="0.25">
      <c r="A112" s="38">
        <v>43809</v>
      </c>
      <c r="B112" s="29">
        <v>0.01</v>
      </c>
      <c r="C112" s="42">
        <f t="shared" si="13"/>
        <v>0.254</v>
      </c>
      <c r="D112" s="2">
        <f t="shared" si="8"/>
        <v>1.257374269005848</v>
      </c>
      <c r="E112" s="2">
        <f t="shared" si="9"/>
        <v>2.5798292465687851</v>
      </c>
      <c r="F112" s="2">
        <f t="shared" si="10"/>
        <v>-1.003374269005848</v>
      </c>
      <c r="G112" s="1">
        <f t="shared" si="11"/>
        <v>-0.38893049621030235</v>
      </c>
      <c r="H112" s="18">
        <v>-0.5</v>
      </c>
      <c r="J112" s="18">
        <v>0.5</v>
      </c>
      <c r="K112" s="18">
        <v>-2</v>
      </c>
      <c r="L112" s="18">
        <v>1</v>
      </c>
      <c r="M112" s="18">
        <v>1.5</v>
      </c>
      <c r="N112" s="18">
        <v>2</v>
      </c>
      <c r="O112" s="19">
        <f t="shared" si="12"/>
        <v>-1</v>
      </c>
      <c r="P112" s="19">
        <v>-0.5</v>
      </c>
      <c r="Q112" s="19">
        <v>-4</v>
      </c>
      <c r="R112" s="19">
        <v>1</v>
      </c>
      <c r="S112" s="19">
        <v>0.5</v>
      </c>
      <c r="T112" s="19">
        <v>2.5</v>
      </c>
    </row>
    <row r="113" spans="1:20" x14ac:dyDescent="0.25">
      <c r="A113" s="38">
        <v>43840</v>
      </c>
      <c r="B113" s="29">
        <v>0.04</v>
      </c>
      <c r="C113" s="42">
        <f t="shared" si="13"/>
        <v>1.016</v>
      </c>
      <c r="D113" s="2">
        <f t="shared" si="8"/>
        <v>1.257374269005848</v>
      </c>
      <c r="E113" s="2">
        <f t="shared" si="9"/>
        <v>2.5798292465687851</v>
      </c>
      <c r="F113" s="2">
        <f t="shared" si="10"/>
        <v>-0.24137426900584802</v>
      </c>
      <c r="G113" s="1">
        <f t="shared" si="11"/>
        <v>-9.3562110487304437E-2</v>
      </c>
      <c r="H113" s="18">
        <v>-0.5</v>
      </c>
      <c r="J113" s="18">
        <v>0.5</v>
      </c>
      <c r="K113" s="18">
        <v>-2</v>
      </c>
      <c r="L113" s="18">
        <v>1</v>
      </c>
      <c r="M113" s="18">
        <v>1.5</v>
      </c>
      <c r="N113" s="18">
        <v>2</v>
      </c>
      <c r="O113" s="19">
        <f t="shared" si="12"/>
        <v>-1</v>
      </c>
      <c r="P113" s="19">
        <v>-0.5</v>
      </c>
      <c r="Q113" s="19">
        <v>-4</v>
      </c>
      <c r="R113" s="19">
        <v>1</v>
      </c>
      <c r="S113" s="19">
        <v>0.5</v>
      </c>
      <c r="T113" s="19">
        <v>2.5</v>
      </c>
    </row>
    <row r="114" spans="1:20" x14ac:dyDescent="0.25">
      <c r="A114" s="39">
        <v>43871</v>
      </c>
      <c r="B114" s="29">
        <v>0.09</v>
      </c>
      <c r="C114" s="42">
        <f t="shared" si="13"/>
        <v>2.2859999999999996</v>
      </c>
      <c r="D114" s="2">
        <f t="shared" si="8"/>
        <v>1.257374269005848</v>
      </c>
      <c r="E114" s="2">
        <f t="shared" si="9"/>
        <v>2.5798292465687851</v>
      </c>
      <c r="F114" s="2">
        <f t="shared" si="10"/>
        <v>1.0286257309941516</v>
      </c>
      <c r="G114" s="1">
        <f t="shared" si="11"/>
        <v>0.39871853238435861</v>
      </c>
      <c r="H114" s="18">
        <v>-0.5</v>
      </c>
      <c r="J114" s="18">
        <v>0.5</v>
      </c>
      <c r="K114" s="18">
        <v>-2</v>
      </c>
      <c r="L114" s="18">
        <v>1</v>
      </c>
      <c r="M114" s="18">
        <v>1.5</v>
      </c>
      <c r="N114" s="18">
        <v>2</v>
      </c>
      <c r="O114" s="19">
        <f t="shared" si="12"/>
        <v>-1</v>
      </c>
      <c r="P114" s="19">
        <v>-0.5</v>
      </c>
      <c r="Q114" s="19">
        <v>-4</v>
      </c>
      <c r="R114" s="19">
        <v>1</v>
      </c>
      <c r="S114" s="19">
        <v>0.5</v>
      </c>
      <c r="T114" s="19">
        <v>2.5</v>
      </c>
    </row>
    <row r="115" spans="1:20" x14ac:dyDescent="0.25">
      <c r="A115" s="38">
        <v>43900</v>
      </c>
      <c r="B115" s="29">
        <v>0</v>
      </c>
      <c r="C115" s="42">
        <f t="shared" si="13"/>
        <v>0</v>
      </c>
      <c r="D115" s="2">
        <f t="shared" si="8"/>
        <v>1.257374269005848</v>
      </c>
      <c r="E115" s="2">
        <f t="shared" si="9"/>
        <v>2.5798292465687851</v>
      </c>
      <c r="F115" s="2">
        <f t="shared" si="10"/>
        <v>-1.257374269005848</v>
      </c>
      <c r="G115" s="1">
        <f t="shared" si="11"/>
        <v>-0.48738662478463496</v>
      </c>
      <c r="H115" s="18">
        <v>-0.5</v>
      </c>
      <c r="J115" s="18">
        <v>0.5</v>
      </c>
      <c r="K115" s="18">
        <v>-2</v>
      </c>
      <c r="L115" s="18">
        <v>1</v>
      </c>
      <c r="M115" s="18">
        <v>1.5</v>
      </c>
      <c r="N115" s="18">
        <v>2</v>
      </c>
      <c r="O115" s="19">
        <f t="shared" si="12"/>
        <v>-1</v>
      </c>
      <c r="P115" s="19">
        <v>-0.5</v>
      </c>
      <c r="Q115" s="19">
        <v>-4</v>
      </c>
      <c r="R115" s="19">
        <v>1</v>
      </c>
      <c r="S115" s="19">
        <v>0.5</v>
      </c>
      <c r="T115" s="19">
        <v>2.5</v>
      </c>
    </row>
    <row r="116" spans="1:20" x14ac:dyDescent="0.25">
      <c r="A116" s="38">
        <v>43931</v>
      </c>
      <c r="B116" s="29">
        <v>0.03</v>
      </c>
      <c r="C116" s="42">
        <f t="shared" si="13"/>
        <v>0.7619999999999999</v>
      </c>
      <c r="D116" s="2">
        <f t="shared" si="8"/>
        <v>1.257374269005848</v>
      </c>
      <c r="E116" s="2">
        <f t="shared" si="9"/>
        <v>2.5798292465687851</v>
      </c>
      <c r="F116" s="2">
        <f t="shared" si="10"/>
        <v>-0.49537426900584813</v>
      </c>
      <c r="G116" s="1">
        <f t="shared" si="11"/>
        <v>-0.19201823906163712</v>
      </c>
      <c r="H116" s="18">
        <v>-0.5</v>
      </c>
      <c r="J116" s="18">
        <v>0.5</v>
      </c>
      <c r="K116" s="18">
        <v>-2</v>
      </c>
      <c r="L116" s="18">
        <v>1</v>
      </c>
      <c r="M116" s="18">
        <v>1.5</v>
      </c>
      <c r="N116" s="18">
        <v>2</v>
      </c>
      <c r="O116" s="19">
        <f t="shared" si="12"/>
        <v>-1</v>
      </c>
      <c r="P116" s="19">
        <v>-0.5</v>
      </c>
      <c r="Q116" s="19">
        <v>-4</v>
      </c>
      <c r="R116" s="19">
        <v>1</v>
      </c>
      <c r="S116" s="19">
        <v>0.5</v>
      </c>
      <c r="T116" s="19">
        <v>2.5</v>
      </c>
    </row>
    <row r="117" spans="1:20" x14ac:dyDescent="0.25">
      <c r="A117" s="38">
        <v>43961</v>
      </c>
      <c r="B117" s="29">
        <v>0</v>
      </c>
      <c r="C117" s="42">
        <f t="shared" si="13"/>
        <v>0</v>
      </c>
      <c r="D117" s="2">
        <f t="shared" si="8"/>
        <v>1.257374269005848</v>
      </c>
      <c r="E117" s="2">
        <f t="shared" si="9"/>
        <v>2.5798292465687851</v>
      </c>
      <c r="F117" s="2">
        <f t="shared" si="10"/>
        <v>-1.257374269005848</v>
      </c>
      <c r="G117" s="1">
        <f t="shared" si="11"/>
        <v>-0.48738662478463496</v>
      </c>
      <c r="H117" s="18">
        <v>-0.5</v>
      </c>
      <c r="J117" s="18">
        <v>0.5</v>
      </c>
      <c r="K117" s="18">
        <v>-2</v>
      </c>
      <c r="L117" s="18">
        <v>1</v>
      </c>
      <c r="M117" s="18">
        <v>1.5</v>
      </c>
      <c r="N117" s="18">
        <v>2</v>
      </c>
      <c r="O117" s="19">
        <f t="shared" si="12"/>
        <v>-1</v>
      </c>
      <c r="P117" s="19">
        <v>-0.5</v>
      </c>
      <c r="Q117" s="19">
        <v>-4</v>
      </c>
      <c r="R117" s="19">
        <v>1</v>
      </c>
      <c r="S117" s="19">
        <v>0.5</v>
      </c>
      <c r="T117" s="19">
        <v>2.5</v>
      </c>
    </row>
    <row r="118" spans="1:20" x14ac:dyDescent="0.25">
      <c r="A118" s="38">
        <v>43992</v>
      </c>
      <c r="B118" s="29">
        <v>0.01</v>
      </c>
      <c r="C118" s="42">
        <f t="shared" si="13"/>
        <v>0.254</v>
      </c>
      <c r="D118" s="2">
        <f t="shared" si="8"/>
        <v>1.257374269005848</v>
      </c>
      <c r="E118" s="2">
        <f t="shared" si="9"/>
        <v>2.5798292465687851</v>
      </c>
      <c r="F118" s="2">
        <f t="shared" si="10"/>
        <v>-1.003374269005848</v>
      </c>
      <c r="G118" s="1">
        <f t="shared" si="11"/>
        <v>-0.38893049621030235</v>
      </c>
      <c r="H118" s="18">
        <v>-0.5</v>
      </c>
      <c r="J118" s="18">
        <v>0.5</v>
      </c>
      <c r="K118" s="18">
        <v>-2</v>
      </c>
      <c r="L118" s="18">
        <v>1</v>
      </c>
      <c r="M118" s="18">
        <v>1.5</v>
      </c>
      <c r="N118" s="18">
        <v>2</v>
      </c>
      <c r="O118" s="19">
        <f t="shared" si="12"/>
        <v>-1</v>
      </c>
      <c r="P118" s="19">
        <v>-0.5</v>
      </c>
      <c r="Q118" s="19">
        <v>-4</v>
      </c>
      <c r="R118" s="19">
        <v>1</v>
      </c>
      <c r="S118" s="19">
        <v>0.5</v>
      </c>
      <c r="T118" s="19">
        <v>2.5</v>
      </c>
    </row>
    <row r="119" spans="1:20" x14ac:dyDescent="0.25">
      <c r="A119" s="38">
        <v>44022</v>
      </c>
      <c r="B119" s="29">
        <v>0.01</v>
      </c>
      <c r="C119" s="42">
        <f t="shared" si="13"/>
        <v>0.254</v>
      </c>
      <c r="D119" s="2">
        <f t="shared" si="8"/>
        <v>1.257374269005848</v>
      </c>
      <c r="E119" s="2">
        <f t="shared" si="9"/>
        <v>2.5798292465687851</v>
      </c>
      <c r="F119" s="2">
        <f t="shared" si="10"/>
        <v>-1.003374269005848</v>
      </c>
      <c r="G119" s="1">
        <f t="shared" si="11"/>
        <v>-0.38893049621030235</v>
      </c>
      <c r="H119" s="18">
        <v>-0.5</v>
      </c>
      <c r="J119" s="18">
        <v>0.5</v>
      </c>
      <c r="K119" s="18">
        <v>-2</v>
      </c>
      <c r="L119" s="18">
        <v>1</v>
      </c>
      <c r="M119" s="18">
        <v>1.5</v>
      </c>
      <c r="N119" s="18">
        <v>2</v>
      </c>
      <c r="O119" s="19">
        <f t="shared" si="12"/>
        <v>-1</v>
      </c>
      <c r="P119" s="19">
        <v>-0.5</v>
      </c>
      <c r="Q119" s="19">
        <v>-4</v>
      </c>
      <c r="R119" s="19">
        <v>1</v>
      </c>
      <c r="S119" s="19">
        <v>0.5</v>
      </c>
      <c r="T119" s="19">
        <v>2.5</v>
      </c>
    </row>
    <row r="120" spans="1:20" x14ac:dyDescent="0.25">
      <c r="A120" s="38">
        <v>44053</v>
      </c>
      <c r="B120" s="29">
        <v>0</v>
      </c>
      <c r="C120" s="42">
        <f t="shared" si="13"/>
        <v>0</v>
      </c>
      <c r="D120" s="2">
        <f t="shared" si="8"/>
        <v>1.257374269005848</v>
      </c>
      <c r="E120" s="2">
        <f t="shared" si="9"/>
        <v>2.5798292465687851</v>
      </c>
      <c r="F120" s="2">
        <f t="shared" si="10"/>
        <v>-1.257374269005848</v>
      </c>
      <c r="G120" s="1">
        <f t="shared" si="11"/>
        <v>-0.48738662478463496</v>
      </c>
      <c r="H120" s="18">
        <v>-0.5</v>
      </c>
      <c r="J120" s="18">
        <v>0.5</v>
      </c>
      <c r="K120" s="18">
        <v>-2</v>
      </c>
      <c r="L120" s="18">
        <v>1</v>
      </c>
      <c r="M120" s="18">
        <v>1.5</v>
      </c>
      <c r="N120" s="18">
        <v>2</v>
      </c>
      <c r="O120" s="19">
        <f t="shared" si="12"/>
        <v>-1</v>
      </c>
      <c r="P120" s="19">
        <v>-0.5</v>
      </c>
      <c r="Q120" s="19">
        <v>-4</v>
      </c>
      <c r="R120" s="19">
        <v>1</v>
      </c>
      <c r="S120" s="19">
        <v>0.5</v>
      </c>
      <c r="T120" s="19">
        <v>2.5</v>
      </c>
    </row>
    <row r="121" spans="1:20" x14ac:dyDescent="0.25">
      <c r="A121" s="39">
        <v>44084</v>
      </c>
      <c r="B121" s="29">
        <v>0</v>
      </c>
      <c r="C121" s="42">
        <f t="shared" si="13"/>
        <v>0</v>
      </c>
      <c r="D121" s="2">
        <f t="shared" si="8"/>
        <v>1.257374269005848</v>
      </c>
      <c r="E121" s="2">
        <f t="shared" si="9"/>
        <v>2.5798292465687851</v>
      </c>
      <c r="F121" s="2">
        <f t="shared" si="10"/>
        <v>-1.257374269005848</v>
      </c>
      <c r="G121" s="1">
        <f t="shared" si="11"/>
        <v>-0.48738662478463496</v>
      </c>
      <c r="H121" s="18">
        <v>-0.5</v>
      </c>
      <c r="J121" s="18">
        <v>0.5</v>
      </c>
      <c r="K121" s="18">
        <v>-2</v>
      </c>
      <c r="L121" s="18">
        <v>1</v>
      </c>
      <c r="M121" s="18">
        <v>1.5</v>
      </c>
      <c r="N121" s="18">
        <v>2</v>
      </c>
      <c r="O121" s="19">
        <f t="shared" si="12"/>
        <v>-1</v>
      </c>
      <c r="P121" s="19">
        <v>-0.5</v>
      </c>
      <c r="Q121" s="19">
        <v>-4</v>
      </c>
      <c r="R121" s="19">
        <v>1</v>
      </c>
      <c r="S121" s="19">
        <v>0.5</v>
      </c>
      <c r="T121" s="19">
        <v>2.5</v>
      </c>
    </row>
    <row r="122" spans="1:20" x14ac:dyDescent="0.25">
      <c r="A122" s="38">
        <v>44114</v>
      </c>
      <c r="B122" s="29">
        <v>0.02</v>
      </c>
      <c r="C122" s="42">
        <f t="shared" si="13"/>
        <v>0.50800000000000001</v>
      </c>
      <c r="D122" s="2">
        <f t="shared" si="8"/>
        <v>1.257374269005848</v>
      </c>
      <c r="E122" s="2">
        <f t="shared" si="9"/>
        <v>2.5798292465687851</v>
      </c>
      <c r="F122" s="2">
        <f t="shared" si="10"/>
        <v>-0.74937426900584803</v>
      </c>
      <c r="G122" s="1">
        <f t="shared" si="11"/>
        <v>-0.29047436763596973</v>
      </c>
      <c r="H122" s="18">
        <v>-0.5</v>
      </c>
      <c r="J122" s="18">
        <v>0.5</v>
      </c>
      <c r="K122" s="18">
        <v>-2</v>
      </c>
      <c r="L122" s="18">
        <v>1</v>
      </c>
      <c r="M122" s="18">
        <v>1.5</v>
      </c>
      <c r="N122" s="18">
        <v>2</v>
      </c>
      <c r="O122" s="19">
        <f t="shared" si="12"/>
        <v>-1</v>
      </c>
      <c r="P122" s="19">
        <v>-0.5</v>
      </c>
      <c r="Q122" s="19">
        <v>-4</v>
      </c>
      <c r="R122" s="19">
        <v>1</v>
      </c>
      <c r="S122" s="19">
        <v>0.5</v>
      </c>
      <c r="T122" s="19">
        <v>2.5</v>
      </c>
    </row>
    <row r="123" spans="1:20" x14ac:dyDescent="0.25">
      <c r="A123" s="38">
        <v>44145</v>
      </c>
      <c r="B123" s="29">
        <v>0</v>
      </c>
      <c r="C123" s="42">
        <f t="shared" si="13"/>
        <v>0</v>
      </c>
      <c r="D123" s="2">
        <f t="shared" si="8"/>
        <v>1.257374269005848</v>
      </c>
      <c r="E123" s="2">
        <f t="shared" si="9"/>
        <v>2.5798292465687851</v>
      </c>
      <c r="F123" s="2">
        <f t="shared" si="10"/>
        <v>-1.257374269005848</v>
      </c>
      <c r="G123" s="1">
        <f t="shared" si="11"/>
        <v>-0.48738662478463496</v>
      </c>
      <c r="H123" s="18">
        <v>-0.5</v>
      </c>
      <c r="J123" s="18">
        <v>0.5</v>
      </c>
      <c r="K123" s="18">
        <v>-2</v>
      </c>
      <c r="L123" s="18">
        <v>1</v>
      </c>
      <c r="M123" s="18">
        <v>1.5</v>
      </c>
      <c r="N123" s="18">
        <v>2</v>
      </c>
      <c r="O123" s="19">
        <f t="shared" si="12"/>
        <v>-1</v>
      </c>
      <c r="P123" s="19">
        <v>-0.5</v>
      </c>
      <c r="Q123" s="19">
        <v>-4</v>
      </c>
      <c r="R123" s="19">
        <v>1</v>
      </c>
      <c r="S123" s="19">
        <v>0.5</v>
      </c>
      <c r="T123" s="19">
        <v>2.5</v>
      </c>
    </row>
    <row r="124" spans="1:20" x14ac:dyDescent="0.25">
      <c r="A124" s="38">
        <v>44175</v>
      </c>
      <c r="B124" s="29">
        <v>0.01</v>
      </c>
      <c r="C124" s="42">
        <f t="shared" si="13"/>
        <v>0.254</v>
      </c>
      <c r="D124" s="2">
        <f t="shared" si="8"/>
        <v>1.257374269005848</v>
      </c>
      <c r="E124" s="2">
        <f t="shared" si="9"/>
        <v>2.5798292465687851</v>
      </c>
      <c r="F124" s="2">
        <f t="shared" si="10"/>
        <v>-1.003374269005848</v>
      </c>
      <c r="G124" s="1">
        <f t="shared" si="11"/>
        <v>-0.38893049621030235</v>
      </c>
      <c r="H124" s="18">
        <v>-0.5</v>
      </c>
      <c r="J124" s="18">
        <v>0.5</v>
      </c>
      <c r="K124" s="18">
        <v>-2</v>
      </c>
      <c r="L124" s="18">
        <v>1</v>
      </c>
      <c r="M124" s="18">
        <v>1.5</v>
      </c>
      <c r="N124" s="18">
        <v>2</v>
      </c>
      <c r="O124" s="19">
        <f t="shared" si="12"/>
        <v>-1</v>
      </c>
      <c r="P124" s="19">
        <v>-0.5</v>
      </c>
      <c r="Q124" s="19">
        <v>-4</v>
      </c>
      <c r="R124" s="19">
        <v>1</v>
      </c>
      <c r="S124" s="19">
        <v>0.5</v>
      </c>
      <c r="T124" s="19">
        <v>2.5</v>
      </c>
    </row>
    <row r="125" spans="1:20" x14ac:dyDescent="0.25">
      <c r="A125" s="38">
        <v>44206</v>
      </c>
      <c r="B125" s="29">
        <v>0.15</v>
      </c>
      <c r="C125" s="42">
        <f t="shared" si="13"/>
        <v>3.8099999999999996</v>
      </c>
      <c r="D125" s="2">
        <f t="shared" si="8"/>
        <v>1.257374269005848</v>
      </c>
      <c r="E125" s="2">
        <f t="shared" si="9"/>
        <v>2.5798292465687851</v>
      </c>
      <c r="F125" s="2">
        <f t="shared" si="10"/>
        <v>2.5526257309941514</v>
      </c>
      <c r="G125" s="1">
        <f t="shared" si="11"/>
        <v>0.98945530383035429</v>
      </c>
      <c r="H125" s="18">
        <v>-0.5</v>
      </c>
      <c r="J125" s="18">
        <v>0.5</v>
      </c>
      <c r="K125" s="18">
        <v>-2</v>
      </c>
      <c r="L125" s="18">
        <v>1</v>
      </c>
      <c r="M125" s="18">
        <v>1.5</v>
      </c>
      <c r="N125" s="18">
        <v>2</v>
      </c>
      <c r="O125" s="19">
        <f t="shared" si="12"/>
        <v>-1</v>
      </c>
      <c r="P125" s="19">
        <v>-0.5</v>
      </c>
      <c r="Q125" s="19">
        <v>-4</v>
      </c>
      <c r="R125" s="19">
        <v>1</v>
      </c>
      <c r="S125" s="19">
        <v>0.5</v>
      </c>
      <c r="T125" s="19">
        <v>2.5</v>
      </c>
    </row>
    <row r="126" spans="1:20" x14ac:dyDescent="0.25">
      <c r="A126" s="39">
        <v>44237</v>
      </c>
      <c r="B126" s="29">
        <v>0.09</v>
      </c>
      <c r="C126" s="42">
        <f t="shared" si="13"/>
        <v>2.2859999999999996</v>
      </c>
      <c r="D126" s="2">
        <f t="shared" si="8"/>
        <v>1.257374269005848</v>
      </c>
      <c r="E126" s="2">
        <f t="shared" si="9"/>
        <v>2.5798292465687851</v>
      </c>
      <c r="F126" s="2">
        <f t="shared" si="10"/>
        <v>1.0286257309941516</v>
      </c>
      <c r="G126" s="1">
        <f t="shared" si="11"/>
        <v>0.39871853238435861</v>
      </c>
      <c r="H126" s="18">
        <v>-0.5</v>
      </c>
      <c r="J126" s="18">
        <v>0.5</v>
      </c>
      <c r="K126" s="18">
        <v>-2</v>
      </c>
      <c r="L126" s="18">
        <v>1</v>
      </c>
      <c r="M126" s="18">
        <v>1.5</v>
      </c>
      <c r="N126" s="18">
        <v>2</v>
      </c>
      <c r="O126" s="19">
        <f t="shared" si="12"/>
        <v>-1</v>
      </c>
      <c r="P126" s="19">
        <v>-0.5</v>
      </c>
      <c r="Q126" s="19">
        <v>-4</v>
      </c>
      <c r="R126" s="19">
        <v>1</v>
      </c>
      <c r="S126" s="19">
        <v>0.5</v>
      </c>
      <c r="T126" s="19">
        <v>2.5</v>
      </c>
    </row>
    <row r="127" spans="1:20" x14ac:dyDescent="0.25">
      <c r="A127" s="38">
        <v>44265</v>
      </c>
      <c r="B127" s="29">
        <v>0</v>
      </c>
      <c r="C127" s="42">
        <f t="shared" si="13"/>
        <v>0</v>
      </c>
      <c r="D127" s="2">
        <f t="shared" si="8"/>
        <v>1.257374269005848</v>
      </c>
      <c r="E127" s="2">
        <f t="shared" si="9"/>
        <v>2.5798292465687851</v>
      </c>
      <c r="F127" s="2">
        <f t="shared" si="10"/>
        <v>-1.257374269005848</v>
      </c>
      <c r="G127" s="1">
        <f t="shared" si="11"/>
        <v>-0.48738662478463496</v>
      </c>
      <c r="H127" s="18">
        <v>-0.5</v>
      </c>
      <c r="J127" s="18">
        <v>0.5</v>
      </c>
      <c r="K127" s="18">
        <v>-2</v>
      </c>
      <c r="L127" s="18">
        <v>1</v>
      </c>
      <c r="M127" s="18">
        <v>1.5</v>
      </c>
      <c r="N127" s="18">
        <v>2</v>
      </c>
      <c r="O127" s="19">
        <f t="shared" si="12"/>
        <v>-1</v>
      </c>
      <c r="P127" s="19">
        <v>-0.5</v>
      </c>
      <c r="Q127" s="19">
        <v>-4</v>
      </c>
      <c r="R127" s="19">
        <v>1</v>
      </c>
      <c r="S127" s="19">
        <v>0.5</v>
      </c>
      <c r="T127" s="19">
        <v>2.5</v>
      </c>
    </row>
    <row r="128" spans="1:20" x14ac:dyDescent="0.25">
      <c r="A128" s="38">
        <v>44296</v>
      </c>
      <c r="B128" s="29">
        <v>0</v>
      </c>
      <c r="C128" s="42">
        <f t="shared" si="13"/>
        <v>0</v>
      </c>
      <c r="D128" s="2">
        <f t="shared" si="8"/>
        <v>1.257374269005848</v>
      </c>
      <c r="E128" s="2">
        <f t="shared" si="9"/>
        <v>2.5798292465687851</v>
      </c>
      <c r="F128" s="2">
        <f t="shared" si="10"/>
        <v>-1.257374269005848</v>
      </c>
      <c r="G128" s="1">
        <f t="shared" si="11"/>
        <v>-0.48738662478463496</v>
      </c>
      <c r="H128" s="18">
        <v>-0.5</v>
      </c>
      <c r="J128" s="18">
        <v>0.5</v>
      </c>
      <c r="K128" s="18">
        <v>-2</v>
      </c>
      <c r="L128" s="18">
        <v>1</v>
      </c>
      <c r="M128" s="18">
        <v>1.5</v>
      </c>
      <c r="N128" s="18">
        <v>2</v>
      </c>
      <c r="O128" s="19">
        <f t="shared" si="12"/>
        <v>-1</v>
      </c>
      <c r="P128" s="19">
        <v>-0.5</v>
      </c>
      <c r="Q128" s="19">
        <v>-4</v>
      </c>
      <c r="R128" s="19">
        <v>1</v>
      </c>
      <c r="S128" s="19">
        <v>0.5</v>
      </c>
      <c r="T128" s="19">
        <v>2.5</v>
      </c>
    </row>
    <row r="129" spans="1:20" x14ac:dyDescent="0.25">
      <c r="A129" s="38">
        <v>44326</v>
      </c>
      <c r="B129" s="29">
        <v>0.01</v>
      </c>
      <c r="C129" s="42">
        <f t="shared" si="13"/>
        <v>0.254</v>
      </c>
      <c r="D129" s="2">
        <f t="shared" si="8"/>
        <v>1.257374269005848</v>
      </c>
      <c r="E129" s="2">
        <f t="shared" si="9"/>
        <v>2.5798292465687851</v>
      </c>
      <c r="F129" s="2">
        <f t="shared" si="10"/>
        <v>-1.003374269005848</v>
      </c>
      <c r="G129" s="1">
        <f t="shared" si="11"/>
        <v>-0.38893049621030235</v>
      </c>
      <c r="H129" s="18">
        <v>-0.5</v>
      </c>
      <c r="J129" s="18">
        <v>0.5</v>
      </c>
      <c r="K129" s="18">
        <v>-2</v>
      </c>
      <c r="L129" s="18">
        <v>1</v>
      </c>
      <c r="M129" s="18">
        <v>1.5</v>
      </c>
      <c r="N129" s="18">
        <v>2</v>
      </c>
      <c r="O129" s="19">
        <f t="shared" si="12"/>
        <v>-1</v>
      </c>
      <c r="P129" s="19">
        <v>-0.5</v>
      </c>
      <c r="Q129" s="19">
        <v>-4</v>
      </c>
      <c r="R129" s="19">
        <v>1</v>
      </c>
      <c r="S129" s="19">
        <v>0.5</v>
      </c>
      <c r="T129" s="19">
        <v>2.5</v>
      </c>
    </row>
    <row r="130" spans="1:20" x14ac:dyDescent="0.25">
      <c r="A130" s="38">
        <v>44357</v>
      </c>
      <c r="B130" s="29">
        <v>0.02</v>
      </c>
      <c r="C130" s="42">
        <f t="shared" si="13"/>
        <v>0.50800000000000001</v>
      </c>
      <c r="D130" s="2">
        <f t="shared" si="8"/>
        <v>1.257374269005848</v>
      </c>
      <c r="E130" s="2">
        <f t="shared" si="9"/>
        <v>2.5798292465687851</v>
      </c>
      <c r="F130" s="2">
        <f t="shared" si="10"/>
        <v>-0.74937426900584803</v>
      </c>
      <c r="G130" s="1">
        <f t="shared" si="11"/>
        <v>-0.29047436763596973</v>
      </c>
      <c r="H130" s="18">
        <v>-0.5</v>
      </c>
      <c r="J130" s="18">
        <v>0.5</v>
      </c>
      <c r="K130" s="18">
        <v>-2</v>
      </c>
      <c r="L130" s="18">
        <v>1</v>
      </c>
      <c r="M130" s="18">
        <v>1.5</v>
      </c>
      <c r="N130" s="18">
        <v>2</v>
      </c>
      <c r="O130" s="19">
        <f t="shared" si="12"/>
        <v>-1</v>
      </c>
      <c r="P130" s="19">
        <v>-0.5</v>
      </c>
      <c r="Q130" s="19">
        <v>-4</v>
      </c>
      <c r="R130" s="19">
        <v>1</v>
      </c>
      <c r="S130" s="19">
        <v>0.5</v>
      </c>
      <c r="T130" s="19">
        <v>2.5</v>
      </c>
    </row>
    <row r="131" spans="1:20" x14ac:dyDescent="0.25">
      <c r="A131" s="38">
        <v>44387</v>
      </c>
      <c r="B131" s="29">
        <v>0.01</v>
      </c>
      <c r="C131" s="42">
        <f t="shared" si="13"/>
        <v>0.254</v>
      </c>
      <c r="D131" s="2">
        <f t="shared" si="8"/>
        <v>1.257374269005848</v>
      </c>
      <c r="E131" s="2">
        <f t="shared" si="9"/>
        <v>2.5798292465687851</v>
      </c>
      <c r="F131" s="2">
        <f t="shared" si="10"/>
        <v>-1.003374269005848</v>
      </c>
      <c r="G131" s="1">
        <f t="shared" si="11"/>
        <v>-0.38893049621030235</v>
      </c>
      <c r="H131" s="18">
        <v>-0.5</v>
      </c>
      <c r="J131" s="18">
        <v>0.5</v>
      </c>
      <c r="K131" s="18">
        <v>-2</v>
      </c>
      <c r="L131" s="18">
        <v>1</v>
      </c>
      <c r="M131" s="18">
        <v>1.5</v>
      </c>
      <c r="N131" s="18">
        <v>2</v>
      </c>
      <c r="O131" s="19">
        <f t="shared" si="12"/>
        <v>-1</v>
      </c>
      <c r="P131" s="19">
        <v>-0.5</v>
      </c>
      <c r="Q131" s="19">
        <v>-4</v>
      </c>
      <c r="R131" s="19">
        <v>1</v>
      </c>
      <c r="S131" s="19">
        <v>0.5</v>
      </c>
      <c r="T131" s="19">
        <v>2.5</v>
      </c>
    </row>
    <row r="132" spans="1:20" x14ac:dyDescent="0.25">
      <c r="A132" s="38">
        <v>44418</v>
      </c>
      <c r="B132" s="29">
        <v>0.01</v>
      </c>
      <c r="C132" s="42">
        <f t="shared" si="13"/>
        <v>0.254</v>
      </c>
      <c r="D132" s="2">
        <f t="shared" si="8"/>
        <v>1.257374269005848</v>
      </c>
      <c r="E132" s="2">
        <f t="shared" si="9"/>
        <v>2.5798292465687851</v>
      </c>
      <c r="F132" s="2">
        <f t="shared" si="10"/>
        <v>-1.003374269005848</v>
      </c>
      <c r="G132" s="1">
        <f t="shared" si="11"/>
        <v>-0.38893049621030235</v>
      </c>
      <c r="H132" s="18">
        <v>-0.5</v>
      </c>
      <c r="J132" s="18">
        <v>0.5</v>
      </c>
      <c r="K132" s="18">
        <v>-2</v>
      </c>
      <c r="L132" s="18">
        <v>1</v>
      </c>
      <c r="M132" s="18">
        <v>1.5</v>
      </c>
      <c r="N132" s="18">
        <v>2</v>
      </c>
      <c r="O132" s="19">
        <f t="shared" si="12"/>
        <v>-1</v>
      </c>
      <c r="P132" s="19">
        <v>-0.5</v>
      </c>
      <c r="Q132" s="19">
        <v>-4</v>
      </c>
      <c r="R132" s="19">
        <v>1</v>
      </c>
      <c r="S132" s="19">
        <v>0.5</v>
      </c>
      <c r="T132" s="19">
        <v>2.5</v>
      </c>
    </row>
    <row r="133" spans="1:20" x14ac:dyDescent="0.25">
      <c r="A133" s="38">
        <v>44449</v>
      </c>
      <c r="B133" s="29">
        <v>0</v>
      </c>
      <c r="C133" s="42">
        <f t="shared" ref="C133:C164" si="14">B133*$D$1</f>
        <v>0</v>
      </c>
      <c r="D133" s="2">
        <f t="shared" si="8"/>
        <v>1.257374269005848</v>
      </c>
      <c r="E133" s="2">
        <f t="shared" si="9"/>
        <v>2.5798292465687851</v>
      </c>
      <c r="F133" s="2">
        <f t="shared" si="10"/>
        <v>-1.257374269005848</v>
      </c>
      <c r="G133" s="1">
        <f t="shared" si="11"/>
        <v>-0.48738662478463496</v>
      </c>
      <c r="H133" s="18">
        <v>-0.5</v>
      </c>
      <c r="J133" s="18">
        <v>0.5</v>
      </c>
      <c r="K133" s="18">
        <v>-2</v>
      </c>
      <c r="L133" s="18">
        <v>1</v>
      </c>
      <c r="M133" s="18">
        <v>1.5</v>
      </c>
      <c r="N133" s="18">
        <v>2</v>
      </c>
      <c r="O133" s="19">
        <f t="shared" si="12"/>
        <v>-1</v>
      </c>
      <c r="P133" s="19">
        <v>-0.5</v>
      </c>
      <c r="Q133" s="19">
        <v>-4</v>
      </c>
      <c r="R133" s="19">
        <v>1</v>
      </c>
      <c r="S133" s="19">
        <v>0.5</v>
      </c>
      <c r="T133" s="19">
        <v>2.5</v>
      </c>
    </row>
    <row r="134" spans="1:20" x14ac:dyDescent="0.25">
      <c r="A134" s="38">
        <v>44479</v>
      </c>
      <c r="B134" s="29">
        <v>0.01</v>
      </c>
      <c r="C134" s="42">
        <f t="shared" si="14"/>
        <v>0.254</v>
      </c>
      <c r="D134" s="2">
        <f t="shared" ref="D134:D175" si="15">AVERAGE($C$5:$C$175)</f>
        <v>1.257374269005848</v>
      </c>
      <c r="E134" s="2">
        <f t="shared" ref="E134:E175" si="16">_xlfn.STDEV.S($C$5:$C$175)</f>
        <v>2.5798292465687851</v>
      </c>
      <c r="F134" s="2">
        <f t="shared" ref="F134:F166" si="17">C134-D134</f>
        <v>-1.003374269005848</v>
      </c>
      <c r="G134" s="1">
        <f t="shared" ref="G134:G145" si="18">F134/E134</f>
        <v>-0.38893049621030235</v>
      </c>
      <c r="H134" s="18">
        <v>-0.5</v>
      </c>
      <c r="J134" s="18">
        <v>0.5</v>
      </c>
      <c r="K134" s="18">
        <v>-2</v>
      </c>
      <c r="L134" s="18">
        <v>1</v>
      </c>
      <c r="M134" s="18">
        <v>1.5</v>
      </c>
      <c r="N134" s="18">
        <v>2</v>
      </c>
      <c r="O134" s="19">
        <f t="shared" ref="O134:O175" si="19">-1</f>
        <v>-1</v>
      </c>
      <c r="P134" s="19">
        <v>-0.5</v>
      </c>
      <c r="Q134" s="19">
        <v>-4</v>
      </c>
      <c r="R134" s="19">
        <v>1</v>
      </c>
      <c r="S134" s="19">
        <v>0.5</v>
      </c>
      <c r="T134" s="19">
        <v>2.5</v>
      </c>
    </row>
    <row r="135" spans="1:20" x14ac:dyDescent="0.25">
      <c r="A135" s="38">
        <v>44510</v>
      </c>
      <c r="B135" s="29">
        <v>0.01</v>
      </c>
      <c r="C135" s="42">
        <f t="shared" si="14"/>
        <v>0.254</v>
      </c>
      <c r="D135" s="2">
        <f t="shared" si="15"/>
        <v>1.257374269005848</v>
      </c>
      <c r="E135" s="2">
        <f t="shared" si="16"/>
        <v>2.5798292465687851</v>
      </c>
      <c r="F135" s="2">
        <f t="shared" si="17"/>
        <v>-1.003374269005848</v>
      </c>
      <c r="G135" s="1">
        <f t="shared" si="18"/>
        <v>-0.38893049621030235</v>
      </c>
      <c r="H135" s="18">
        <v>-0.5</v>
      </c>
      <c r="J135" s="18">
        <v>0.5</v>
      </c>
      <c r="K135" s="18">
        <v>-2</v>
      </c>
      <c r="L135" s="18">
        <v>1</v>
      </c>
      <c r="M135" s="18">
        <v>1.5</v>
      </c>
      <c r="N135" s="18">
        <v>2</v>
      </c>
      <c r="O135" s="19">
        <f t="shared" si="19"/>
        <v>-1</v>
      </c>
      <c r="P135" s="19">
        <v>-0.5</v>
      </c>
      <c r="Q135" s="19">
        <v>-4</v>
      </c>
      <c r="R135" s="19">
        <v>1</v>
      </c>
      <c r="S135" s="19">
        <v>0.5</v>
      </c>
      <c r="T135" s="19">
        <v>2.5</v>
      </c>
    </row>
    <row r="136" spans="1:20" x14ac:dyDescent="0.25">
      <c r="A136" s="38">
        <v>44540</v>
      </c>
      <c r="B136" s="29">
        <v>0.02</v>
      </c>
      <c r="C136" s="42">
        <f t="shared" si="14"/>
        <v>0.50800000000000001</v>
      </c>
      <c r="D136" s="2">
        <f t="shared" si="15"/>
        <v>1.257374269005848</v>
      </c>
      <c r="E136" s="2">
        <f t="shared" si="16"/>
        <v>2.5798292465687851</v>
      </c>
      <c r="F136" s="2">
        <f t="shared" si="17"/>
        <v>-0.74937426900584803</v>
      </c>
      <c r="G136" s="1">
        <f t="shared" si="18"/>
        <v>-0.29047436763596973</v>
      </c>
      <c r="H136" s="18">
        <v>-0.5</v>
      </c>
      <c r="J136" s="18">
        <v>0.5</v>
      </c>
      <c r="K136" s="18">
        <v>-2</v>
      </c>
      <c r="L136" s="18">
        <v>1</v>
      </c>
      <c r="M136" s="18">
        <v>1.5</v>
      </c>
      <c r="N136" s="18">
        <v>2</v>
      </c>
      <c r="O136" s="19">
        <f t="shared" si="19"/>
        <v>-1</v>
      </c>
      <c r="P136" s="19">
        <v>-0.5</v>
      </c>
      <c r="Q136" s="19">
        <v>-4</v>
      </c>
      <c r="R136" s="19">
        <v>1</v>
      </c>
      <c r="S136" s="19">
        <v>0.5</v>
      </c>
      <c r="T136" s="19">
        <v>2.5</v>
      </c>
    </row>
    <row r="137" spans="1:20" x14ac:dyDescent="0.25">
      <c r="A137" s="38">
        <v>44571</v>
      </c>
      <c r="B137" s="29">
        <v>0.08</v>
      </c>
      <c r="C137" s="42">
        <f t="shared" si="14"/>
        <v>2.032</v>
      </c>
      <c r="D137" s="2">
        <f t="shared" si="15"/>
        <v>1.257374269005848</v>
      </c>
      <c r="E137" s="2">
        <f t="shared" si="16"/>
        <v>2.5798292465687851</v>
      </c>
      <c r="F137" s="2">
        <f t="shared" si="17"/>
        <v>0.774625730994152</v>
      </c>
      <c r="G137" s="1">
        <f t="shared" si="18"/>
        <v>0.30026240381002611</v>
      </c>
      <c r="H137" s="18">
        <v>-0.5</v>
      </c>
      <c r="J137" s="18">
        <v>0.5</v>
      </c>
      <c r="K137" s="18">
        <v>-2</v>
      </c>
      <c r="L137" s="18">
        <v>1</v>
      </c>
      <c r="M137" s="18">
        <v>1.5</v>
      </c>
      <c r="N137" s="18">
        <v>2</v>
      </c>
      <c r="O137" s="19">
        <f t="shared" si="19"/>
        <v>-1</v>
      </c>
      <c r="P137" s="19">
        <v>-0.5</v>
      </c>
      <c r="Q137" s="19">
        <v>-4</v>
      </c>
      <c r="R137" s="19">
        <v>1</v>
      </c>
      <c r="S137" s="19">
        <v>0.5</v>
      </c>
      <c r="T137" s="19">
        <v>2.5</v>
      </c>
    </row>
    <row r="138" spans="1:20" x14ac:dyDescent="0.25">
      <c r="A138" s="38">
        <v>44602</v>
      </c>
      <c r="B138" s="29">
        <v>0</v>
      </c>
      <c r="C138" s="42">
        <f t="shared" si="14"/>
        <v>0</v>
      </c>
      <c r="D138" s="2">
        <f t="shared" si="15"/>
        <v>1.257374269005848</v>
      </c>
      <c r="E138" s="2">
        <f t="shared" si="16"/>
        <v>2.5798292465687851</v>
      </c>
      <c r="F138" s="2">
        <f t="shared" si="17"/>
        <v>-1.257374269005848</v>
      </c>
      <c r="G138" s="1">
        <f t="shared" si="18"/>
        <v>-0.48738662478463496</v>
      </c>
      <c r="H138" s="18">
        <v>-0.5</v>
      </c>
      <c r="J138" s="18">
        <v>0.5</v>
      </c>
      <c r="K138" s="18">
        <v>-2</v>
      </c>
      <c r="L138" s="18">
        <v>1</v>
      </c>
      <c r="M138" s="18">
        <v>1.5</v>
      </c>
      <c r="N138" s="18">
        <v>2</v>
      </c>
      <c r="O138" s="19">
        <f t="shared" si="19"/>
        <v>-1</v>
      </c>
      <c r="P138" s="19">
        <v>-0.5</v>
      </c>
      <c r="Q138" s="19">
        <v>-4</v>
      </c>
      <c r="R138" s="19">
        <v>1</v>
      </c>
      <c r="S138" s="19">
        <v>0.5</v>
      </c>
      <c r="T138" s="19">
        <v>2.5</v>
      </c>
    </row>
    <row r="139" spans="1:20" x14ac:dyDescent="0.25">
      <c r="A139" s="38">
        <v>44630</v>
      </c>
      <c r="B139" s="29">
        <v>0.03</v>
      </c>
      <c r="C139" s="42">
        <f t="shared" si="14"/>
        <v>0.7619999999999999</v>
      </c>
      <c r="D139" s="2">
        <f t="shared" si="15"/>
        <v>1.257374269005848</v>
      </c>
      <c r="E139" s="2">
        <f t="shared" si="16"/>
        <v>2.5798292465687851</v>
      </c>
      <c r="F139" s="2">
        <f t="shared" si="17"/>
        <v>-0.49537426900584813</v>
      </c>
      <c r="G139" s="1">
        <f t="shared" si="18"/>
        <v>-0.19201823906163712</v>
      </c>
      <c r="H139" s="18">
        <v>-0.5</v>
      </c>
      <c r="J139" s="18">
        <v>0.5</v>
      </c>
      <c r="K139" s="18">
        <v>-2</v>
      </c>
      <c r="L139" s="18">
        <v>1</v>
      </c>
      <c r="M139" s="18">
        <v>1.5</v>
      </c>
      <c r="N139" s="18">
        <v>2</v>
      </c>
      <c r="O139" s="19">
        <f t="shared" si="19"/>
        <v>-1</v>
      </c>
      <c r="P139" s="19">
        <v>-0.5</v>
      </c>
      <c r="Q139" s="19">
        <v>-4</v>
      </c>
      <c r="R139" s="19">
        <v>1</v>
      </c>
      <c r="S139" s="19">
        <v>0.5</v>
      </c>
      <c r="T139" s="19">
        <v>2.5</v>
      </c>
    </row>
    <row r="140" spans="1:20" x14ac:dyDescent="0.25">
      <c r="A140" s="38">
        <v>44661</v>
      </c>
      <c r="B140" s="29">
        <v>0.04</v>
      </c>
      <c r="C140" s="42">
        <f t="shared" si="14"/>
        <v>1.016</v>
      </c>
      <c r="D140" s="2">
        <f t="shared" si="15"/>
        <v>1.257374269005848</v>
      </c>
      <c r="E140" s="2">
        <f t="shared" si="16"/>
        <v>2.5798292465687851</v>
      </c>
      <c r="F140" s="2">
        <f t="shared" si="17"/>
        <v>-0.24137426900584802</v>
      </c>
      <c r="G140" s="1">
        <f t="shared" si="18"/>
        <v>-9.3562110487304437E-2</v>
      </c>
      <c r="H140" s="18">
        <v>-0.5</v>
      </c>
      <c r="J140" s="18">
        <v>0.5</v>
      </c>
      <c r="K140" s="18">
        <v>-2</v>
      </c>
      <c r="L140" s="18">
        <v>1</v>
      </c>
      <c r="M140" s="18">
        <v>1.5</v>
      </c>
      <c r="N140" s="18">
        <v>2</v>
      </c>
      <c r="O140" s="19">
        <f t="shared" si="19"/>
        <v>-1</v>
      </c>
      <c r="P140" s="19">
        <v>-0.5</v>
      </c>
      <c r="Q140" s="19">
        <v>-4</v>
      </c>
      <c r="R140" s="19">
        <v>1</v>
      </c>
      <c r="S140" s="19">
        <v>0.5</v>
      </c>
      <c r="T140" s="19">
        <v>2.5</v>
      </c>
    </row>
    <row r="141" spans="1:20" x14ac:dyDescent="0.25">
      <c r="A141" s="38">
        <v>44691</v>
      </c>
      <c r="B141" s="29">
        <v>0.03</v>
      </c>
      <c r="C141" s="42">
        <f t="shared" si="14"/>
        <v>0.7619999999999999</v>
      </c>
      <c r="D141" s="2">
        <f t="shared" si="15"/>
        <v>1.257374269005848</v>
      </c>
      <c r="E141" s="2">
        <f t="shared" si="16"/>
        <v>2.5798292465687851</v>
      </c>
      <c r="F141" s="2">
        <f t="shared" si="17"/>
        <v>-0.49537426900584813</v>
      </c>
      <c r="G141" s="1">
        <f t="shared" si="18"/>
        <v>-0.19201823906163712</v>
      </c>
      <c r="H141" s="18">
        <v>-0.5</v>
      </c>
      <c r="J141" s="18">
        <v>0.5</v>
      </c>
      <c r="K141" s="18">
        <v>-2</v>
      </c>
      <c r="L141" s="18">
        <v>1</v>
      </c>
      <c r="M141" s="18">
        <v>1.5</v>
      </c>
      <c r="N141" s="18">
        <v>2</v>
      </c>
      <c r="O141" s="19">
        <f t="shared" si="19"/>
        <v>-1</v>
      </c>
      <c r="P141" s="19">
        <v>-0.5</v>
      </c>
      <c r="Q141" s="19">
        <v>-4</v>
      </c>
      <c r="R141" s="19">
        <v>1</v>
      </c>
      <c r="S141" s="19">
        <v>0.5</v>
      </c>
      <c r="T141" s="19">
        <v>2.5</v>
      </c>
    </row>
    <row r="142" spans="1:20" x14ac:dyDescent="0.25">
      <c r="A142" s="38">
        <v>44722</v>
      </c>
      <c r="B142" s="29">
        <v>0.02</v>
      </c>
      <c r="C142" s="42">
        <f t="shared" si="14"/>
        <v>0.50800000000000001</v>
      </c>
      <c r="D142" s="2">
        <f t="shared" si="15"/>
        <v>1.257374269005848</v>
      </c>
      <c r="E142" s="2">
        <f t="shared" si="16"/>
        <v>2.5798292465687851</v>
      </c>
      <c r="F142" s="2">
        <f t="shared" si="17"/>
        <v>-0.74937426900584803</v>
      </c>
      <c r="G142" s="1">
        <f t="shared" si="18"/>
        <v>-0.29047436763596973</v>
      </c>
      <c r="H142" s="18">
        <v>-0.5</v>
      </c>
      <c r="J142" s="18">
        <v>0.5</v>
      </c>
      <c r="K142" s="18">
        <v>-2</v>
      </c>
      <c r="L142" s="18">
        <v>1</v>
      </c>
      <c r="M142" s="18">
        <v>1.5</v>
      </c>
      <c r="N142" s="18">
        <v>2</v>
      </c>
      <c r="O142" s="19">
        <f t="shared" si="19"/>
        <v>-1</v>
      </c>
      <c r="P142" s="19">
        <v>-0.5</v>
      </c>
      <c r="Q142" s="19">
        <v>-4</v>
      </c>
      <c r="R142" s="19">
        <v>1</v>
      </c>
      <c r="S142" s="19">
        <v>0.5</v>
      </c>
      <c r="T142" s="19">
        <v>2.5</v>
      </c>
    </row>
    <row r="143" spans="1:20" x14ac:dyDescent="0.25">
      <c r="A143" s="38">
        <v>44752</v>
      </c>
      <c r="B143" s="29">
        <v>0.01</v>
      </c>
      <c r="C143" s="42">
        <f t="shared" si="14"/>
        <v>0.254</v>
      </c>
      <c r="D143" s="2">
        <f t="shared" si="15"/>
        <v>1.257374269005848</v>
      </c>
      <c r="E143" s="2">
        <f t="shared" si="16"/>
        <v>2.5798292465687851</v>
      </c>
      <c r="F143" s="2">
        <f t="shared" si="17"/>
        <v>-1.003374269005848</v>
      </c>
      <c r="G143" s="1">
        <f t="shared" si="18"/>
        <v>-0.38893049621030235</v>
      </c>
      <c r="H143" s="18">
        <v>-0.5</v>
      </c>
      <c r="J143" s="18">
        <v>0.5</v>
      </c>
      <c r="K143" s="18">
        <v>-2</v>
      </c>
      <c r="L143" s="18">
        <v>1</v>
      </c>
      <c r="M143" s="18">
        <v>1.5</v>
      </c>
      <c r="N143" s="18">
        <v>2</v>
      </c>
      <c r="O143" s="19">
        <f t="shared" si="19"/>
        <v>-1</v>
      </c>
      <c r="P143" s="19">
        <v>-0.5</v>
      </c>
      <c r="Q143" s="19">
        <v>-4</v>
      </c>
      <c r="R143" s="19">
        <v>1</v>
      </c>
      <c r="S143" s="19">
        <v>0.5</v>
      </c>
      <c r="T143" s="19">
        <v>2.5</v>
      </c>
    </row>
    <row r="144" spans="1:20" x14ac:dyDescent="0.25">
      <c r="A144" s="38">
        <v>44783</v>
      </c>
      <c r="B144" s="29">
        <v>0.01</v>
      </c>
      <c r="C144" s="42">
        <f t="shared" si="14"/>
        <v>0.254</v>
      </c>
      <c r="D144" s="2">
        <f t="shared" si="15"/>
        <v>1.257374269005848</v>
      </c>
      <c r="E144" s="2">
        <f t="shared" si="16"/>
        <v>2.5798292465687851</v>
      </c>
      <c r="F144" s="2">
        <f t="shared" si="17"/>
        <v>-1.003374269005848</v>
      </c>
      <c r="G144" s="1">
        <f t="shared" si="18"/>
        <v>-0.38893049621030235</v>
      </c>
      <c r="H144" s="18">
        <v>-0.5</v>
      </c>
      <c r="J144" s="18">
        <v>0.5</v>
      </c>
      <c r="K144" s="18">
        <v>-2</v>
      </c>
      <c r="L144" s="18">
        <v>1</v>
      </c>
      <c r="M144" s="18">
        <v>1.5</v>
      </c>
      <c r="N144" s="18">
        <v>2</v>
      </c>
      <c r="O144" s="19">
        <f t="shared" si="19"/>
        <v>-1</v>
      </c>
      <c r="P144" s="19">
        <v>-0.5</v>
      </c>
      <c r="Q144" s="19">
        <v>-4</v>
      </c>
      <c r="R144" s="19">
        <v>1</v>
      </c>
      <c r="S144" s="19">
        <v>0.5</v>
      </c>
      <c r="T144" s="19">
        <v>2.5</v>
      </c>
    </row>
    <row r="145" spans="1:20" x14ac:dyDescent="0.25">
      <c r="A145" s="38">
        <v>44814</v>
      </c>
      <c r="B145" s="29">
        <v>0.01</v>
      </c>
      <c r="C145" s="42">
        <f t="shared" si="14"/>
        <v>0.254</v>
      </c>
      <c r="D145" s="2">
        <f t="shared" si="15"/>
        <v>1.257374269005848</v>
      </c>
      <c r="E145" s="2">
        <f t="shared" si="16"/>
        <v>2.5798292465687851</v>
      </c>
      <c r="F145" s="2">
        <f t="shared" si="17"/>
        <v>-1.003374269005848</v>
      </c>
      <c r="G145" s="1">
        <f t="shared" si="18"/>
        <v>-0.38893049621030235</v>
      </c>
      <c r="H145" s="18">
        <v>-0.5</v>
      </c>
      <c r="J145" s="18">
        <v>0.5</v>
      </c>
      <c r="K145" s="18">
        <v>-2</v>
      </c>
      <c r="L145" s="18">
        <v>1</v>
      </c>
      <c r="M145" s="18">
        <v>1.5</v>
      </c>
      <c r="N145" s="18">
        <v>2</v>
      </c>
      <c r="O145" s="19">
        <f t="shared" si="19"/>
        <v>-1</v>
      </c>
      <c r="P145" s="19">
        <v>-0.5</v>
      </c>
      <c r="Q145" s="19">
        <v>-4</v>
      </c>
      <c r="R145" s="19">
        <v>1</v>
      </c>
      <c r="S145" s="19">
        <v>0.5</v>
      </c>
      <c r="T145" s="19">
        <v>2.5</v>
      </c>
    </row>
    <row r="146" spans="1:20" x14ac:dyDescent="0.25">
      <c r="A146" s="38">
        <v>44844</v>
      </c>
      <c r="B146" s="36">
        <v>0.05</v>
      </c>
      <c r="C146" s="42">
        <f t="shared" si="14"/>
        <v>1.27</v>
      </c>
      <c r="D146" s="2">
        <f t="shared" si="15"/>
        <v>1.257374269005848</v>
      </c>
      <c r="E146" s="2">
        <f t="shared" si="16"/>
        <v>2.5798292465687851</v>
      </c>
      <c r="F146" s="2">
        <f t="shared" si="17"/>
        <v>1.2625730994151985E-2</v>
      </c>
      <c r="G146" s="1">
        <f>F146/E146</f>
        <v>4.8940180870282067E-3</v>
      </c>
      <c r="H146" s="18">
        <v>-0.5</v>
      </c>
      <c r="J146" s="18">
        <v>0.5</v>
      </c>
      <c r="K146" s="18">
        <v>-2</v>
      </c>
      <c r="L146" s="18">
        <v>1</v>
      </c>
      <c r="M146" s="18">
        <v>1.5</v>
      </c>
      <c r="N146" s="18">
        <v>2</v>
      </c>
      <c r="O146" s="19">
        <f t="shared" si="19"/>
        <v>-1</v>
      </c>
      <c r="P146" s="19">
        <v>-0.5</v>
      </c>
      <c r="Q146" s="19">
        <v>-4</v>
      </c>
      <c r="R146" s="19">
        <v>1</v>
      </c>
      <c r="S146" s="19">
        <v>0.5</v>
      </c>
      <c r="T146" s="19">
        <v>2.5</v>
      </c>
    </row>
    <row r="147" spans="1:20" x14ac:dyDescent="0.25">
      <c r="A147" s="38">
        <v>44875</v>
      </c>
      <c r="B147" s="36">
        <v>0.19</v>
      </c>
      <c r="C147" s="42">
        <f t="shared" si="14"/>
        <v>4.8259999999999996</v>
      </c>
      <c r="D147" s="2">
        <f t="shared" si="15"/>
        <v>1.257374269005848</v>
      </c>
      <c r="E147" s="2">
        <f t="shared" si="16"/>
        <v>2.5798292465687851</v>
      </c>
      <c r="F147" s="2">
        <f t="shared" si="17"/>
        <v>3.5686257309941514</v>
      </c>
      <c r="G147" s="1">
        <f t="shared" ref="G147:G167" si="20">F147/E147</f>
        <v>1.3832798181276849</v>
      </c>
      <c r="H147" s="18">
        <v>-0.5</v>
      </c>
      <c r="J147" s="18">
        <v>0.5</v>
      </c>
      <c r="K147" s="18">
        <v>-2</v>
      </c>
      <c r="L147" s="18">
        <v>1</v>
      </c>
      <c r="M147" s="18">
        <v>1.5</v>
      </c>
      <c r="N147" s="18">
        <v>2</v>
      </c>
      <c r="O147" s="19">
        <f t="shared" si="19"/>
        <v>-1</v>
      </c>
      <c r="P147" s="19">
        <v>-0.5</v>
      </c>
      <c r="Q147" s="19">
        <v>-4</v>
      </c>
      <c r="R147" s="19">
        <v>1</v>
      </c>
      <c r="S147" s="19">
        <v>0.5</v>
      </c>
      <c r="T147" s="19">
        <v>2.5</v>
      </c>
    </row>
    <row r="148" spans="1:20" x14ac:dyDescent="0.25">
      <c r="A148" s="38">
        <v>44905</v>
      </c>
      <c r="B148" s="36">
        <f>AVERAGE(B147,B149)</f>
        <v>0.13</v>
      </c>
      <c r="C148" s="42">
        <f t="shared" si="14"/>
        <v>3.302</v>
      </c>
      <c r="D148" s="2">
        <f t="shared" si="15"/>
        <v>1.257374269005848</v>
      </c>
      <c r="E148" s="2">
        <f t="shared" si="16"/>
        <v>2.5798292465687851</v>
      </c>
      <c r="F148" s="2">
        <f t="shared" si="17"/>
        <v>2.0446257309941522</v>
      </c>
      <c r="G148" s="1">
        <f t="shared" si="20"/>
        <v>0.7925430466816894</v>
      </c>
      <c r="H148" s="18">
        <v>-0.5</v>
      </c>
      <c r="J148" s="18">
        <v>0.5</v>
      </c>
      <c r="K148" s="18">
        <v>-2</v>
      </c>
      <c r="L148" s="18">
        <v>1</v>
      </c>
      <c r="M148" s="18">
        <v>1.5</v>
      </c>
      <c r="N148" s="18">
        <v>2</v>
      </c>
      <c r="O148" s="19">
        <f t="shared" si="19"/>
        <v>-1</v>
      </c>
      <c r="P148" s="19">
        <v>-0.5</v>
      </c>
      <c r="Q148" s="19">
        <v>-4</v>
      </c>
      <c r="R148" s="19">
        <v>1</v>
      </c>
      <c r="S148" s="19">
        <v>0.5</v>
      </c>
      <c r="T148" s="19">
        <v>2.5</v>
      </c>
    </row>
    <row r="149" spans="1:20" x14ac:dyDescent="0.25">
      <c r="A149" s="38">
        <v>44936</v>
      </c>
      <c r="B149" s="36">
        <v>7.0000000000000007E-2</v>
      </c>
      <c r="C149" s="42">
        <f t="shared" si="14"/>
        <v>1.778</v>
      </c>
      <c r="D149" s="2">
        <f t="shared" si="15"/>
        <v>1.257374269005848</v>
      </c>
      <c r="E149" s="2">
        <f t="shared" si="16"/>
        <v>2.5798292465687851</v>
      </c>
      <c r="F149" s="2">
        <f t="shared" si="17"/>
        <v>0.52062573099415199</v>
      </c>
      <c r="G149" s="1">
        <f t="shared" si="20"/>
        <v>0.20180627523569347</v>
      </c>
      <c r="H149" s="18">
        <v>-0.5</v>
      </c>
      <c r="J149" s="18">
        <v>0.5</v>
      </c>
      <c r="K149" s="18">
        <v>-2</v>
      </c>
      <c r="L149" s="18">
        <v>1</v>
      </c>
      <c r="M149" s="18">
        <v>1.5</v>
      </c>
      <c r="N149" s="18">
        <v>2</v>
      </c>
      <c r="O149" s="19">
        <f t="shared" si="19"/>
        <v>-1</v>
      </c>
      <c r="P149" s="19">
        <v>-0.5</v>
      </c>
      <c r="Q149" s="19">
        <v>-4</v>
      </c>
      <c r="R149" s="19">
        <v>1</v>
      </c>
      <c r="S149" s="19">
        <v>0.5</v>
      </c>
      <c r="T149" s="19">
        <v>2.5</v>
      </c>
    </row>
    <row r="150" spans="1:20" x14ac:dyDescent="0.25">
      <c r="A150" s="38">
        <v>44967</v>
      </c>
      <c r="B150" s="36">
        <f>AVERAGE(B149,B151)</f>
        <v>0.14500000000000002</v>
      </c>
      <c r="C150" s="42">
        <f t="shared" si="14"/>
        <v>3.6830000000000003</v>
      </c>
      <c r="D150" s="2">
        <f t="shared" si="15"/>
        <v>1.257374269005848</v>
      </c>
      <c r="E150" s="2">
        <f t="shared" si="16"/>
        <v>2.5798292465687851</v>
      </c>
      <c r="F150" s="2">
        <f t="shared" si="17"/>
        <v>2.4256257309941525</v>
      </c>
      <c r="G150" s="1">
        <f t="shared" si="20"/>
        <v>0.94022723954318843</v>
      </c>
      <c r="H150" s="18">
        <v>-0.5</v>
      </c>
      <c r="J150" s="18">
        <v>0.5</v>
      </c>
      <c r="K150" s="18">
        <v>-2</v>
      </c>
      <c r="L150" s="18">
        <v>1</v>
      </c>
      <c r="M150" s="18">
        <v>1.5</v>
      </c>
      <c r="N150" s="18">
        <v>2</v>
      </c>
      <c r="O150" s="19">
        <f t="shared" si="19"/>
        <v>-1</v>
      </c>
      <c r="P150" s="19">
        <v>-0.5</v>
      </c>
      <c r="Q150" s="19">
        <v>-4</v>
      </c>
      <c r="R150" s="19">
        <v>1</v>
      </c>
      <c r="S150" s="19">
        <v>0.5</v>
      </c>
      <c r="T150" s="19">
        <v>2.5</v>
      </c>
    </row>
    <row r="151" spans="1:20" x14ac:dyDescent="0.25">
      <c r="A151" s="38">
        <v>44995</v>
      </c>
      <c r="B151" s="36">
        <v>0.22</v>
      </c>
      <c r="C151" s="42">
        <f t="shared" si="14"/>
        <v>5.5880000000000001</v>
      </c>
      <c r="D151" s="2">
        <f t="shared" si="15"/>
        <v>1.257374269005848</v>
      </c>
      <c r="E151" s="2">
        <f t="shared" si="16"/>
        <v>2.5798292465687851</v>
      </c>
      <c r="F151" s="2">
        <f t="shared" si="17"/>
        <v>4.3306257309941518</v>
      </c>
      <c r="G151" s="1">
        <f t="shared" si="20"/>
        <v>1.6786482038506829</v>
      </c>
      <c r="H151" s="18">
        <v>-0.5</v>
      </c>
      <c r="J151" s="18">
        <v>0.5</v>
      </c>
      <c r="K151" s="18">
        <v>-2</v>
      </c>
      <c r="L151" s="18">
        <v>1</v>
      </c>
      <c r="M151" s="18">
        <v>1.5</v>
      </c>
      <c r="N151" s="18">
        <v>2</v>
      </c>
      <c r="O151" s="19">
        <f t="shared" si="19"/>
        <v>-1</v>
      </c>
      <c r="P151" s="19">
        <v>-0.5</v>
      </c>
      <c r="Q151" s="19">
        <v>-4</v>
      </c>
      <c r="R151" s="19">
        <v>1</v>
      </c>
      <c r="S151" s="19">
        <v>0.5</v>
      </c>
      <c r="T151" s="19">
        <v>2.5</v>
      </c>
    </row>
    <row r="152" spans="1:20" x14ac:dyDescent="0.25">
      <c r="A152" s="38">
        <v>45026</v>
      </c>
      <c r="B152" s="36">
        <v>7.0000000000000007E-2</v>
      </c>
      <c r="C152" s="42">
        <f t="shared" si="14"/>
        <v>1.778</v>
      </c>
      <c r="D152" s="2">
        <f t="shared" si="15"/>
        <v>1.257374269005848</v>
      </c>
      <c r="E152" s="2">
        <f t="shared" si="16"/>
        <v>2.5798292465687851</v>
      </c>
      <c r="F152" s="2">
        <f t="shared" si="17"/>
        <v>0.52062573099415199</v>
      </c>
      <c r="G152" s="1">
        <f t="shared" si="20"/>
        <v>0.20180627523569347</v>
      </c>
      <c r="H152" s="18">
        <v>-0.5</v>
      </c>
      <c r="J152" s="18">
        <v>0.5</v>
      </c>
      <c r="K152" s="18">
        <v>-2</v>
      </c>
      <c r="L152" s="18">
        <v>1</v>
      </c>
      <c r="M152" s="18">
        <v>1.5</v>
      </c>
      <c r="N152" s="18">
        <v>2</v>
      </c>
      <c r="O152" s="19">
        <f t="shared" si="19"/>
        <v>-1</v>
      </c>
      <c r="P152" s="19">
        <v>-0.5</v>
      </c>
      <c r="Q152" s="19">
        <v>-4</v>
      </c>
      <c r="R152" s="19">
        <v>1</v>
      </c>
      <c r="S152" s="19">
        <v>0.5</v>
      </c>
      <c r="T152" s="19">
        <v>2.5</v>
      </c>
    </row>
    <row r="153" spans="1:20" x14ac:dyDescent="0.25">
      <c r="A153" s="38">
        <v>45056</v>
      </c>
      <c r="B153" s="36">
        <v>0.3</v>
      </c>
      <c r="C153" s="42">
        <f t="shared" si="14"/>
        <v>7.6199999999999992</v>
      </c>
      <c r="D153" s="2">
        <f t="shared" si="15"/>
        <v>1.257374269005848</v>
      </c>
      <c r="E153" s="2">
        <f t="shared" si="16"/>
        <v>2.5798292465687851</v>
      </c>
      <c r="F153" s="2">
        <f t="shared" si="17"/>
        <v>6.362625730994151</v>
      </c>
      <c r="G153" s="1">
        <f t="shared" si="20"/>
        <v>2.4662972324453438</v>
      </c>
      <c r="H153" s="18">
        <v>-0.5</v>
      </c>
      <c r="J153" s="18">
        <v>0.5</v>
      </c>
      <c r="K153" s="18">
        <v>-2</v>
      </c>
      <c r="L153" s="18">
        <v>1</v>
      </c>
      <c r="M153" s="18">
        <v>1.5</v>
      </c>
      <c r="N153" s="18">
        <v>2</v>
      </c>
      <c r="O153" s="19">
        <f t="shared" si="19"/>
        <v>-1</v>
      </c>
      <c r="P153" s="19">
        <v>-0.5</v>
      </c>
      <c r="Q153" s="19">
        <v>-4</v>
      </c>
      <c r="R153" s="19">
        <v>1</v>
      </c>
      <c r="S153" s="19">
        <v>0.5</v>
      </c>
      <c r="T153" s="19">
        <v>2.5</v>
      </c>
    </row>
    <row r="154" spans="1:20" x14ac:dyDescent="0.25">
      <c r="A154" s="38">
        <v>45087</v>
      </c>
      <c r="B154" s="36">
        <v>0.12</v>
      </c>
      <c r="C154" s="42">
        <f t="shared" si="14"/>
        <v>3.0479999999999996</v>
      </c>
      <c r="D154" s="2">
        <f t="shared" si="15"/>
        <v>1.257374269005848</v>
      </c>
      <c r="E154" s="2">
        <f t="shared" si="16"/>
        <v>2.5798292465687851</v>
      </c>
      <c r="F154" s="2">
        <f t="shared" si="17"/>
        <v>1.7906257309941516</v>
      </c>
      <c r="G154" s="1">
        <f t="shared" si="20"/>
        <v>0.69408691810735645</v>
      </c>
      <c r="H154" s="18">
        <v>-0.5</v>
      </c>
      <c r="J154" s="18">
        <v>0.5</v>
      </c>
      <c r="K154" s="18">
        <v>-2</v>
      </c>
      <c r="L154" s="18">
        <v>1</v>
      </c>
      <c r="M154" s="18">
        <v>1.5</v>
      </c>
      <c r="N154" s="18">
        <v>2</v>
      </c>
      <c r="O154" s="19">
        <f t="shared" si="19"/>
        <v>-1</v>
      </c>
      <c r="P154" s="19">
        <v>-0.5</v>
      </c>
      <c r="Q154" s="19">
        <v>-4</v>
      </c>
      <c r="R154" s="19">
        <v>1</v>
      </c>
      <c r="S154" s="19">
        <v>0.5</v>
      </c>
      <c r="T154" s="19">
        <v>2.5</v>
      </c>
    </row>
    <row r="155" spans="1:20" x14ac:dyDescent="0.25">
      <c r="A155" s="38">
        <v>45117</v>
      </c>
      <c r="B155" s="36">
        <v>0.21</v>
      </c>
      <c r="C155" s="42">
        <f t="shared" si="14"/>
        <v>5.3339999999999996</v>
      </c>
      <c r="D155" s="2">
        <f t="shared" si="15"/>
        <v>1.257374269005848</v>
      </c>
      <c r="E155" s="2">
        <f t="shared" si="16"/>
        <v>2.5798292465687851</v>
      </c>
      <c r="F155" s="2">
        <f t="shared" si="17"/>
        <v>4.0766257309941514</v>
      </c>
      <c r="G155" s="1">
        <f t="shared" si="20"/>
        <v>1.5801920752763501</v>
      </c>
      <c r="H155" s="18">
        <v>-0.5</v>
      </c>
      <c r="J155" s="18">
        <v>0.5</v>
      </c>
      <c r="K155" s="18">
        <v>-2</v>
      </c>
      <c r="L155" s="18">
        <v>1</v>
      </c>
      <c r="M155" s="18">
        <v>1.5</v>
      </c>
      <c r="N155" s="18">
        <v>2</v>
      </c>
      <c r="O155" s="19">
        <f t="shared" si="19"/>
        <v>-1</v>
      </c>
      <c r="P155" s="19">
        <v>-0.5</v>
      </c>
      <c r="Q155" s="19">
        <v>-4</v>
      </c>
      <c r="R155" s="19">
        <v>1</v>
      </c>
      <c r="S155" s="19">
        <v>0.5</v>
      </c>
      <c r="T155" s="19">
        <v>2.5</v>
      </c>
    </row>
    <row r="156" spans="1:20" x14ac:dyDescent="0.25">
      <c r="A156" s="38">
        <v>45148</v>
      </c>
      <c r="B156" s="36">
        <v>7.0000000000000007E-2</v>
      </c>
      <c r="C156" s="42">
        <f t="shared" si="14"/>
        <v>1.778</v>
      </c>
      <c r="D156" s="2">
        <f t="shared" si="15"/>
        <v>1.257374269005848</v>
      </c>
      <c r="E156" s="2">
        <f t="shared" si="16"/>
        <v>2.5798292465687851</v>
      </c>
      <c r="F156" s="2">
        <f t="shared" si="17"/>
        <v>0.52062573099415199</v>
      </c>
      <c r="G156" s="1">
        <f t="shared" si="20"/>
        <v>0.20180627523569347</v>
      </c>
      <c r="H156" s="18">
        <v>-0.5</v>
      </c>
      <c r="J156" s="18">
        <v>0.5</v>
      </c>
      <c r="K156" s="18">
        <v>-2</v>
      </c>
      <c r="L156" s="18">
        <v>1</v>
      </c>
      <c r="M156" s="18">
        <v>1.5</v>
      </c>
      <c r="N156" s="18">
        <v>2</v>
      </c>
      <c r="O156" s="19">
        <f t="shared" si="19"/>
        <v>-1</v>
      </c>
      <c r="P156" s="19">
        <v>-0.5</v>
      </c>
      <c r="Q156" s="19">
        <v>-4</v>
      </c>
      <c r="R156" s="19">
        <v>1</v>
      </c>
      <c r="S156" s="19">
        <v>0.5</v>
      </c>
      <c r="T156" s="19">
        <v>2.5</v>
      </c>
    </row>
    <row r="157" spans="1:20" x14ac:dyDescent="0.25">
      <c r="A157" s="38">
        <v>45179</v>
      </c>
      <c r="B157" s="36">
        <v>0.13</v>
      </c>
      <c r="C157" s="42">
        <f t="shared" si="14"/>
        <v>3.302</v>
      </c>
      <c r="D157" s="2">
        <f t="shared" si="15"/>
        <v>1.257374269005848</v>
      </c>
      <c r="E157" s="2">
        <f t="shared" si="16"/>
        <v>2.5798292465687851</v>
      </c>
      <c r="F157" s="2">
        <f t="shared" si="17"/>
        <v>2.0446257309941522</v>
      </c>
      <c r="G157" s="1">
        <f t="shared" si="20"/>
        <v>0.7925430466816894</v>
      </c>
      <c r="H157" s="18">
        <v>-0.5</v>
      </c>
      <c r="J157" s="18">
        <v>0.5</v>
      </c>
      <c r="K157" s="18">
        <v>-2</v>
      </c>
      <c r="L157" s="18">
        <v>1</v>
      </c>
      <c r="M157" s="18">
        <v>1.5</v>
      </c>
      <c r="N157" s="18">
        <v>2</v>
      </c>
      <c r="O157" s="19">
        <f t="shared" si="19"/>
        <v>-1</v>
      </c>
      <c r="P157" s="19">
        <v>-0.5</v>
      </c>
      <c r="Q157" s="19">
        <v>-4</v>
      </c>
      <c r="R157" s="19">
        <v>1</v>
      </c>
      <c r="S157" s="19">
        <v>0.5</v>
      </c>
      <c r="T157" s="19">
        <v>2.5</v>
      </c>
    </row>
    <row r="158" spans="1:20" x14ac:dyDescent="0.25">
      <c r="A158" s="38">
        <v>45209</v>
      </c>
      <c r="B158" s="36">
        <v>0.04</v>
      </c>
      <c r="C158" s="42">
        <f t="shared" si="14"/>
        <v>1.016</v>
      </c>
      <c r="D158" s="2">
        <f t="shared" si="15"/>
        <v>1.257374269005848</v>
      </c>
      <c r="E158" s="2">
        <f t="shared" si="16"/>
        <v>2.5798292465687851</v>
      </c>
      <c r="F158" s="2">
        <f t="shared" si="17"/>
        <v>-0.24137426900584802</v>
      </c>
      <c r="G158" s="1">
        <f t="shared" si="20"/>
        <v>-9.3562110487304437E-2</v>
      </c>
      <c r="H158" s="18">
        <v>-0.5</v>
      </c>
      <c r="J158" s="18">
        <v>0.5</v>
      </c>
      <c r="K158" s="18">
        <v>-2</v>
      </c>
      <c r="L158" s="18">
        <v>1</v>
      </c>
      <c r="M158" s="18">
        <v>1.5</v>
      </c>
      <c r="N158" s="18">
        <v>2</v>
      </c>
      <c r="O158" s="19">
        <f t="shared" si="19"/>
        <v>-1</v>
      </c>
      <c r="P158" s="19">
        <v>-0.5</v>
      </c>
      <c r="Q158" s="19">
        <v>-4</v>
      </c>
      <c r="R158" s="19">
        <v>1</v>
      </c>
      <c r="S158" s="19">
        <v>0.5</v>
      </c>
      <c r="T158" s="19">
        <v>2.5</v>
      </c>
    </row>
    <row r="159" spans="1:20" x14ac:dyDescent="0.25">
      <c r="A159" s="38">
        <v>45240</v>
      </c>
      <c r="B159" s="36">
        <v>0.13</v>
      </c>
      <c r="C159" s="42">
        <f t="shared" si="14"/>
        <v>3.302</v>
      </c>
      <c r="D159" s="2">
        <f t="shared" si="15"/>
        <v>1.257374269005848</v>
      </c>
      <c r="E159" s="2">
        <f t="shared" si="16"/>
        <v>2.5798292465687851</v>
      </c>
      <c r="F159" s="2">
        <f t="shared" si="17"/>
        <v>2.0446257309941522</v>
      </c>
      <c r="G159" s="1">
        <f t="shared" si="20"/>
        <v>0.7925430466816894</v>
      </c>
      <c r="H159" s="18">
        <v>-0.5</v>
      </c>
      <c r="J159" s="18">
        <v>0.5</v>
      </c>
      <c r="K159" s="18">
        <v>-2</v>
      </c>
      <c r="L159" s="18">
        <v>1</v>
      </c>
      <c r="M159" s="18">
        <v>1.5</v>
      </c>
      <c r="N159" s="18">
        <v>2</v>
      </c>
      <c r="O159" s="19">
        <f t="shared" si="19"/>
        <v>-1</v>
      </c>
      <c r="P159" s="19">
        <v>-0.5</v>
      </c>
      <c r="Q159" s="19">
        <v>-4</v>
      </c>
      <c r="R159" s="19">
        <v>1</v>
      </c>
      <c r="S159" s="19">
        <v>0.5</v>
      </c>
      <c r="T159" s="19">
        <v>2.5</v>
      </c>
    </row>
    <row r="160" spans="1:20" x14ac:dyDescent="0.25">
      <c r="A160" s="38">
        <v>45270</v>
      </c>
      <c r="B160" s="36">
        <f>AVERAGE(B159,B161)</f>
        <v>0.36499999999999999</v>
      </c>
      <c r="C160" s="42">
        <f t="shared" si="14"/>
        <v>9.270999999999999</v>
      </c>
      <c r="D160" s="2">
        <f t="shared" si="15"/>
        <v>1.257374269005848</v>
      </c>
      <c r="E160" s="2">
        <f t="shared" si="16"/>
        <v>2.5798292465687851</v>
      </c>
      <c r="F160" s="2">
        <f t="shared" si="17"/>
        <v>8.0136257309941517</v>
      </c>
      <c r="G160" s="1">
        <f t="shared" si="20"/>
        <v>3.106262068178506</v>
      </c>
      <c r="H160" s="18">
        <v>-0.5</v>
      </c>
      <c r="J160" s="18">
        <v>0.5</v>
      </c>
      <c r="K160" s="18">
        <v>-2</v>
      </c>
      <c r="L160" s="18">
        <v>1</v>
      </c>
      <c r="M160" s="18">
        <v>1.5</v>
      </c>
      <c r="N160" s="18">
        <v>2</v>
      </c>
      <c r="O160" s="19">
        <f t="shared" si="19"/>
        <v>-1</v>
      </c>
      <c r="P160" s="19">
        <v>-0.5</v>
      </c>
      <c r="Q160" s="19">
        <v>-4</v>
      </c>
      <c r="R160" s="19">
        <v>1</v>
      </c>
      <c r="S160" s="19">
        <v>0.5</v>
      </c>
      <c r="T160" s="19">
        <v>2.5</v>
      </c>
    </row>
    <row r="161" spans="1:20" x14ac:dyDescent="0.25">
      <c r="A161" s="38">
        <v>45301</v>
      </c>
      <c r="B161" s="36">
        <v>0.6</v>
      </c>
      <c r="C161" s="42">
        <f t="shared" si="14"/>
        <v>15.239999999999998</v>
      </c>
      <c r="D161" s="2">
        <f t="shared" si="15"/>
        <v>1.257374269005848</v>
      </c>
      <c r="E161" s="2">
        <f t="shared" si="16"/>
        <v>2.5798292465687851</v>
      </c>
      <c r="F161" s="2">
        <f t="shared" si="17"/>
        <v>13.982625730994151</v>
      </c>
      <c r="G161" s="1">
        <f t="shared" si="20"/>
        <v>5.4199810896753231</v>
      </c>
      <c r="H161" s="18">
        <v>-0.5</v>
      </c>
      <c r="J161" s="18">
        <v>0.5</v>
      </c>
      <c r="K161" s="18">
        <v>-2</v>
      </c>
      <c r="L161" s="18">
        <v>1</v>
      </c>
      <c r="M161" s="18">
        <v>1.5</v>
      </c>
      <c r="N161" s="18">
        <v>2</v>
      </c>
      <c r="O161" s="19">
        <f t="shared" si="19"/>
        <v>-1</v>
      </c>
      <c r="P161" s="19">
        <v>-0.5</v>
      </c>
      <c r="Q161" s="19">
        <v>-4</v>
      </c>
      <c r="R161" s="19">
        <v>1</v>
      </c>
      <c r="S161" s="19">
        <v>0.5</v>
      </c>
      <c r="T161" s="19">
        <v>2.5</v>
      </c>
    </row>
    <row r="162" spans="1:20" x14ac:dyDescent="0.25">
      <c r="A162" s="38">
        <v>45332</v>
      </c>
      <c r="B162" s="29">
        <v>0.05</v>
      </c>
      <c r="C162" s="42">
        <f t="shared" si="14"/>
        <v>1.27</v>
      </c>
      <c r="D162" s="2">
        <f t="shared" si="15"/>
        <v>1.257374269005848</v>
      </c>
      <c r="E162" s="2">
        <f t="shared" si="16"/>
        <v>2.5798292465687851</v>
      </c>
      <c r="F162" s="2">
        <f t="shared" si="17"/>
        <v>1.2625730994151985E-2</v>
      </c>
      <c r="G162" s="1">
        <f t="shared" si="20"/>
        <v>4.8940180870282067E-3</v>
      </c>
      <c r="H162" s="18">
        <v>-0.5</v>
      </c>
      <c r="J162" s="18">
        <v>0.5</v>
      </c>
      <c r="K162" s="18">
        <v>-2</v>
      </c>
      <c r="L162" s="18">
        <v>1</v>
      </c>
      <c r="M162" s="18">
        <v>1.5</v>
      </c>
      <c r="N162" s="18">
        <v>2</v>
      </c>
      <c r="O162" s="19">
        <f t="shared" si="19"/>
        <v>-1</v>
      </c>
      <c r="P162" s="19">
        <v>-0.5</v>
      </c>
      <c r="Q162" s="19">
        <v>-4</v>
      </c>
      <c r="R162" s="19">
        <v>1</v>
      </c>
      <c r="S162" s="19">
        <v>0.5</v>
      </c>
      <c r="T162" s="19">
        <v>2.5</v>
      </c>
    </row>
    <row r="163" spans="1:20" x14ac:dyDescent="0.25">
      <c r="A163" s="38">
        <v>45361</v>
      </c>
      <c r="B163" s="29">
        <v>-0.02</v>
      </c>
      <c r="C163" s="42">
        <f t="shared" si="14"/>
        <v>-0.50800000000000001</v>
      </c>
      <c r="D163" s="2">
        <f t="shared" si="15"/>
        <v>1.257374269005848</v>
      </c>
      <c r="E163" s="2">
        <f t="shared" si="16"/>
        <v>2.5798292465687851</v>
      </c>
      <c r="F163" s="2">
        <f t="shared" si="17"/>
        <v>-1.765374269005848</v>
      </c>
      <c r="G163" s="1">
        <f t="shared" si="20"/>
        <v>-0.68429888193330024</v>
      </c>
      <c r="H163" s="18">
        <v>-0.5</v>
      </c>
      <c r="J163" s="18">
        <v>0.5</v>
      </c>
      <c r="K163" s="18">
        <v>-2</v>
      </c>
      <c r="L163" s="18">
        <v>1</v>
      </c>
      <c r="M163" s="18">
        <v>1.5</v>
      </c>
      <c r="N163" s="18">
        <v>2</v>
      </c>
      <c r="O163" s="19">
        <f t="shared" si="19"/>
        <v>-1</v>
      </c>
      <c r="P163" s="19">
        <v>-0.5</v>
      </c>
      <c r="Q163" s="19">
        <v>-4</v>
      </c>
      <c r="R163" s="19">
        <v>1</v>
      </c>
      <c r="S163" s="19">
        <v>0.5</v>
      </c>
      <c r="T163" s="19">
        <v>2.5</v>
      </c>
    </row>
    <row r="164" spans="1:20" x14ac:dyDescent="0.25">
      <c r="A164" s="38">
        <v>45392</v>
      </c>
      <c r="B164" s="29">
        <v>0.11</v>
      </c>
      <c r="C164" s="42">
        <f t="shared" si="14"/>
        <v>2.794</v>
      </c>
      <c r="D164" s="2">
        <f t="shared" si="15"/>
        <v>1.257374269005848</v>
      </c>
      <c r="E164" s="2">
        <f t="shared" si="16"/>
        <v>2.5798292465687851</v>
      </c>
      <c r="F164" s="2">
        <f t="shared" si="17"/>
        <v>1.536625730994152</v>
      </c>
      <c r="G164" s="1">
        <f t="shared" si="20"/>
        <v>0.59563078953302406</v>
      </c>
      <c r="H164" s="18">
        <v>-0.5</v>
      </c>
      <c r="J164" s="18">
        <v>0.5</v>
      </c>
      <c r="K164" s="18">
        <v>-2</v>
      </c>
      <c r="L164" s="18">
        <v>1</v>
      </c>
      <c r="M164" s="18">
        <v>1.5</v>
      </c>
      <c r="N164" s="18">
        <v>2</v>
      </c>
      <c r="O164" s="19">
        <f t="shared" si="19"/>
        <v>-1</v>
      </c>
      <c r="P164" s="19">
        <v>-0.5</v>
      </c>
      <c r="Q164" s="19">
        <v>-4</v>
      </c>
      <c r="R164" s="19">
        <v>1</v>
      </c>
      <c r="S164" s="19">
        <v>0.5</v>
      </c>
      <c r="T164" s="19">
        <v>2.5</v>
      </c>
    </row>
    <row r="165" spans="1:20" x14ac:dyDescent="0.25">
      <c r="A165" s="38">
        <v>45422</v>
      </c>
      <c r="B165" s="36">
        <v>0.3</v>
      </c>
      <c r="C165" s="42">
        <f t="shared" ref="C165:C175" si="21">B165*$D$1</f>
        <v>7.6199999999999992</v>
      </c>
      <c r="D165" s="2">
        <f t="shared" si="15"/>
        <v>1.257374269005848</v>
      </c>
      <c r="E165" s="2">
        <f t="shared" si="16"/>
        <v>2.5798292465687851</v>
      </c>
      <c r="F165" s="2">
        <f t="shared" si="17"/>
        <v>6.362625730994151</v>
      </c>
      <c r="G165" s="1">
        <f t="shared" si="20"/>
        <v>2.4662972324453438</v>
      </c>
      <c r="H165" s="18">
        <v>-0.5</v>
      </c>
      <c r="J165" s="18">
        <v>0.5</v>
      </c>
      <c r="K165" s="18">
        <v>-2</v>
      </c>
      <c r="L165" s="18">
        <v>1</v>
      </c>
      <c r="M165" s="18">
        <v>1.5</v>
      </c>
      <c r="N165" s="18">
        <v>2</v>
      </c>
      <c r="O165" s="19">
        <f t="shared" si="19"/>
        <v>-1</v>
      </c>
      <c r="P165" s="19">
        <v>-0.5</v>
      </c>
      <c r="Q165" s="19">
        <v>-4</v>
      </c>
      <c r="R165" s="19">
        <v>1</v>
      </c>
      <c r="S165" s="19">
        <v>0.5</v>
      </c>
      <c r="T165" s="19">
        <v>2.5</v>
      </c>
    </row>
    <row r="166" spans="1:20" x14ac:dyDescent="0.25">
      <c r="A166" s="38">
        <v>45453</v>
      </c>
      <c r="B166" s="29">
        <v>0.22</v>
      </c>
      <c r="C166" s="42">
        <f t="shared" si="21"/>
        <v>5.5880000000000001</v>
      </c>
      <c r="D166" s="2">
        <f t="shared" si="15"/>
        <v>1.257374269005848</v>
      </c>
      <c r="E166" s="2">
        <f t="shared" si="16"/>
        <v>2.5798292465687851</v>
      </c>
      <c r="F166" s="2">
        <f t="shared" si="17"/>
        <v>4.3306257309941518</v>
      </c>
      <c r="G166" s="1">
        <f t="shared" si="20"/>
        <v>1.6786482038506829</v>
      </c>
      <c r="H166" s="18">
        <v>-0.5</v>
      </c>
      <c r="J166" s="18">
        <v>0.5</v>
      </c>
      <c r="K166" s="18">
        <v>-2</v>
      </c>
      <c r="L166" s="18">
        <v>1</v>
      </c>
      <c r="M166" s="18">
        <v>1.5</v>
      </c>
      <c r="N166" s="18">
        <v>2</v>
      </c>
      <c r="O166" s="19">
        <f t="shared" si="19"/>
        <v>-1</v>
      </c>
      <c r="P166" s="19">
        <v>-0.5</v>
      </c>
      <c r="Q166" s="19">
        <v>-4</v>
      </c>
      <c r="R166" s="19">
        <v>1</v>
      </c>
      <c r="S166" s="19">
        <v>0.5</v>
      </c>
      <c r="T166" s="19">
        <v>2.5</v>
      </c>
    </row>
    <row r="167" spans="1:20" x14ac:dyDescent="0.25">
      <c r="A167" s="38">
        <v>45483</v>
      </c>
      <c r="B167" s="54">
        <v>0.14000000000000001</v>
      </c>
      <c r="C167" s="42">
        <f t="shared" si="21"/>
        <v>3.556</v>
      </c>
      <c r="D167" s="2">
        <f t="shared" si="15"/>
        <v>1.257374269005848</v>
      </c>
      <c r="E167" s="2">
        <f t="shared" si="16"/>
        <v>2.5798292465687851</v>
      </c>
      <c r="F167" s="2">
        <f>C167-D167</f>
        <v>2.2986257309941518</v>
      </c>
      <c r="G167" s="1">
        <f t="shared" si="20"/>
        <v>0.8909991752560219</v>
      </c>
      <c r="H167" s="18">
        <v>-0.5</v>
      </c>
      <c r="J167" s="18">
        <v>0.5</v>
      </c>
      <c r="K167" s="18">
        <v>-2</v>
      </c>
      <c r="L167" s="18">
        <v>1</v>
      </c>
      <c r="M167" s="18">
        <v>1.5</v>
      </c>
      <c r="N167" s="18">
        <v>2</v>
      </c>
      <c r="O167" s="19">
        <f t="shared" si="19"/>
        <v>-1</v>
      </c>
      <c r="P167" s="19">
        <v>-0.5</v>
      </c>
      <c r="Q167" s="19">
        <v>-4</v>
      </c>
      <c r="R167" s="19">
        <v>1</v>
      </c>
      <c r="S167" s="19">
        <v>0.5</v>
      </c>
      <c r="T167" s="19">
        <v>2.5</v>
      </c>
    </row>
    <row r="168" spans="1:20" x14ac:dyDescent="0.25">
      <c r="A168" s="38">
        <v>45514</v>
      </c>
      <c r="B168" s="1">
        <v>0.105</v>
      </c>
      <c r="C168" s="42">
        <f t="shared" si="21"/>
        <v>2.6669999999999998</v>
      </c>
      <c r="D168" s="2">
        <f t="shared" si="15"/>
        <v>1.257374269005848</v>
      </c>
      <c r="E168" s="2">
        <f t="shared" si="16"/>
        <v>2.5798292465687851</v>
      </c>
      <c r="F168" s="2">
        <f t="shared" ref="F168:F174" si="22">C168-D168</f>
        <v>1.4096257309941518</v>
      </c>
      <c r="G168" s="1">
        <f t="shared" ref="G168:G174" si="23">F168/E168</f>
        <v>0.54640272524585765</v>
      </c>
      <c r="H168" s="18">
        <v>-0.5</v>
      </c>
      <c r="J168" s="18">
        <v>0.5</v>
      </c>
      <c r="K168" s="18">
        <v>-2</v>
      </c>
      <c r="L168" s="18">
        <v>1</v>
      </c>
      <c r="M168" s="18">
        <v>1.5</v>
      </c>
      <c r="N168" s="18">
        <v>2</v>
      </c>
      <c r="O168" s="19">
        <f t="shared" si="19"/>
        <v>-1</v>
      </c>
      <c r="P168" s="19">
        <v>-0.5</v>
      </c>
      <c r="Q168" s="19">
        <v>-4</v>
      </c>
      <c r="R168" s="19">
        <v>1</v>
      </c>
      <c r="S168" s="19">
        <v>0.5</v>
      </c>
      <c r="T168" s="19">
        <v>2.5</v>
      </c>
    </row>
    <row r="169" spans="1:20" x14ac:dyDescent="0.25">
      <c r="A169" s="38">
        <v>45545</v>
      </c>
      <c r="B169" s="1">
        <v>0.1</v>
      </c>
      <c r="C169" s="42">
        <f t="shared" si="21"/>
        <v>2.54</v>
      </c>
      <c r="D169" s="2">
        <f t="shared" si="15"/>
        <v>1.257374269005848</v>
      </c>
      <c r="E169" s="2">
        <f t="shared" si="16"/>
        <v>2.5798292465687851</v>
      </c>
      <c r="F169" s="2">
        <f t="shared" si="22"/>
        <v>1.282625730994152</v>
      </c>
      <c r="G169" s="1">
        <f t="shared" si="23"/>
        <v>0.49717466095869139</v>
      </c>
      <c r="H169" s="18">
        <v>-0.5</v>
      </c>
      <c r="J169" s="18">
        <v>0.5</v>
      </c>
      <c r="K169" s="18">
        <v>-2</v>
      </c>
      <c r="L169" s="18">
        <v>1</v>
      </c>
      <c r="M169" s="18">
        <v>1.5</v>
      </c>
      <c r="N169" s="18">
        <v>2</v>
      </c>
      <c r="O169" s="19">
        <f t="shared" si="19"/>
        <v>-1</v>
      </c>
      <c r="P169" s="19">
        <v>-0.5</v>
      </c>
      <c r="Q169" s="19">
        <v>-4</v>
      </c>
      <c r="R169" s="19">
        <v>1</v>
      </c>
      <c r="S169" s="19">
        <v>0.5</v>
      </c>
      <c r="T169" s="19">
        <v>2.5</v>
      </c>
    </row>
    <row r="170" spans="1:20" x14ac:dyDescent="0.25">
      <c r="A170" s="38">
        <v>45575</v>
      </c>
      <c r="B170" s="1">
        <v>0.09</v>
      </c>
      <c r="C170" s="42">
        <f t="shared" si="21"/>
        <v>2.2859999999999996</v>
      </c>
      <c r="D170" s="2">
        <f t="shared" si="15"/>
        <v>1.257374269005848</v>
      </c>
      <c r="E170" s="2">
        <f t="shared" si="16"/>
        <v>2.5798292465687851</v>
      </c>
      <c r="F170" s="2">
        <f t="shared" si="22"/>
        <v>1.0286257309941516</v>
      </c>
      <c r="G170" s="1">
        <f t="shared" si="23"/>
        <v>0.39871853238435861</v>
      </c>
      <c r="H170" s="18">
        <v>-0.5</v>
      </c>
      <c r="J170" s="18">
        <v>0.5</v>
      </c>
      <c r="K170" s="18">
        <v>-2</v>
      </c>
      <c r="L170" s="18">
        <v>1</v>
      </c>
      <c r="M170" s="18">
        <v>1.5</v>
      </c>
      <c r="N170" s="18">
        <v>2</v>
      </c>
      <c r="O170" s="19">
        <f t="shared" si="19"/>
        <v>-1</v>
      </c>
      <c r="P170" s="19">
        <v>-0.5</v>
      </c>
      <c r="Q170" s="19">
        <v>-4</v>
      </c>
      <c r="R170" s="19">
        <v>1</v>
      </c>
      <c r="S170" s="19">
        <v>0.5</v>
      </c>
      <c r="T170" s="19">
        <v>2.5</v>
      </c>
    </row>
    <row r="171" spans="1:20" x14ac:dyDescent="0.25">
      <c r="A171" s="38">
        <v>45606</v>
      </c>
      <c r="B171" s="1">
        <v>0.22</v>
      </c>
      <c r="C171" s="42">
        <f t="shared" si="21"/>
        <v>5.5880000000000001</v>
      </c>
      <c r="D171" s="2">
        <f t="shared" si="15"/>
        <v>1.257374269005848</v>
      </c>
      <c r="E171" s="2">
        <f t="shared" si="16"/>
        <v>2.5798292465687851</v>
      </c>
      <c r="F171" s="2">
        <f t="shared" si="22"/>
        <v>4.3306257309941518</v>
      </c>
      <c r="G171" s="1">
        <f t="shared" si="23"/>
        <v>1.6786482038506829</v>
      </c>
      <c r="H171" s="18">
        <v>-0.5</v>
      </c>
      <c r="J171" s="18">
        <v>0.5</v>
      </c>
      <c r="K171" s="18">
        <v>-2</v>
      </c>
      <c r="L171" s="18">
        <v>1</v>
      </c>
      <c r="M171" s="18">
        <v>1.5</v>
      </c>
      <c r="N171" s="18">
        <v>2</v>
      </c>
      <c r="O171" s="19">
        <f t="shared" si="19"/>
        <v>-1</v>
      </c>
      <c r="P171" s="19">
        <v>-0.5</v>
      </c>
      <c r="Q171" s="19">
        <v>-4</v>
      </c>
      <c r="R171" s="19">
        <v>1</v>
      </c>
      <c r="S171" s="19">
        <v>0.5</v>
      </c>
      <c r="T171" s="19">
        <v>2.5</v>
      </c>
    </row>
    <row r="172" spans="1:20" x14ac:dyDescent="0.25">
      <c r="A172" s="38">
        <v>45636</v>
      </c>
      <c r="B172" s="1">
        <v>0.35</v>
      </c>
      <c r="C172" s="42">
        <f t="shared" si="21"/>
        <v>8.8899999999999988</v>
      </c>
      <c r="D172" s="2">
        <f t="shared" si="15"/>
        <v>1.257374269005848</v>
      </c>
      <c r="E172" s="2">
        <f t="shared" si="16"/>
        <v>2.5798292465687851</v>
      </c>
      <c r="F172" s="2">
        <f t="shared" si="22"/>
        <v>7.6326257309941505</v>
      </c>
      <c r="G172" s="1">
        <f t="shared" si="23"/>
        <v>2.9585778753170069</v>
      </c>
      <c r="H172" s="18">
        <v>-0.5</v>
      </c>
      <c r="J172" s="18">
        <v>0.5</v>
      </c>
      <c r="K172" s="18">
        <v>-2</v>
      </c>
      <c r="L172" s="18">
        <v>1</v>
      </c>
      <c r="M172" s="18">
        <v>1.5</v>
      </c>
      <c r="N172" s="18">
        <v>2</v>
      </c>
      <c r="O172" s="19">
        <f t="shared" si="19"/>
        <v>-1</v>
      </c>
      <c r="P172" s="19">
        <v>-0.5</v>
      </c>
      <c r="Q172" s="19">
        <v>-4</v>
      </c>
      <c r="R172" s="19">
        <v>1</v>
      </c>
      <c r="S172" s="19">
        <v>0.5</v>
      </c>
      <c r="T172" s="19">
        <v>2.5</v>
      </c>
    </row>
    <row r="173" spans="1:20" x14ac:dyDescent="0.25">
      <c r="A173" s="38">
        <v>45667</v>
      </c>
      <c r="B173" s="1">
        <v>0.77</v>
      </c>
      <c r="C173" s="42">
        <f t="shared" si="21"/>
        <v>19.558</v>
      </c>
      <c r="D173" s="2">
        <f t="shared" si="15"/>
        <v>1.257374269005848</v>
      </c>
      <c r="E173" s="2">
        <f t="shared" si="16"/>
        <v>2.5798292465687851</v>
      </c>
      <c r="F173" s="2">
        <f t="shared" si="22"/>
        <v>18.300625730994152</v>
      </c>
      <c r="G173" s="1">
        <f t="shared" si="23"/>
        <v>7.093735275438978</v>
      </c>
      <c r="H173" s="18">
        <v>-0.5</v>
      </c>
      <c r="J173" s="18">
        <v>0.5</v>
      </c>
      <c r="K173" s="18">
        <v>-2</v>
      </c>
      <c r="L173" s="18">
        <v>1</v>
      </c>
      <c r="M173" s="18">
        <v>1.5</v>
      </c>
      <c r="N173" s="18">
        <v>2</v>
      </c>
      <c r="O173" s="19">
        <f t="shared" si="19"/>
        <v>-1</v>
      </c>
      <c r="P173" s="19">
        <v>-0.5</v>
      </c>
      <c r="Q173" s="19">
        <v>-4</v>
      </c>
      <c r="R173" s="19">
        <v>1</v>
      </c>
      <c r="S173" s="19">
        <v>0.5</v>
      </c>
      <c r="T173" s="19">
        <v>2.5</v>
      </c>
    </row>
    <row r="174" spans="1:20" x14ac:dyDescent="0.25">
      <c r="A174" s="38">
        <v>45698</v>
      </c>
      <c r="B174" s="1">
        <v>0.5</v>
      </c>
      <c r="C174" s="42">
        <f t="shared" si="21"/>
        <v>12.7</v>
      </c>
      <c r="D174" s="2">
        <f t="shared" si="15"/>
        <v>1.257374269005848</v>
      </c>
      <c r="E174" s="2">
        <f t="shared" si="16"/>
        <v>2.5798292465687851</v>
      </c>
      <c r="F174" s="2">
        <f t="shared" si="22"/>
        <v>11.442625730994152</v>
      </c>
      <c r="G174" s="1">
        <f t="shared" si="23"/>
        <v>4.435419803931997</v>
      </c>
      <c r="H174" s="18">
        <v>-0.5</v>
      </c>
      <c r="J174" s="18">
        <v>0.5</v>
      </c>
      <c r="K174" s="18">
        <v>-2</v>
      </c>
      <c r="L174" s="18">
        <v>1</v>
      </c>
      <c r="M174" s="18">
        <v>1.5</v>
      </c>
      <c r="N174" s="18">
        <v>2</v>
      </c>
      <c r="O174" s="19">
        <f t="shared" si="19"/>
        <v>-1</v>
      </c>
      <c r="P174" s="19">
        <v>-0.5</v>
      </c>
      <c r="Q174" s="19">
        <v>-4</v>
      </c>
      <c r="R174" s="19">
        <v>1</v>
      </c>
      <c r="S174" s="19">
        <v>0.5</v>
      </c>
      <c r="T174" s="19">
        <v>2.5</v>
      </c>
    </row>
    <row r="175" spans="1:20" x14ac:dyDescent="0.25">
      <c r="A175" s="59">
        <v>45720</v>
      </c>
      <c r="B175" s="1">
        <v>0.02</v>
      </c>
      <c r="C175" s="42">
        <f t="shared" si="21"/>
        <v>0.50800000000000001</v>
      </c>
      <c r="D175" s="2">
        <f t="shared" si="15"/>
        <v>1.257374269005848</v>
      </c>
      <c r="E175" s="2">
        <f t="shared" si="16"/>
        <v>2.5798292465687851</v>
      </c>
      <c r="F175" s="2">
        <f t="shared" ref="F175" si="24">C175-D175</f>
        <v>-0.74937426900584803</v>
      </c>
      <c r="G175" s="1">
        <f t="shared" ref="G175" si="25">F175/E175</f>
        <v>-0.29047436763596973</v>
      </c>
      <c r="H175" s="18">
        <v>-0.5</v>
      </c>
      <c r="J175" s="18">
        <v>0.5</v>
      </c>
      <c r="K175" s="18">
        <v>-2</v>
      </c>
      <c r="L175" s="18">
        <v>1</v>
      </c>
      <c r="M175" s="18">
        <v>1.5</v>
      </c>
      <c r="N175" s="18">
        <v>2</v>
      </c>
      <c r="O175" s="19">
        <f t="shared" si="19"/>
        <v>-1</v>
      </c>
      <c r="P175" s="19">
        <v>-0.5</v>
      </c>
      <c r="Q175" s="19">
        <v>-4</v>
      </c>
      <c r="R175" s="19">
        <v>1</v>
      </c>
      <c r="S175" s="19">
        <v>0.5</v>
      </c>
      <c r="T175" s="19">
        <v>2.5</v>
      </c>
    </row>
  </sheetData>
  <mergeCells count="2">
    <mergeCell ref="A3:G3"/>
    <mergeCell ref="A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N177"/>
  <sheetViews>
    <sheetView zoomScale="85" zoomScaleNormal="85" workbookViewId="0">
      <selection activeCell="G5" sqref="G5:G174"/>
    </sheetView>
  </sheetViews>
  <sheetFormatPr defaultRowHeight="15" x14ac:dyDescent="0.25"/>
  <cols>
    <col min="1" max="1" width="15.5703125" style="58" customWidth="1"/>
    <col min="2" max="2" width="18.7109375" style="1" customWidth="1"/>
    <col min="3" max="3" width="19.5703125" style="1" customWidth="1"/>
    <col min="4" max="4" width="22.85546875" style="1" customWidth="1"/>
    <col min="5" max="5" width="16" style="1" customWidth="1"/>
    <col min="6" max="6" width="13.7109375" style="1" customWidth="1"/>
    <col min="7" max="7" width="21.5703125" style="15" bestFit="1" customWidth="1"/>
    <col min="8" max="8" width="12.28515625" customWidth="1"/>
    <col min="9" max="9" width="18" bestFit="1" customWidth="1"/>
    <col min="10" max="10" width="15.5703125" bestFit="1" customWidth="1"/>
    <col min="11" max="11" width="18.7109375" bestFit="1" customWidth="1"/>
    <col min="12" max="14" width="8.85546875"/>
  </cols>
  <sheetData>
    <row r="1" spans="1:14" x14ac:dyDescent="0.25">
      <c r="A1" s="60"/>
      <c r="B1" s="61"/>
      <c r="C1" s="61"/>
      <c r="D1" s="16">
        <v>25.4</v>
      </c>
      <c r="E1" s="61"/>
      <c r="F1" s="61"/>
      <c r="G1" s="62"/>
    </row>
    <row r="2" spans="1:14" ht="20.25" customHeight="1" x14ac:dyDescent="0.25">
      <c r="A2" s="72" t="s">
        <v>20</v>
      </c>
      <c r="B2" s="73"/>
      <c r="C2" s="73"/>
      <c r="D2" s="73"/>
      <c r="E2" s="73"/>
      <c r="F2" s="73"/>
      <c r="G2" s="73"/>
      <c r="H2" s="48"/>
    </row>
    <row r="3" spans="1:14" x14ac:dyDescent="0.25">
      <c r="A3" s="67" t="s">
        <v>1</v>
      </c>
      <c r="B3" s="68"/>
      <c r="C3" s="68"/>
      <c r="D3" s="68"/>
      <c r="E3" s="68"/>
      <c r="F3" s="68"/>
      <c r="G3" s="71"/>
    </row>
    <row r="4" spans="1:14" x14ac:dyDescent="0.25">
      <c r="A4" s="55" t="s">
        <v>16</v>
      </c>
      <c r="B4" s="7" t="s">
        <v>3</v>
      </c>
      <c r="C4" s="7" t="s">
        <v>1</v>
      </c>
      <c r="D4" s="8" t="s">
        <v>4</v>
      </c>
      <c r="E4" s="8" t="s">
        <v>5</v>
      </c>
      <c r="F4" s="7"/>
      <c r="G4" s="49" t="s">
        <v>19</v>
      </c>
      <c r="H4" t="s">
        <v>8</v>
      </c>
      <c r="I4" s="19"/>
      <c r="J4" s="19"/>
      <c r="K4" s="19"/>
      <c r="L4" s="19"/>
      <c r="M4" s="19"/>
      <c r="N4" s="19"/>
    </row>
    <row r="5" spans="1:14" x14ac:dyDescent="0.25">
      <c r="A5" s="56">
        <v>40565</v>
      </c>
      <c r="B5" s="29">
        <v>0</v>
      </c>
      <c r="C5" s="36">
        <f t="shared" ref="C5:C36" si="0">$D$1*B5</f>
        <v>0</v>
      </c>
      <c r="D5" s="47">
        <f>AVERAGE($C$5:$C$174)</f>
        <v>6.079564705882353</v>
      </c>
      <c r="E5" s="47">
        <f>_xlfn.STDEV.S($C$5:$C$174)</f>
        <v>11.026692894431044</v>
      </c>
      <c r="F5" s="47">
        <f>C5-D5</f>
        <v>-6.079564705882353</v>
      </c>
      <c r="G5" s="24">
        <f>F5/E5</f>
        <v>-0.55134978039995974</v>
      </c>
      <c r="H5">
        <v>-0.5</v>
      </c>
      <c r="I5" s="19"/>
      <c r="J5" s="19"/>
      <c r="K5" s="19"/>
      <c r="L5" s="19"/>
      <c r="M5" s="19"/>
      <c r="N5" s="19"/>
    </row>
    <row r="6" spans="1:14" x14ac:dyDescent="0.25">
      <c r="A6" s="56">
        <v>40596</v>
      </c>
      <c r="B6" s="29">
        <v>0.37</v>
      </c>
      <c r="C6" s="36">
        <f t="shared" si="0"/>
        <v>9.3979999999999997</v>
      </c>
      <c r="D6" s="47">
        <f t="shared" ref="D6:D69" si="1">AVERAGE($C$5:$C$174)</f>
        <v>6.079564705882353</v>
      </c>
      <c r="E6" s="47">
        <f t="shared" ref="E6:E69" si="2">_xlfn.STDEV.S($C$5:$C$174)</f>
        <v>11.026692894431044</v>
      </c>
      <c r="F6" s="47">
        <f t="shared" ref="F6:F13" si="3">C6-D6</f>
        <v>3.3184352941176467</v>
      </c>
      <c r="G6" s="24">
        <f t="shared" ref="G6:G68" si="4">F6/E6</f>
        <v>0.30094565305193183</v>
      </c>
      <c r="H6">
        <v>-0.5</v>
      </c>
      <c r="I6" s="19"/>
      <c r="J6" s="19"/>
      <c r="K6" s="19"/>
      <c r="L6" s="19"/>
      <c r="M6" s="19"/>
      <c r="N6" s="19"/>
    </row>
    <row r="7" spans="1:14" x14ac:dyDescent="0.25">
      <c r="A7" s="56">
        <v>40624</v>
      </c>
      <c r="B7" s="29">
        <v>0.88</v>
      </c>
      <c r="C7" s="36">
        <f t="shared" si="0"/>
        <v>22.352</v>
      </c>
      <c r="D7" s="47">
        <f t="shared" si="1"/>
        <v>6.079564705882353</v>
      </c>
      <c r="E7" s="47">
        <f t="shared" si="2"/>
        <v>11.026692894431044</v>
      </c>
      <c r="F7" s="47">
        <f t="shared" si="3"/>
        <v>16.272435294117649</v>
      </c>
      <c r="G7" s="24">
        <f t="shared" si="4"/>
        <v>1.4757312505126476</v>
      </c>
      <c r="H7">
        <v>-0.5</v>
      </c>
      <c r="I7" s="19"/>
      <c r="J7" s="19"/>
      <c r="K7" s="19"/>
      <c r="L7" s="19"/>
      <c r="M7" s="19"/>
      <c r="N7" s="19"/>
    </row>
    <row r="8" spans="1:14" x14ac:dyDescent="0.25">
      <c r="A8" s="56">
        <v>40655</v>
      </c>
      <c r="B8" s="29">
        <v>0.63</v>
      </c>
      <c r="C8" s="36">
        <f t="shared" si="0"/>
        <v>16.001999999999999</v>
      </c>
      <c r="D8" s="47">
        <f t="shared" si="1"/>
        <v>6.079564705882353</v>
      </c>
      <c r="E8" s="47">
        <f t="shared" si="2"/>
        <v>11.026692894431044</v>
      </c>
      <c r="F8" s="47">
        <f t="shared" si="3"/>
        <v>9.9224352941176459</v>
      </c>
      <c r="G8" s="24">
        <f t="shared" si="4"/>
        <v>0.89985595763974746</v>
      </c>
      <c r="H8">
        <v>-0.5</v>
      </c>
      <c r="I8" s="19"/>
      <c r="J8" s="19"/>
      <c r="K8" s="19"/>
      <c r="L8" s="19"/>
      <c r="M8" s="19"/>
      <c r="N8" s="19"/>
    </row>
    <row r="9" spans="1:14" x14ac:dyDescent="0.25">
      <c r="A9" s="56">
        <v>40685</v>
      </c>
      <c r="B9" s="29">
        <v>0.49</v>
      </c>
      <c r="C9" s="36">
        <f t="shared" si="0"/>
        <v>12.446</v>
      </c>
      <c r="D9" s="47">
        <f t="shared" si="1"/>
        <v>6.079564705882353</v>
      </c>
      <c r="E9" s="47">
        <f t="shared" si="2"/>
        <v>11.026692894431044</v>
      </c>
      <c r="F9" s="47">
        <f t="shared" si="3"/>
        <v>6.3664352941176467</v>
      </c>
      <c r="G9" s="24">
        <f t="shared" si="4"/>
        <v>0.57736579363092366</v>
      </c>
      <c r="H9">
        <v>-0.5</v>
      </c>
      <c r="I9" s="19"/>
      <c r="J9" s="19"/>
      <c r="K9" s="19"/>
      <c r="L9" s="19"/>
      <c r="M9" s="19"/>
      <c r="N9" s="19"/>
    </row>
    <row r="10" spans="1:14" x14ac:dyDescent="0.25">
      <c r="A10" s="56">
        <v>40716</v>
      </c>
      <c r="B10" s="29">
        <v>0.12</v>
      </c>
      <c r="C10" s="36">
        <f t="shared" si="0"/>
        <v>3.0479999999999996</v>
      </c>
      <c r="D10" s="47">
        <f t="shared" si="1"/>
        <v>6.079564705882353</v>
      </c>
      <c r="E10" s="47">
        <f t="shared" si="2"/>
        <v>11.026692894431044</v>
      </c>
      <c r="F10" s="47">
        <f t="shared" si="3"/>
        <v>-3.0315647058823534</v>
      </c>
      <c r="G10" s="24">
        <f t="shared" si="4"/>
        <v>-0.27492963982096796</v>
      </c>
      <c r="H10">
        <v>-0.5</v>
      </c>
      <c r="I10" s="19"/>
      <c r="J10" s="19"/>
      <c r="K10" s="19"/>
      <c r="L10" s="19"/>
      <c r="M10" s="19"/>
      <c r="N10" s="19"/>
    </row>
    <row r="11" spans="1:14" x14ac:dyDescent="0.25">
      <c r="A11" s="56">
        <v>40746</v>
      </c>
      <c r="B11" s="29">
        <v>0.19</v>
      </c>
      <c r="C11" s="36">
        <f t="shared" si="0"/>
        <v>4.8259999999999996</v>
      </c>
      <c r="D11" s="47">
        <f t="shared" si="1"/>
        <v>6.079564705882353</v>
      </c>
      <c r="E11" s="47">
        <f t="shared" si="2"/>
        <v>11.026692894431044</v>
      </c>
      <c r="F11" s="47">
        <f t="shared" si="3"/>
        <v>-1.2535647058823534</v>
      </c>
      <c r="G11" s="24">
        <f t="shared" si="4"/>
        <v>-0.11368455781655601</v>
      </c>
      <c r="H11">
        <v>-0.5</v>
      </c>
      <c r="I11" s="19"/>
      <c r="J11" s="19"/>
      <c r="K11" s="19"/>
      <c r="L11" s="19"/>
      <c r="M11" s="19"/>
      <c r="N11" s="19"/>
    </row>
    <row r="12" spans="1:14" x14ac:dyDescent="0.25">
      <c r="A12" s="56">
        <v>40777</v>
      </c>
      <c r="B12" s="29">
        <v>0.12</v>
      </c>
      <c r="C12" s="36">
        <f t="shared" si="0"/>
        <v>3.0479999999999996</v>
      </c>
      <c r="D12" s="47">
        <f t="shared" si="1"/>
        <v>6.079564705882353</v>
      </c>
      <c r="E12" s="47">
        <f t="shared" si="2"/>
        <v>11.026692894431044</v>
      </c>
      <c r="F12" s="47">
        <f t="shared" si="3"/>
        <v>-3.0315647058823534</v>
      </c>
      <c r="G12" s="24">
        <f t="shared" si="4"/>
        <v>-0.27492963982096796</v>
      </c>
      <c r="H12">
        <v>-0.5</v>
      </c>
      <c r="I12" s="19"/>
      <c r="J12" s="19"/>
      <c r="K12" s="19"/>
      <c r="L12" s="19"/>
      <c r="M12" s="19"/>
      <c r="N12" s="19"/>
    </row>
    <row r="13" spans="1:14" x14ac:dyDescent="0.25">
      <c r="A13" s="56">
        <v>40808</v>
      </c>
      <c r="B13" s="29">
        <v>7.0000000000000007E-2</v>
      </c>
      <c r="C13" s="36">
        <f t="shared" si="0"/>
        <v>1.778</v>
      </c>
      <c r="D13" s="47">
        <f t="shared" si="1"/>
        <v>6.079564705882353</v>
      </c>
      <c r="E13" s="47">
        <f t="shared" si="2"/>
        <v>11.026692894431044</v>
      </c>
      <c r="F13" s="47">
        <f t="shared" si="3"/>
        <v>-4.3015647058823525</v>
      </c>
      <c r="G13" s="24">
        <f t="shared" si="4"/>
        <v>-0.39010469839554784</v>
      </c>
      <c r="H13">
        <v>-0.5</v>
      </c>
      <c r="I13" s="19"/>
      <c r="J13" s="19"/>
      <c r="K13" s="19"/>
      <c r="L13" s="19"/>
      <c r="M13" s="19"/>
      <c r="N13" s="19"/>
    </row>
    <row r="14" spans="1:14" x14ac:dyDescent="0.25">
      <c r="A14" s="56">
        <v>40869</v>
      </c>
      <c r="B14" s="29">
        <v>0</v>
      </c>
      <c r="C14" s="36">
        <f t="shared" si="0"/>
        <v>0</v>
      </c>
      <c r="D14" s="47">
        <f t="shared" si="1"/>
        <v>6.079564705882353</v>
      </c>
      <c r="E14" s="47">
        <f t="shared" si="2"/>
        <v>11.026692894431044</v>
      </c>
      <c r="F14" s="47">
        <f t="shared" ref="F14:F45" si="5">C14-D14</f>
        <v>-6.079564705882353</v>
      </c>
      <c r="G14" s="24">
        <f t="shared" si="4"/>
        <v>-0.55134978039995974</v>
      </c>
      <c r="H14">
        <v>-0.5</v>
      </c>
      <c r="I14" s="19"/>
      <c r="J14" s="19"/>
      <c r="K14" s="19"/>
      <c r="L14" s="19"/>
      <c r="M14" s="19"/>
      <c r="N14" s="19"/>
    </row>
    <row r="15" spans="1:14" x14ac:dyDescent="0.25">
      <c r="A15" s="56">
        <v>40899</v>
      </c>
      <c r="B15" s="29">
        <v>0</v>
      </c>
      <c r="C15" s="36">
        <f t="shared" si="0"/>
        <v>0</v>
      </c>
      <c r="D15" s="47">
        <f t="shared" si="1"/>
        <v>6.079564705882353</v>
      </c>
      <c r="E15" s="47">
        <f t="shared" si="2"/>
        <v>11.026692894431044</v>
      </c>
      <c r="F15" s="47">
        <f t="shared" si="5"/>
        <v>-6.079564705882353</v>
      </c>
      <c r="G15" s="24">
        <f t="shared" si="4"/>
        <v>-0.55134978039995974</v>
      </c>
      <c r="H15">
        <v>-0.5</v>
      </c>
      <c r="I15" s="19"/>
      <c r="J15" s="19"/>
      <c r="K15" s="19"/>
      <c r="L15" s="19"/>
      <c r="M15" s="19"/>
      <c r="N15" s="19"/>
    </row>
    <row r="16" spans="1:14" x14ac:dyDescent="0.25">
      <c r="A16" s="56">
        <v>40930</v>
      </c>
      <c r="B16" s="29">
        <v>0</v>
      </c>
      <c r="C16" s="36">
        <f t="shared" si="0"/>
        <v>0</v>
      </c>
      <c r="D16" s="47">
        <f t="shared" si="1"/>
        <v>6.079564705882353</v>
      </c>
      <c r="E16" s="47">
        <f t="shared" si="2"/>
        <v>11.026692894431044</v>
      </c>
      <c r="F16" s="47">
        <f t="shared" si="5"/>
        <v>-6.079564705882353</v>
      </c>
      <c r="G16" s="24">
        <f t="shared" si="4"/>
        <v>-0.55134978039995974</v>
      </c>
      <c r="H16">
        <v>-0.5</v>
      </c>
      <c r="I16" s="19"/>
      <c r="J16" s="19"/>
      <c r="K16" s="19"/>
      <c r="L16" s="19"/>
      <c r="M16" s="19"/>
      <c r="N16" s="19"/>
    </row>
    <row r="17" spans="1:14" x14ac:dyDescent="0.25">
      <c r="A17" s="56">
        <v>40961</v>
      </c>
      <c r="B17" s="29">
        <v>0.65</v>
      </c>
      <c r="C17" s="36">
        <f t="shared" si="0"/>
        <v>16.509999999999998</v>
      </c>
      <c r="D17" s="47">
        <f t="shared" si="1"/>
        <v>6.079564705882353</v>
      </c>
      <c r="E17" s="47">
        <f t="shared" si="2"/>
        <v>11.026692894431044</v>
      </c>
      <c r="F17" s="47">
        <f t="shared" si="5"/>
        <v>10.430435294117645</v>
      </c>
      <c r="G17" s="24">
        <f t="shared" si="4"/>
        <v>0.94592598106957937</v>
      </c>
      <c r="H17">
        <v>-0.5</v>
      </c>
      <c r="I17" s="19"/>
      <c r="J17" s="19"/>
      <c r="K17" s="19"/>
      <c r="L17" s="19"/>
      <c r="M17" s="19"/>
      <c r="N17" s="19"/>
    </row>
    <row r="18" spans="1:14" x14ac:dyDescent="0.25">
      <c r="A18" s="56">
        <v>40990</v>
      </c>
      <c r="B18" s="29">
        <v>0.26</v>
      </c>
      <c r="C18" s="36">
        <f t="shared" si="0"/>
        <v>6.6040000000000001</v>
      </c>
      <c r="D18" s="47">
        <f t="shared" si="1"/>
        <v>6.079564705882353</v>
      </c>
      <c r="E18" s="47">
        <f t="shared" si="2"/>
        <v>11.026692894431044</v>
      </c>
      <c r="F18" s="47">
        <f t="shared" si="5"/>
        <v>0.52443529411764711</v>
      </c>
      <c r="G18" s="24">
        <f t="shared" si="4"/>
        <v>4.756052418785596E-2</v>
      </c>
      <c r="H18">
        <v>-0.5</v>
      </c>
      <c r="I18" s="19"/>
      <c r="J18" s="19"/>
      <c r="K18" s="19"/>
      <c r="L18" s="19"/>
      <c r="M18" s="19"/>
      <c r="N18" s="19"/>
    </row>
    <row r="19" spans="1:14" x14ac:dyDescent="0.25">
      <c r="A19" s="56">
        <v>41021</v>
      </c>
      <c r="B19" s="29">
        <v>0.15</v>
      </c>
      <c r="C19" s="36">
        <f t="shared" si="0"/>
        <v>3.8099999999999996</v>
      </c>
      <c r="D19" s="47">
        <f t="shared" si="1"/>
        <v>6.079564705882353</v>
      </c>
      <c r="E19" s="47">
        <f t="shared" si="2"/>
        <v>11.026692894431044</v>
      </c>
      <c r="F19" s="47">
        <f t="shared" si="5"/>
        <v>-2.2695647058823534</v>
      </c>
      <c r="G19" s="24">
        <f t="shared" si="4"/>
        <v>-0.20582460467621996</v>
      </c>
      <c r="H19">
        <v>-0.5</v>
      </c>
      <c r="I19" s="19"/>
      <c r="J19" s="19"/>
      <c r="K19" s="19"/>
      <c r="L19" s="19"/>
      <c r="M19" s="19"/>
      <c r="N19" s="19"/>
    </row>
    <row r="20" spans="1:14" x14ac:dyDescent="0.25">
      <c r="A20" s="56">
        <v>41051</v>
      </c>
      <c r="B20" s="29">
        <v>0.06</v>
      </c>
      <c r="C20" s="36">
        <f t="shared" si="0"/>
        <v>1.5239999999999998</v>
      </c>
      <c r="D20" s="47">
        <f t="shared" si="1"/>
        <v>6.079564705882353</v>
      </c>
      <c r="E20" s="47">
        <f t="shared" si="2"/>
        <v>11.026692894431044</v>
      </c>
      <c r="F20" s="47">
        <f t="shared" si="5"/>
        <v>-4.555564705882353</v>
      </c>
      <c r="G20" s="24">
        <f t="shared" si="4"/>
        <v>-0.41313971011046385</v>
      </c>
      <c r="H20">
        <v>-0.5</v>
      </c>
      <c r="I20" s="19"/>
      <c r="J20" s="19"/>
      <c r="K20" s="19"/>
      <c r="L20" s="19"/>
      <c r="M20" s="19"/>
      <c r="N20" s="19"/>
    </row>
    <row r="21" spans="1:14" x14ac:dyDescent="0.25">
      <c r="A21" s="56">
        <v>41082</v>
      </c>
      <c r="B21" s="29">
        <v>0.1</v>
      </c>
      <c r="C21" s="36">
        <f t="shared" si="0"/>
        <v>2.54</v>
      </c>
      <c r="D21" s="47">
        <f t="shared" si="1"/>
        <v>6.079564705882353</v>
      </c>
      <c r="E21" s="47">
        <f t="shared" si="2"/>
        <v>11.026692894431044</v>
      </c>
      <c r="F21" s="47">
        <f t="shared" si="5"/>
        <v>-3.5395647058823529</v>
      </c>
      <c r="G21" s="24">
        <f t="shared" si="4"/>
        <v>-0.32099966325079987</v>
      </c>
      <c r="H21">
        <v>-0.5</v>
      </c>
      <c r="I21" s="19"/>
      <c r="J21" s="19"/>
      <c r="K21" s="19"/>
      <c r="L21" s="19"/>
      <c r="M21" s="19"/>
      <c r="N21" s="19"/>
    </row>
    <row r="22" spans="1:14" x14ac:dyDescent="0.25">
      <c r="A22" s="56">
        <v>41112</v>
      </c>
      <c r="B22" s="29">
        <v>0.1</v>
      </c>
      <c r="C22" s="36">
        <f t="shared" si="0"/>
        <v>2.54</v>
      </c>
      <c r="D22" s="47">
        <f t="shared" si="1"/>
        <v>6.079564705882353</v>
      </c>
      <c r="E22" s="47">
        <f t="shared" si="2"/>
        <v>11.026692894431044</v>
      </c>
      <c r="F22" s="47">
        <f t="shared" si="5"/>
        <v>-3.5395647058823529</v>
      </c>
      <c r="G22" s="24">
        <f t="shared" si="4"/>
        <v>-0.32099966325079987</v>
      </c>
      <c r="H22">
        <v>-0.5</v>
      </c>
      <c r="I22" s="19"/>
      <c r="J22" s="19"/>
      <c r="K22" s="19"/>
      <c r="L22" s="19"/>
      <c r="M22" s="19"/>
      <c r="N22" s="19"/>
    </row>
    <row r="23" spans="1:14" x14ac:dyDescent="0.25">
      <c r="A23" s="56">
        <v>41143</v>
      </c>
      <c r="B23" s="29">
        <v>0.06</v>
      </c>
      <c r="C23" s="36">
        <f t="shared" si="0"/>
        <v>1.5239999999999998</v>
      </c>
      <c r="D23" s="47">
        <f t="shared" si="1"/>
        <v>6.079564705882353</v>
      </c>
      <c r="E23" s="47">
        <f t="shared" si="2"/>
        <v>11.026692894431044</v>
      </c>
      <c r="F23" s="47">
        <f t="shared" si="5"/>
        <v>-4.555564705882353</v>
      </c>
      <c r="G23" s="24">
        <f t="shared" si="4"/>
        <v>-0.41313971011046385</v>
      </c>
      <c r="H23">
        <v>-0.5</v>
      </c>
      <c r="I23" s="19"/>
      <c r="J23" s="19"/>
      <c r="K23" s="19"/>
      <c r="L23" s="19"/>
      <c r="M23" s="19"/>
      <c r="N23" s="19"/>
    </row>
    <row r="24" spans="1:14" x14ac:dyDescent="0.25">
      <c r="A24" s="56">
        <v>41174</v>
      </c>
      <c r="B24" s="29">
        <v>0.15</v>
      </c>
      <c r="C24" s="36">
        <f t="shared" si="0"/>
        <v>3.8099999999999996</v>
      </c>
      <c r="D24" s="47">
        <f t="shared" si="1"/>
        <v>6.079564705882353</v>
      </c>
      <c r="E24" s="47">
        <f t="shared" si="2"/>
        <v>11.026692894431044</v>
      </c>
      <c r="F24" s="47">
        <f t="shared" si="5"/>
        <v>-2.2695647058823534</v>
      </c>
      <c r="G24" s="24">
        <f t="shared" si="4"/>
        <v>-0.20582460467621996</v>
      </c>
      <c r="H24">
        <v>-0.5</v>
      </c>
      <c r="I24" s="19"/>
      <c r="J24" s="19"/>
      <c r="K24" s="19"/>
      <c r="L24" s="19"/>
      <c r="M24" s="19"/>
      <c r="N24" s="19"/>
    </row>
    <row r="25" spans="1:14" x14ac:dyDescent="0.25">
      <c r="A25" s="56">
        <v>41204</v>
      </c>
      <c r="B25" s="29">
        <v>0.17</v>
      </c>
      <c r="C25" s="36">
        <f t="shared" si="0"/>
        <v>4.3180000000000005</v>
      </c>
      <c r="D25" s="47">
        <f t="shared" si="1"/>
        <v>6.079564705882353</v>
      </c>
      <c r="E25" s="47">
        <f t="shared" si="2"/>
        <v>11.026692894431044</v>
      </c>
      <c r="F25" s="47">
        <f t="shared" si="5"/>
        <v>-1.7615647058823525</v>
      </c>
      <c r="G25" s="24">
        <f t="shared" si="4"/>
        <v>-0.15975458124638792</v>
      </c>
      <c r="H25">
        <v>-0.5</v>
      </c>
      <c r="I25" s="19"/>
      <c r="J25" s="19"/>
      <c r="K25" s="19"/>
      <c r="L25" s="19"/>
      <c r="M25" s="19"/>
      <c r="N25" s="19"/>
    </row>
    <row r="26" spans="1:14" x14ac:dyDescent="0.25">
      <c r="A26" s="56">
        <v>41235</v>
      </c>
      <c r="B26" s="29">
        <v>7.0000000000000007E-2</v>
      </c>
      <c r="C26" s="36">
        <f t="shared" si="0"/>
        <v>1.778</v>
      </c>
      <c r="D26" s="47">
        <f t="shared" si="1"/>
        <v>6.079564705882353</v>
      </c>
      <c r="E26" s="47">
        <f t="shared" si="2"/>
        <v>11.026692894431044</v>
      </c>
      <c r="F26" s="47">
        <f t="shared" si="5"/>
        <v>-4.3015647058823525</v>
      </c>
      <c r="G26" s="24">
        <f t="shared" si="4"/>
        <v>-0.39010469839554784</v>
      </c>
      <c r="H26">
        <v>-0.5</v>
      </c>
      <c r="I26" s="19"/>
      <c r="J26" s="19"/>
      <c r="K26" s="19"/>
      <c r="L26" s="19"/>
      <c r="M26" s="19"/>
      <c r="N26" s="19"/>
    </row>
    <row r="27" spans="1:14" x14ac:dyDescent="0.25">
      <c r="A27" s="56">
        <v>41265</v>
      </c>
      <c r="B27" s="29">
        <v>0.56999999999999995</v>
      </c>
      <c r="C27" s="36">
        <f t="shared" si="0"/>
        <v>14.477999999999998</v>
      </c>
      <c r="D27" s="47">
        <f t="shared" si="1"/>
        <v>6.079564705882353</v>
      </c>
      <c r="E27" s="47">
        <f t="shared" si="2"/>
        <v>11.026692894431044</v>
      </c>
      <c r="F27" s="47">
        <f t="shared" si="5"/>
        <v>8.398435294117645</v>
      </c>
      <c r="G27" s="24">
        <f t="shared" si="4"/>
        <v>0.76164588735025152</v>
      </c>
      <c r="H27">
        <v>-0.5</v>
      </c>
      <c r="I27" s="19"/>
      <c r="J27" s="19"/>
      <c r="K27" s="19"/>
      <c r="L27" s="19"/>
      <c r="M27" s="19"/>
      <c r="N27" s="19"/>
    </row>
    <row r="28" spans="1:14" x14ac:dyDescent="0.25">
      <c r="A28" s="56">
        <v>41296</v>
      </c>
      <c r="B28" s="29">
        <v>2.08</v>
      </c>
      <c r="C28" s="36">
        <f t="shared" si="0"/>
        <v>52.832000000000001</v>
      </c>
      <c r="D28" s="47">
        <f t="shared" si="1"/>
        <v>6.079564705882353</v>
      </c>
      <c r="E28" s="47">
        <f t="shared" si="2"/>
        <v>11.026692894431044</v>
      </c>
      <c r="F28" s="47">
        <f t="shared" si="5"/>
        <v>46.752435294117646</v>
      </c>
      <c r="G28" s="24">
        <f t="shared" si="4"/>
        <v>4.2399326563025665</v>
      </c>
      <c r="H28">
        <v>-0.5</v>
      </c>
      <c r="I28" s="19"/>
      <c r="J28" s="19"/>
      <c r="K28" s="19"/>
      <c r="L28" s="19"/>
      <c r="M28" s="19"/>
      <c r="N28" s="19"/>
    </row>
    <row r="29" spans="1:14" x14ac:dyDescent="0.25">
      <c r="A29" s="56">
        <v>41327</v>
      </c>
      <c r="B29" s="29">
        <v>1.31</v>
      </c>
      <c r="C29" s="36">
        <f t="shared" si="0"/>
        <v>33.274000000000001</v>
      </c>
      <c r="D29" s="47">
        <f t="shared" si="1"/>
        <v>6.079564705882353</v>
      </c>
      <c r="E29" s="47">
        <f t="shared" si="2"/>
        <v>11.026692894431044</v>
      </c>
      <c r="F29" s="47">
        <f t="shared" si="5"/>
        <v>27.194435294117646</v>
      </c>
      <c r="G29" s="24">
        <f t="shared" si="4"/>
        <v>2.4662367542540347</v>
      </c>
      <c r="H29">
        <v>-0.5</v>
      </c>
      <c r="I29" s="19"/>
      <c r="J29" s="19"/>
      <c r="K29" s="19"/>
      <c r="L29" s="19"/>
      <c r="M29" s="19"/>
      <c r="N29" s="19"/>
    </row>
    <row r="30" spans="1:14" x14ac:dyDescent="0.25">
      <c r="A30" s="56">
        <v>41355</v>
      </c>
      <c r="B30" s="29">
        <v>0.49</v>
      </c>
      <c r="C30" s="36">
        <f t="shared" si="0"/>
        <v>12.446</v>
      </c>
      <c r="D30" s="47">
        <f t="shared" si="1"/>
        <v>6.079564705882353</v>
      </c>
      <c r="E30" s="47">
        <f t="shared" si="2"/>
        <v>11.026692894431044</v>
      </c>
      <c r="F30" s="47">
        <f t="shared" si="5"/>
        <v>6.3664352941176467</v>
      </c>
      <c r="G30" s="24">
        <f t="shared" si="4"/>
        <v>0.57736579363092366</v>
      </c>
      <c r="H30">
        <v>-0.5</v>
      </c>
      <c r="I30" s="19"/>
      <c r="J30" s="19"/>
      <c r="K30" s="19"/>
      <c r="L30" s="19"/>
      <c r="M30" s="19"/>
      <c r="N30" s="19"/>
    </row>
    <row r="31" spans="1:14" x14ac:dyDescent="0.25">
      <c r="A31" s="56">
        <v>41386</v>
      </c>
      <c r="B31" s="29">
        <v>0.39</v>
      </c>
      <c r="C31" s="36">
        <f t="shared" si="0"/>
        <v>9.9060000000000006</v>
      </c>
      <c r="D31" s="47">
        <f t="shared" si="1"/>
        <v>6.079564705882353</v>
      </c>
      <c r="E31" s="47">
        <f t="shared" si="2"/>
        <v>11.026692894431044</v>
      </c>
      <c r="F31" s="47">
        <f t="shared" si="5"/>
        <v>3.8264352941176476</v>
      </c>
      <c r="G31" s="24">
        <f t="shared" si="4"/>
        <v>0.3470156764817639</v>
      </c>
      <c r="H31">
        <v>-0.5</v>
      </c>
      <c r="I31" s="19"/>
      <c r="J31" s="19"/>
      <c r="K31" s="19"/>
      <c r="L31" s="19"/>
      <c r="M31" s="19"/>
      <c r="N31" s="19"/>
    </row>
    <row r="32" spans="1:14" x14ac:dyDescent="0.25">
      <c r="A32" s="56">
        <v>41416</v>
      </c>
      <c r="B32" s="29">
        <v>0.27</v>
      </c>
      <c r="C32" s="36">
        <f t="shared" si="0"/>
        <v>6.8579999999999997</v>
      </c>
      <c r="D32" s="47">
        <f t="shared" si="1"/>
        <v>6.079564705882353</v>
      </c>
      <c r="E32" s="47">
        <f t="shared" si="2"/>
        <v>11.026692894431044</v>
      </c>
      <c r="F32" s="47">
        <f t="shared" si="5"/>
        <v>0.77843529411764667</v>
      </c>
      <c r="G32" s="24">
        <f t="shared" si="4"/>
        <v>7.0595535902771914E-2</v>
      </c>
      <c r="H32">
        <v>-0.5</v>
      </c>
      <c r="I32" s="19"/>
      <c r="J32" s="19"/>
      <c r="K32" s="19"/>
      <c r="L32" s="19"/>
      <c r="M32" s="19"/>
      <c r="N32" s="19"/>
    </row>
    <row r="33" spans="1:14" x14ac:dyDescent="0.25">
      <c r="A33" s="56">
        <v>41447</v>
      </c>
      <c r="B33" s="29">
        <v>0.17</v>
      </c>
      <c r="C33" s="36">
        <f t="shared" si="0"/>
        <v>4.3180000000000005</v>
      </c>
      <c r="D33" s="47">
        <f t="shared" si="1"/>
        <v>6.079564705882353</v>
      </c>
      <c r="E33" s="47">
        <f t="shared" si="2"/>
        <v>11.026692894431044</v>
      </c>
      <c r="F33" s="47">
        <f t="shared" si="5"/>
        <v>-1.7615647058823525</v>
      </c>
      <c r="G33" s="24">
        <f t="shared" si="4"/>
        <v>-0.15975458124638792</v>
      </c>
      <c r="H33">
        <v>-0.5</v>
      </c>
      <c r="I33" s="19"/>
      <c r="J33" s="19"/>
      <c r="K33" s="19"/>
      <c r="L33" s="19"/>
      <c r="M33" s="19"/>
      <c r="N33" s="19"/>
    </row>
    <row r="34" spans="1:14" x14ac:dyDescent="0.25">
      <c r="A34" s="56">
        <v>41477</v>
      </c>
      <c r="B34" s="29">
        <v>0.11</v>
      </c>
      <c r="C34" s="36">
        <f t="shared" si="0"/>
        <v>2.794</v>
      </c>
      <c r="D34" s="47">
        <f t="shared" si="1"/>
        <v>6.079564705882353</v>
      </c>
      <c r="E34" s="47">
        <f t="shared" si="2"/>
        <v>11.026692894431044</v>
      </c>
      <c r="F34" s="47">
        <f t="shared" si="5"/>
        <v>-3.2855647058823529</v>
      </c>
      <c r="G34" s="24">
        <f t="shared" si="4"/>
        <v>-0.29796465153588392</v>
      </c>
      <c r="H34">
        <v>-0.5</v>
      </c>
      <c r="I34" s="19"/>
      <c r="J34" s="19"/>
      <c r="K34" s="19"/>
      <c r="L34" s="19"/>
      <c r="M34" s="19"/>
      <c r="N34" s="19"/>
    </row>
    <row r="35" spans="1:14" x14ac:dyDescent="0.25">
      <c r="A35" s="56">
        <v>41508</v>
      </c>
      <c r="B35" s="29">
        <v>0.11</v>
      </c>
      <c r="C35" s="36">
        <f t="shared" si="0"/>
        <v>2.794</v>
      </c>
      <c r="D35" s="47">
        <f t="shared" si="1"/>
        <v>6.079564705882353</v>
      </c>
      <c r="E35" s="47">
        <f t="shared" si="2"/>
        <v>11.026692894431044</v>
      </c>
      <c r="F35" s="47">
        <f t="shared" si="5"/>
        <v>-3.2855647058823529</v>
      </c>
      <c r="G35" s="24">
        <f t="shared" si="4"/>
        <v>-0.29796465153588392</v>
      </c>
      <c r="H35">
        <v>-0.5</v>
      </c>
      <c r="I35" s="19"/>
      <c r="J35" s="19"/>
      <c r="K35" s="19"/>
      <c r="L35" s="19"/>
      <c r="M35" s="19"/>
      <c r="N35" s="19"/>
    </row>
    <row r="36" spans="1:14" x14ac:dyDescent="0.25">
      <c r="A36" s="56">
        <v>41539</v>
      </c>
      <c r="B36" s="29">
        <v>0.05</v>
      </c>
      <c r="C36" s="36">
        <f t="shared" si="0"/>
        <v>1.27</v>
      </c>
      <c r="D36" s="47">
        <f t="shared" si="1"/>
        <v>6.079564705882353</v>
      </c>
      <c r="E36" s="47">
        <f t="shared" si="2"/>
        <v>11.026692894431044</v>
      </c>
      <c r="F36" s="47">
        <f t="shared" si="5"/>
        <v>-4.8095647058823534</v>
      </c>
      <c r="G36" s="24">
        <f t="shared" si="4"/>
        <v>-0.43617472182537986</v>
      </c>
      <c r="H36">
        <v>-0.5</v>
      </c>
      <c r="I36" s="19"/>
      <c r="J36" s="19"/>
      <c r="K36" s="19"/>
      <c r="L36" s="19"/>
      <c r="M36" s="19"/>
      <c r="N36" s="19"/>
    </row>
    <row r="37" spans="1:14" x14ac:dyDescent="0.25">
      <c r="A37" s="56">
        <v>41569</v>
      </c>
      <c r="B37" s="29">
        <v>0.19</v>
      </c>
      <c r="C37" s="36">
        <f t="shared" ref="C37:C68" si="6">$D$1*B37</f>
        <v>4.8259999999999996</v>
      </c>
      <c r="D37" s="47">
        <f t="shared" si="1"/>
        <v>6.079564705882353</v>
      </c>
      <c r="E37" s="47">
        <f t="shared" si="2"/>
        <v>11.026692894431044</v>
      </c>
      <c r="F37" s="47">
        <f t="shared" si="5"/>
        <v>-1.2535647058823534</v>
      </c>
      <c r="G37" s="24">
        <f t="shared" si="4"/>
        <v>-0.11368455781655601</v>
      </c>
      <c r="H37">
        <v>-0.5</v>
      </c>
      <c r="I37" s="19"/>
      <c r="J37" s="19"/>
      <c r="K37" s="19"/>
      <c r="L37" s="19"/>
      <c r="M37" s="19"/>
      <c r="N37" s="19"/>
    </row>
    <row r="38" spans="1:14" x14ac:dyDescent="0.25">
      <c r="A38" s="56">
        <v>41600</v>
      </c>
      <c r="B38" s="29">
        <v>0</v>
      </c>
      <c r="C38" s="36">
        <f t="shared" si="6"/>
        <v>0</v>
      </c>
      <c r="D38" s="47">
        <f t="shared" si="1"/>
        <v>6.079564705882353</v>
      </c>
      <c r="E38" s="47">
        <f t="shared" si="2"/>
        <v>11.026692894431044</v>
      </c>
      <c r="F38" s="47">
        <f t="shared" si="5"/>
        <v>-6.079564705882353</v>
      </c>
      <c r="G38" s="24">
        <f t="shared" si="4"/>
        <v>-0.55134978039995974</v>
      </c>
      <c r="H38">
        <v>-0.5</v>
      </c>
      <c r="I38" s="19"/>
      <c r="J38" s="19"/>
      <c r="K38" s="19"/>
      <c r="L38" s="19"/>
      <c r="M38" s="19"/>
      <c r="N38" s="19"/>
    </row>
    <row r="39" spans="1:14" x14ac:dyDescent="0.25">
      <c r="A39" s="56">
        <v>41630</v>
      </c>
      <c r="B39" s="29">
        <v>0.66</v>
      </c>
      <c r="C39" s="36">
        <f t="shared" si="6"/>
        <v>16.763999999999999</v>
      </c>
      <c r="D39" s="47">
        <f t="shared" si="1"/>
        <v>6.079564705882353</v>
      </c>
      <c r="E39" s="47">
        <f t="shared" si="2"/>
        <v>11.026692894431044</v>
      </c>
      <c r="F39" s="47">
        <f t="shared" si="5"/>
        <v>10.684435294117646</v>
      </c>
      <c r="G39" s="24">
        <f t="shared" si="4"/>
        <v>0.96896099278449555</v>
      </c>
      <c r="H39">
        <v>-0.5</v>
      </c>
      <c r="I39" s="19"/>
      <c r="J39" s="19"/>
      <c r="K39" s="19"/>
      <c r="L39" s="19"/>
      <c r="M39" s="19"/>
      <c r="N39" s="19"/>
    </row>
    <row r="40" spans="1:14" x14ac:dyDescent="0.25">
      <c r="A40" s="56">
        <v>41661</v>
      </c>
      <c r="B40" s="29">
        <v>0.25</v>
      </c>
      <c r="C40" s="36">
        <f t="shared" si="6"/>
        <v>6.35</v>
      </c>
      <c r="D40" s="47">
        <f t="shared" si="1"/>
        <v>6.079564705882353</v>
      </c>
      <c r="E40" s="47">
        <f t="shared" si="2"/>
        <v>11.026692894431044</v>
      </c>
      <c r="F40" s="47">
        <f t="shared" si="5"/>
        <v>0.27043529411764666</v>
      </c>
      <c r="G40" s="24">
        <f t="shared" si="4"/>
        <v>2.452551247293993E-2</v>
      </c>
      <c r="H40">
        <v>-0.5</v>
      </c>
      <c r="I40" s="19"/>
      <c r="J40" s="19"/>
      <c r="K40" s="19"/>
      <c r="L40" s="19"/>
      <c r="M40" s="19"/>
      <c r="N40" s="19"/>
    </row>
    <row r="41" spans="1:14" x14ac:dyDescent="0.25">
      <c r="A41" s="56">
        <v>41692</v>
      </c>
      <c r="B41" s="29">
        <v>1.79</v>
      </c>
      <c r="C41" s="36">
        <f t="shared" si="6"/>
        <v>45.466000000000001</v>
      </c>
      <c r="D41" s="47">
        <f t="shared" si="1"/>
        <v>6.079564705882353</v>
      </c>
      <c r="E41" s="47">
        <f t="shared" si="2"/>
        <v>11.026692894431044</v>
      </c>
      <c r="F41" s="47">
        <f t="shared" si="5"/>
        <v>39.386435294117646</v>
      </c>
      <c r="G41" s="24">
        <f t="shared" si="4"/>
        <v>3.5719173165700022</v>
      </c>
      <c r="H41">
        <v>-0.5</v>
      </c>
      <c r="I41" s="19"/>
      <c r="J41" s="19"/>
      <c r="K41" s="19"/>
      <c r="L41" s="19"/>
      <c r="M41" s="19"/>
      <c r="N41" s="19"/>
    </row>
    <row r="42" spans="1:14" x14ac:dyDescent="0.25">
      <c r="A42" s="56">
        <v>41720</v>
      </c>
      <c r="B42" s="29">
        <v>2.69</v>
      </c>
      <c r="C42" s="36">
        <f t="shared" si="6"/>
        <v>68.325999999999993</v>
      </c>
      <c r="D42" s="47">
        <f t="shared" si="1"/>
        <v>6.079564705882353</v>
      </c>
      <c r="E42" s="47">
        <f t="shared" si="2"/>
        <v>11.026692894431044</v>
      </c>
      <c r="F42" s="47">
        <f t="shared" si="5"/>
        <v>62.246435294117639</v>
      </c>
      <c r="G42" s="24">
        <f t="shared" si="4"/>
        <v>5.6450683709124405</v>
      </c>
      <c r="H42">
        <v>-0.5</v>
      </c>
      <c r="I42" s="19"/>
      <c r="J42" s="19"/>
      <c r="K42" s="19"/>
      <c r="L42" s="19"/>
      <c r="M42" s="19"/>
      <c r="N42" s="19"/>
    </row>
    <row r="43" spans="1:14" x14ac:dyDescent="0.25">
      <c r="A43" s="56">
        <v>41751</v>
      </c>
      <c r="B43" s="29">
        <v>0.61</v>
      </c>
      <c r="C43" s="36">
        <f t="shared" si="6"/>
        <v>15.493999999999998</v>
      </c>
      <c r="D43" s="47">
        <f t="shared" si="1"/>
        <v>6.079564705882353</v>
      </c>
      <c r="E43" s="47">
        <f t="shared" si="2"/>
        <v>11.026692894431044</v>
      </c>
      <c r="F43" s="47">
        <f t="shared" si="5"/>
        <v>9.414435294117645</v>
      </c>
      <c r="G43" s="24">
        <f t="shared" si="4"/>
        <v>0.85378593420991544</v>
      </c>
      <c r="H43">
        <v>-0.5</v>
      </c>
      <c r="I43" s="19"/>
      <c r="J43" s="19"/>
      <c r="K43" s="19"/>
      <c r="L43" s="19"/>
      <c r="M43" s="19"/>
      <c r="N43" s="19"/>
    </row>
    <row r="44" spans="1:14" x14ac:dyDescent="0.25">
      <c r="A44" s="56">
        <v>41781</v>
      </c>
      <c r="B44" s="29">
        <v>0.6</v>
      </c>
      <c r="C44" s="36">
        <f t="shared" si="6"/>
        <v>15.239999999999998</v>
      </c>
      <c r="D44" s="47">
        <f t="shared" si="1"/>
        <v>6.079564705882353</v>
      </c>
      <c r="E44" s="47">
        <f t="shared" si="2"/>
        <v>11.026692894431044</v>
      </c>
      <c r="F44" s="47">
        <f t="shared" si="5"/>
        <v>9.1604352941176455</v>
      </c>
      <c r="G44" s="24">
        <f t="shared" si="4"/>
        <v>0.83075092249499949</v>
      </c>
      <c r="H44">
        <v>-0.5</v>
      </c>
      <c r="I44" s="19"/>
      <c r="J44" s="19"/>
      <c r="K44" s="19"/>
      <c r="L44" s="19"/>
      <c r="M44" s="19"/>
      <c r="N44" s="19"/>
    </row>
    <row r="45" spans="1:14" x14ac:dyDescent="0.25">
      <c r="A45" s="56">
        <v>41812</v>
      </c>
      <c r="B45" s="29">
        <v>0.25</v>
      </c>
      <c r="C45" s="36">
        <f t="shared" si="6"/>
        <v>6.35</v>
      </c>
      <c r="D45" s="47">
        <f t="shared" si="1"/>
        <v>6.079564705882353</v>
      </c>
      <c r="E45" s="47">
        <f t="shared" si="2"/>
        <v>11.026692894431044</v>
      </c>
      <c r="F45" s="47">
        <f t="shared" si="5"/>
        <v>0.27043529411764666</v>
      </c>
      <c r="G45" s="24">
        <f t="shared" si="4"/>
        <v>2.452551247293993E-2</v>
      </c>
      <c r="H45">
        <v>-0.5</v>
      </c>
      <c r="I45" s="19"/>
      <c r="J45" s="19"/>
      <c r="K45" s="19"/>
      <c r="L45" s="19"/>
      <c r="M45" s="19"/>
      <c r="N45" s="19"/>
    </row>
    <row r="46" spans="1:14" x14ac:dyDescent="0.25">
      <c r="A46" s="56">
        <v>41842</v>
      </c>
      <c r="B46" s="29">
        <v>0.2</v>
      </c>
      <c r="C46" s="36">
        <f t="shared" si="6"/>
        <v>5.08</v>
      </c>
      <c r="D46" s="47">
        <f t="shared" si="1"/>
        <v>6.079564705882353</v>
      </c>
      <c r="E46" s="47">
        <f t="shared" si="2"/>
        <v>11.026692894431044</v>
      </c>
      <c r="F46" s="47">
        <f t="shared" ref="F46:F77" si="7">C46-D46</f>
        <v>-0.99956470588235291</v>
      </c>
      <c r="G46" s="24">
        <f t="shared" si="4"/>
        <v>-9.0649546101639986E-2</v>
      </c>
      <c r="H46">
        <v>-0.5</v>
      </c>
      <c r="I46" s="19"/>
      <c r="J46" s="19"/>
      <c r="K46" s="19"/>
      <c r="L46" s="19"/>
      <c r="M46" s="19"/>
      <c r="N46" s="19"/>
    </row>
    <row r="47" spans="1:14" x14ac:dyDescent="0.25">
      <c r="A47" s="56">
        <v>41873</v>
      </c>
      <c r="B47" s="29">
        <v>0.09</v>
      </c>
      <c r="C47" s="36">
        <f t="shared" si="6"/>
        <v>2.2859999999999996</v>
      </c>
      <c r="D47" s="47">
        <f t="shared" si="1"/>
        <v>6.079564705882353</v>
      </c>
      <c r="E47" s="47">
        <f t="shared" si="2"/>
        <v>11.026692894431044</v>
      </c>
      <c r="F47" s="47">
        <f t="shared" si="7"/>
        <v>-3.7935647058823534</v>
      </c>
      <c r="G47" s="24">
        <f t="shared" si="4"/>
        <v>-0.34403467496571594</v>
      </c>
      <c r="H47">
        <v>-0.5</v>
      </c>
      <c r="I47" s="19"/>
      <c r="J47" s="19"/>
      <c r="K47" s="19"/>
      <c r="L47" s="19"/>
      <c r="M47" s="19"/>
      <c r="N47" s="19"/>
    </row>
    <row r="48" spans="1:14" x14ac:dyDescent="0.25">
      <c r="A48" s="56">
        <v>41904</v>
      </c>
      <c r="B48" s="29">
        <v>0.14000000000000001</v>
      </c>
      <c r="C48" s="36">
        <f t="shared" si="6"/>
        <v>3.556</v>
      </c>
      <c r="D48" s="47">
        <f t="shared" si="1"/>
        <v>6.079564705882353</v>
      </c>
      <c r="E48" s="47">
        <f t="shared" si="2"/>
        <v>11.026692894431044</v>
      </c>
      <c r="F48" s="47">
        <f t="shared" si="7"/>
        <v>-2.5235647058823529</v>
      </c>
      <c r="G48" s="24">
        <f t="shared" si="4"/>
        <v>-0.22885961639113592</v>
      </c>
      <c r="H48">
        <v>-0.5</v>
      </c>
      <c r="I48" s="19"/>
      <c r="J48" s="19"/>
      <c r="K48" s="19"/>
      <c r="L48" s="19"/>
      <c r="M48" s="19"/>
      <c r="N48" s="19"/>
    </row>
    <row r="49" spans="1:14" x14ac:dyDescent="0.25">
      <c r="A49" s="56">
        <v>41934</v>
      </c>
      <c r="B49" s="29">
        <v>0.11</v>
      </c>
      <c r="C49" s="36">
        <f t="shared" si="6"/>
        <v>2.794</v>
      </c>
      <c r="D49" s="47">
        <f t="shared" si="1"/>
        <v>6.079564705882353</v>
      </c>
      <c r="E49" s="47">
        <f t="shared" si="2"/>
        <v>11.026692894431044</v>
      </c>
      <c r="F49" s="47">
        <f t="shared" si="7"/>
        <v>-3.2855647058823529</v>
      </c>
      <c r="G49" s="24">
        <f t="shared" si="4"/>
        <v>-0.29796465153588392</v>
      </c>
      <c r="H49">
        <v>-0.5</v>
      </c>
      <c r="I49" s="19"/>
      <c r="J49" s="19"/>
      <c r="K49" s="19"/>
      <c r="L49" s="19"/>
      <c r="M49" s="19"/>
      <c r="N49" s="19"/>
    </row>
    <row r="50" spans="1:14" x14ac:dyDescent="0.25">
      <c r="A50" s="56">
        <v>41965</v>
      </c>
      <c r="B50" s="29">
        <v>0.11</v>
      </c>
      <c r="C50" s="36">
        <f t="shared" si="6"/>
        <v>2.794</v>
      </c>
      <c r="D50" s="47">
        <f t="shared" si="1"/>
        <v>6.079564705882353</v>
      </c>
      <c r="E50" s="47">
        <f t="shared" si="2"/>
        <v>11.026692894431044</v>
      </c>
      <c r="F50" s="47">
        <f t="shared" si="7"/>
        <v>-3.2855647058823529</v>
      </c>
      <c r="G50" s="24">
        <f t="shared" si="4"/>
        <v>-0.29796465153588392</v>
      </c>
      <c r="H50">
        <v>-0.5</v>
      </c>
      <c r="I50" s="19"/>
      <c r="J50" s="19"/>
      <c r="K50" s="19"/>
      <c r="L50" s="19"/>
      <c r="M50" s="19"/>
      <c r="N50" s="19"/>
    </row>
    <row r="51" spans="1:14" x14ac:dyDescent="0.25">
      <c r="A51" s="56">
        <v>41995</v>
      </c>
      <c r="B51" s="29">
        <v>0.96</v>
      </c>
      <c r="C51" s="36">
        <f t="shared" si="6"/>
        <v>24.383999999999997</v>
      </c>
      <c r="D51" s="47">
        <f t="shared" si="1"/>
        <v>6.079564705882353</v>
      </c>
      <c r="E51" s="47">
        <f t="shared" si="2"/>
        <v>11.026692894431044</v>
      </c>
      <c r="F51" s="47">
        <f t="shared" si="7"/>
        <v>18.304435294117646</v>
      </c>
      <c r="G51" s="24">
        <f t="shared" si="4"/>
        <v>1.6600113442319751</v>
      </c>
      <c r="H51">
        <v>-0.5</v>
      </c>
      <c r="I51" s="19"/>
      <c r="J51" s="19"/>
      <c r="K51" s="19"/>
      <c r="L51" s="19"/>
      <c r="M51" s="19"/>
      <c r="N51" s="19"/>
    </row>
    <row r="52" spans="1:14" x14ac:dyDescent="0.25">
      <c r="A52" s="56">
        <v>42026</v>
      </c>
      <c r="B52" s="29">
        <v>0.26</v>
      </c>
      <c r="C52" s="36">
        <f t="shared" si="6"/>
        <v>6.6040000000000001</v>
      </c>
      <c r="D52" s="47">
        <f t="shared" si="1"/>
        <v>6.079564705882353</v>
      </c>
      <c r="E52" s="47">
        <f t="shared" si="2"/>
        <v>11.026692894431044</v>
      </c>
      <c r="F52" s="47">
        <f t="shared" si="7"/>
        <v>0.52443529411764711</v>
      </c>
      <c r="G52" s="24">
        <f t="shared" si="4"/>
        <v>4.756052418785596E-2</v>
      </c>
      <c r="H52">
        <v>-0.5</v>
      </c>
      <c r="I52" s="19"/>
      <c r="J52" s="19"/>
      <c r="K52" s="19"/>
      <c r="L52" s="19"/>
      <c r="M52" s="19"/>
      <c r="N52" s="19"/>
    </row>
    <row r="53" spans="1:14" x14ac:dyDescent="0.25">
      <c r="A53" s="56">
        <v>42057</v>
      </c>
      <c r="B53" s="29">
        <v>0.08</v>
      </c>
      <c r="C53" s="36">
        <f t="shared" si="6"/>
        <v>2.032</v>
      </c>
      <c r="D53" s="47">
        <f t="shared" si="1"/>
        <v>6.079564705882353</v>
      </c>
      <c r="E53" s="47">
        <f t="shared" si="2"/>
        <v>11.026692894431044</v>
      </c>
      <c r="F53" s="47">
        <f t="shared" si="7"/>
        <v>-4.047564705882353</v>
      </c>
      <c r="G53" s="24">
        <f t="shared" si="4"/>
        <v>-0.36706968668063189</v>
      </c>
      <c r="H53">
        <v>-0.5</v>
      </c>
      <c r="I53" s="19"/>
      <c r="J53" s="19"/>
      <c r="K53" s="19"/>
      <c r="L53" s="19"/>
      <c r="M53" s="19"/>
      <c r="N53" s="19"/>
    </row>
    <row r="54" spans="1:14" x14ac:dyDescent="0.25">
      <c r="A54" s="56">
        <v>42085</v>
      </c>
      <c r="B54" s="29">
        <v>0.23</v>
      </c>
      <c r="C54" s="36">
        <f t="shared" si="6"/>
        <v>5.8419999999999996</v>
      </c>
      <c r="D54" s="47">
        <f t="shared" si="1"/>
        <v>6.079564705882353</v>
      </c>
      <c r="E54" s="47">
        <f t="shared" si="2"/>
        <v>11.026692894431044</v>
      </c>
      <c r="F54" s="47">
        <f t="shared" si="7"/>
        <v>-0.23756470588235334</v>
      </c>
      <c r="G54" s="24">
        <f t="shared" si="4"/>
        <v>-2.1544510956892051E-2</v>
      </c>
      <c r="H54">
        <v>-0.5</v>
      </c>
      <c r="I54" s="19"/>
      <c r="J54" s="19"/>
      <c r="K54" s="19"/>
      <c r="L54" s="19"/>
      <c r="M54" s="19"/>
      <c r="N54" s="19"/>
    </row>
    <row r="55" spans="1:14" x14ac:dyDescent="0.25">
      <c r="A55" s="56">
        <v>42116</v>
      </c>
      <c r="B55" s="29">
        <v>0.18</v>
      </c>
      <c r="C55" s="36">
        <f t="shared" si="6"/>
        <v>4.5719999999999992</v>
      </c>
      <c r="D55" s="47">
        <f t="shared" si="1"/>
        <v>6.079564705882353</v>
      </c>
      <c r="E55" s="47">
        <f t="shared" si="2"/>
        <v>11.026692894431044</v>
      </c>
      <c r="F55" s="47">
        <f t="shared" si="7"/>
        <v>-1.5075647058823538</v>
      </c>
      <c r="G55" s="24">
        <f t="shared" si="4"/>
        <v>-0.13671956953147205</v>
      </c>
      <c r="H55">
        <v>-0.5</v>
      </c>
      <c r="I55" s="19"/>
      <c r="J55" s="19"/>
      <c r="K55" s="19"/>
      <c r="L55" s="19"/>
      <c r="M55" s="19"/>
      <c r="N55" s="19"/>
    </row>
    <row r="56" spans="1:14" x14ac:dyDescent="0.25">
      <c r="A56" s="56">
        <v>42146</v>
      </c>
      <c r="B56" s="29">
        <v>0.13</v>
      </c>
      <c r="C56" s="36">
        <f t="shared" si="6"/>
        <v>3.302</v>
      </c>
      <c r="D56" s="47">
        <f t="shared" si="1"/>
        <v>6.079564705882353</v>
      </c>
      <c r="E56" s="47">
        <f t="shared" si="2"/>
        <v>11.026692894431044</v>
      </c>
      <c r="F56" s="47">
        <f t="shared" si="7"/>
        <v>-2.7775647058823529</v>
      </c>
      <c r="G56" s="24">
        <f t="shared" si="4"/>
        <v>-0.2518946281060519</v>
      </c>
      <c r="H56">
        <v>-0.5</v>
      </c>
      <c r="I56" s="19"/>
      <c r="J56" s="19"/>
      <c r="K56" s="19"/>
      <c r="L56" s="19"/>
      <c r="M56" s="19"/>
      <c r="N56" s="19"/>
    </row>
    <row r="57" spans="1:14" x14ac:dyDescent="0.25">
      <c r="A57" s="56">
        <v>42177</v>
      </c>
      <c r="B57" s="29">
        <v>0.03</v>
      </c>
      <c r="C57" s="36">
        <f t="shared" si="6"/>
        <v>0.7619999999999999</v>
      </c>
      <c r="D57" s="47">
        <f t="shared" si="1"/>
        <v>6.079564705882353</v>
      </c>
      <c r="E57" s="47">
        <f t="shared" si="2"/>
        <v>11.026692894431044</v>
      </c>
      <c r="F57" s="47">
        <f t="shared" si="7"/>
        <v>-5.3175647058823534</v>
      </c>
      <c r="G57" s="24">
        <f t="shared" si="4"/>
        <v>-0.48224474525521188</v>
      </c>
      <c r="H57">
        <v>-0.5</v>
      </c>
      <c r="I57" s="19"/>
      <c r="J57" s="19"/>
      <c r="K57" s="19"/>
      <c r="L57" s="19"/>
      <c r="M57" s="19"/>
      <c r="N57" s="19"/>
    </row>
    <row r="58" spans="1:14" x14ac:dyDescent="0.25">
      <c r="A58" s="56">
        <v>42207</v>
      </c>
      <c r="B58" s="29">
        <v>0.08</v>
      </c>
      <c r="C58" s="36">
        <f t="shared" si="6"/>
        <v>2.032</v>
      </c>
      <c r="D58" s="47">
        <f t="shared" si="1"/>
        <v>6.079564705882353</v>
      </c>
      <c r="E58" s="47">
        <f t="shared" si="2"/>
        <v>11.026692894431044</v>
      </c>
      <c r="F58" s="47">
        <f t="shared" si="7"/>
        <v>-4.047564705882353</v>
      </c>
      <c r="G58" s="24">
        <f t="shared" si="4"/>
        <v>-0.36706968668063189</v>
      </c>
      <c r="H58">
        <v>-0.5</v>
      </c>
      <c r="I58" s="19"/>
      <c r="J58" s="19"/>
      <c r="K58" s="19"/>
      <c r="L58" s="19"/>
      <c r="M58" s="19"/>
      <c r="N58" s="19"/>
    </row>
    <row r="59" spans="1:14" x14ac:dyDescent="0.25">
      <c r="A59" s="56">
        <v>42238</v>
      </c>
      <c r="B59" s="29">
        <v>0.05</v>
      </c>
      <c r="C59" s="36">
        <f t="shared" si="6"/>
        <v>1.27</v>
      </c>
      <c r="D59" s="47">
        <f t="shared" si="1"/>
        <v>6.079564705882353</v>
      </c>
      <c r="E59" s="47">
        <f t="shared" si="2"/>
        <v>11.026692894431044</v>
      </c>
      <c r="F59" s="47">
        <f t="shared" si="7"/>
        <v>-4.8095647058823534</v>
      </c>
      <c r="G59" s="24">
        <f t="shared" si="4"/>
        <v>-0.43617472182537986</v>
      </c>
      <c r="H59">
        <v>-0.5</v>
      </c>
      <c r="I59" s="19"/>
      <c r="J59" s="19"/>
      <c r="K59" s="19"/>
      <c r="L59" s="19"/>
      <c r="M59" s="19"/>
      <c r="N59" s="19"/>
    </row>
    <row r="60" spans="1:14" x14ac:dyDescent="0.25">
      <c r="A60" s="56">
        <v>42269</v>
      </c>
      <c r="B60" s="29">
        <v>0.08</v>
      </c>
      <c r="C60" s="36">
        <f t="shared" si="6"/>
        <v>2.032</v>
      </c>
      <c r="D60" s="47">
        <f t="shared" si="1"/>
        <v>6.079564705882353</v>
      </c>
      <c r="E60" s="47">
        <f t="shared" si="2"/>
        <v>11.026692894431044</v>
      </c>
      <c r="F60" s="47">
        <f t="shared" si="7"/>
        <v>-4.047564705882353</v>
      </c>
      <c r="G60" s="24">
        <f t="shared" si="4"/>
        <v>-0.36706968668063189</v>
      </c>
      <c r="H60">
        <v>-0.5</v>
      </c>
      <c r="I60" s="19"/>
      <c r="J60" s="19"/>
      <c r="K60" s="19"/>
      <c r="L60" s="19"/>
      <c r="M60" s="19"/>
      <c r="N60" s="19"/>
    </row>
    <row r="61" spans="1:14" x14ac:dyDescent="0.25">
      <c r="A61" s="56">
        <v>42299</v>
      </c>
      <c r="B61" s="29">
        <v>0.01</v>
      </c>
      <c r="C61" s="36">
        <f t="shared" si="6"/>
        <v>0.254</v>
      </c>
      <c r="D61" s="47">
        <f t="shared" si="1"/>
        <v>6.079564705882353</v>
      </c>
      <c r="E61" s="47">
        <f t="shared" si="2"/>
        <v>11.026692894431044</v>
      </c>
      <c r="F61" s="47">
        <f t="shared" si="7"/>
        <v>-5.8255647058823534</v>
      </c>
      <c r="G61" s="24">
        <f t="shared" si="4"/>
        <v>-0.5283147686850439</v>
      </c>
      <c r="H61">
        <v>-0.5</v>
      </c>
      <c r="I61" s="19"/>
      <c r="J61" s="19"/>
      <c r="K61" s="19"/>
      <c r="L61" s="19"/>
      <c r="M61" s="19"/>
      <c r="N61" s="19"/>
    </row>
    <row r="62" spans="1:14" x14ac:dyDescent="0.25">
      <c r="A62" s="56">
        <v>42330</v>
      </c>
      <c r="B62" s="29">
        <v>0.02</v>
      </c>
      <c r="C62" s="36">
        <f t="shared" si="6"/>
        <v>0.50800000000000001</v>
      </c>
      <c r="D62" s="47">
        <f t="shared" si="1"/>
        <v>6.079564705882353</v>
      </c>
      <c r="E62" s="47">
        <f t="shared" si="2"/>
        <v>11.026692894431044</v>
      </c>
      <c r="F62" s="47">
        <f t="shared" si="7"/>
        <v>-5.571564705882353</v>
      </c>
      <c r="G62" s="24">
        <f t="shared" si="4"/>
        <v>-0.50527975697012784</v>
      </c>
      <c r="H62">
        <v>-0.5</v>
      </c>
      <c r="I62" s="19"/>
      <c r="J62" s="19"/>
      <c r="K62" s="19"/>
      <c r="L62" s="19"/>
      <c r="M62" s="19"/>
      <c r="N62" s="19"/>
    </row>
    <row r="63" spans="1:14" x14ac:dyDescent="0.25">
      <c r="A63" s="56">
        <v>42360</v>
      </c>
      <c r="B63" s="29">
        <v>0.03</v>
      </c>
      <c r="C63" s="36">
        <f t="shared" si="6"/>
        <v>0.7619999999999999</v>
      </c>
      <c r="D63" s="47">
        <f t="shared" si="1"/>
        <v>6.079564705882353</v>
      </c>
      <c r="E63" s="47">
        <f t="shared" si="2"/>
        <v>11.026692894431044</v>
      </c>
      <c r="F63" s="47">
        <f t="shared" si="7"/>
        <v>-5.3175647058823534</v>
      </c>
      <c r="G63" s="24">
        <f t="shared" si="4"/>
        <v>-0.48224474525521188</v>
      </c>
      <c r="H63">
        <v>-0.5</v>
      </c>
      <c r="I63" s="19"/>
      <c r="J63" s="19"/>
      <c r="K63" s="19"/>
      <c r="L63" s="19"/>
      <c r="M63" s="19"/>
      <c r="N63" s="19"/>
    </row>
    <row r="64" spans="1:14" x14ac:dyDescent="0.25">
      <c r="A64" s="56">
        <v>42391</v>
      </c>
      <c r="B64" s="29">
        <v>0.03</v>
      </c>
      <c r="C64" s="36">
        <f t="shared" si="6"/>
        <v>0.7619999999999999</v>
      </c>
      <c r="D64" s="47">
        <f t="shared" si="1"/>
        <v>6.079564705882353</v>
      </c>
      <c r="E64" s="47">
        <f t="shared" si="2"/>
        <v>11.026692894431044</v>
      </c>
      <c r="F64" s="47">
        <f t="shared" si="7"/>
        <v>-5.3175647058823534</v>
      </c>
      <c r="G64" s="24">
        <f t="shared" si="4"/>
        <v>-0.48224474525521188</v>
      </c>
      <c r="H64">
        <v>-0.5</v>
      </c>
      <c r="I64" s="19"/>
      <c r="J64" s="19"/>
      <c r="K64" s="19"/>
      <c r="L64" s="19"/>
      <c r="M64" s="19"/>
      <c r="N64" s="19"/>
    </row>
    <row r="65" spans="1:14" x14ac:dyDescent="0.25">
      <c r="A65" s="56">
        <v>42422</v>
      </c>
      <c r="B65" s="29">
        <v>0.02</v>
      </c>
      <c r="C65" s="36">
        <f t="shared" si="6"/>
        <v>0.50800000000000001</v>
      </c>
      <c r="D65" s="47">
        <f t="shared" si="1"/>
        <v>6.079564705882353</v>
      </c>
      <c r="E65" s="47">
        <f t="shared" si="2"/>
        <v>11.026692894431044</v>
      </c>
      <c r="F65" s="47">
        <f t="shared" si="7"/>
        <v>-5.571564705882353</v>
      </c>
      <c r="G65" s="24">
        <f t="shared" si="4"/>
        <v>-0.50527975697012784</v>
      </c>
      <c r="H65">
        <v>-0.5</v>
      </c>
      <c r="I65" s="19"/>
      <c r="J65" s="19"/>
      <c r="K65" s="19"/>
      <c r="L65" s="19"/>
      <c r="M65" s="19"/>
      <c r="N65" s="19"/>
    </row>
    <row r="66" spans="1:14" x14ac:dyDescent="0.25">
      <c r="A66" s="56">
        <v>42451</v>
      </c>
      <c r="B66" s="29">
        <v>0.16</v>
      </c>
      <c r="C66" s="36">
        <f t="shared" si="6"/>
        <v>4.0640000000000001</v>
      </c>
      <c r="D66" s="47">
        <f t="shared" si="1"/>
        <v>6.079564705882353</v>
      </c>
      <c r="E66" s="47">
        <f t="shared" si="2"/>
        <v>11.026692894431044</v>
      </c>
      <c r="F66" s="47">
        <f t="shared" si="7"/>
        <v>-2.0155647058823529</v>
      </c>
      <c r="G66" s="24">
        <f t="shared" si="4"/>
        <v>-0.18278959296130395</v>
      </c>
      <c r="H66">
        <v>-0.5</v>
      </c>
      <c r="I66" s="19"/>
      <c r="J66" s="19"/>
      <c r="K66" s="19"/>
      <c r="L66" s="19"/>
      <c r="M66" s="19"/>
      <c r="N66" s="19"/>
    </row>
    <row r="67" spans="1:14" x14ac:dyDescent="0.25">
      <c r="A67" s="56">
        <v>42482</v>
      </c>
      <c r="B67" s="29">
        <v>0</v>
      </c>
      <c r="C67" s="36">
        <f t="shared" si="6"/>
        <v>0</v>
      </c>
      <c r="D67" s="47">
        <f t="shared" si="1"/>
        <v>6.079564705882353</v>
      </c>
      <c r="E67" s="47">
        <f t="shared" si="2"/>
        <v>11.026692894431044</v>
      </c>
      <c r="F67" s="47">
        <f t="shared" si="7"/>
        <v>-6.079564705882353</v>
      </c>
      <c r="G67" s="24">
        <f t="shared" si="4"/>
        <v>-0.55134978039995974</v>
      </c>
      <c r="H67">
        <v>-0.5</v>
      </c>
      <c r="I67" s="19"/>
      <c r="J67" s="19"/>
      <c r="K67" s="19"/>
      <c r="L67" s="19"/>
      <c r="M67" s="19"/>
      <c r="N67" s="19"/>
    </row>
    <row r="68" spans="1:14" x14ac:dyDescent="0.25">
      <c r="A68" s="56">
        <v>42512</v>
      </c>
      <c r="B68" s="29">
        <v>0.01</v>
      </c>
      <c r="C68" s="36">
        <f t="shared" si="6"/>
        <v>0.254</v>
      </c>
      <c r="D68" s="47">
        <f t="shared" si="1"/>
        <v>6.079564705882353</v>
      </c>
      <c r="E68" s="47">
        <f t="shared" si="2"/>
        <v>11.026692894431044</v>
      </c>
      <c r="F68" s="47">
        <f t="shared" si="7"/>
        <v>-5.8255647058823534</v>
      </c>
      <c r="G68" s="24">
        <f t="shared" si="4"/>
        <v>-0.5283147686850439</v>
      </c>
      <c r="H68">
        <v>-0.5</v>
      </c>
      <c r="I68" s="19"/>
      <c r="J68" s="19"/>
      <c r="K68" s="19"/>
      <c r="L68" s="19"/>
      <c r="M68" s="19"/>
      <c r="N68" s="19"/>
    </row>
    <row r="69" spans="1:14" x14ac:dyDescent="0.25">
      <c r="A69" s="56">
        <v>42543</v>
      </c>
      <c r="B69" s="29">
        <v>0.01</v>
      </c>
      <c r="C69" s="36">
        <f t="shared" ref="C69:C100" si="8">$D$1*B69</f>
        <v>0.254</v>
      </c>
      <c r="D69" s="47">
        <f t="shared" si="1"/>
        <v>6.079564705882353</v>
      </c>
      <c r="E69" s="47">
        <f t="shared" si="2"/>
        <v>11.026692894431044</v>
      </c>
      <c r="F69" s="47">
        <f t="shared" si="7"/>
        <v>-5.8255647058823534</v>
      </c>
      <c r="G69" s="24">
        <f t="shared" ref="G69:G132" si="9">F69/E69</f>
        <v>-0.5283147686850439</v>
      </c>
      <c r="H69">
        <v>-0.5</v>
      </c>
      <c r="I69" s="19"/>
      <c r="J69" s="19"/>
      <c r="K69" s="19"/>
      <c r="L69" s="19"/>
      <c r="M69" s="19"/>
      <c r="N69" s="19"/>
    </row>
    <row r="70" spans="1:14" x14ac:dyDescent="0.25">
      <c r="A70" s="56">
        <v>42573</v>
      </c>
      <c r="B70" s="29">
        <v>0.02</v>
      </c>
      <c r="C70" s="36">
        <f t="shared" si="8"/>
        <v>0.50800000000000001</v>
      </c>
      <c r="D70" s="47">
        <f t="shared" ref="D70:D133" si="10">AVERAGE($C$5:$C$174)</f>
        <v>6.079564705882353</v>
      </c>
      <c r="E70" s="47">
        <f t="shared" ref="E70:E133" si="11">_xlfn.STDEV.S($C$5:$C$174)</f>
        <v>11.026692894431044</v>
      </c>
      <c r="F70" s="47">
        <f t="shared" si="7"/>
        <v>-5.571564705882353</v>
      </c>
      <c r="G70" s="24">
        <f t="shared" si="9"/>
        <v>-0.50527975697012784</v>
      </c>
      <c r="H70">
        <v>-0.5</v>
      </c>
      <c r="I70" s="19"/>
      <c r="J70" s="19"/>
      <c r="K70" s="19"/>
      <c r="L70" s="19"/>
      <c r="M70" s="19"/>
      <c r="N70" s="19"/>
    </row>
    <row r="71" spans="1:14" x14ac:dyDescent="0.25">
      <c r="A71" s="56">
        <v>42604</v>
      </c>
      <c r="B71" s="29">
        <v>0.01</v>
      </c>
      <c r="C71" s="36">
        <f t="shared" si="8"/>
        <v>0.254</v>
      </c>
      <c r="D71" s="47">
        <f t="shared" si="10"/>
        <v>6.079564705882353</v>
      </c>
      <c r="E71" s="47">
        <f t="shared" si="11"/>
        <v>11.026692894431044</v>
      </c>
      <c r="F71" s="47">
        <f t="shared" si="7"/>
        <v>-5.8255647058823534</v>
      </c>
      <c r="G71" s="24">
        <f t="shared" si="9"/>
        <v>-0.5283147686850439</v>
      </c>
      <c r="H71">
        <v>-0.5</v>
      </c>
      <c r="I71" s="19"/>
      <c r="J71" s="19"/>
      <c r="K71" s="19"/>
      <c r="L71" s="19"/>
      <c r="M71" s="19"/>
      <c r="N71" s="19"/>
    </row>
    <row r="72" spans="1:14" x14ac:dyDescent="0.25">
      <c r="A72" s="56">
        <v>42635</v>
      </c>
      <c r="B72" s="29">
        <v>0.01</v>
      </c>
      <c r="C72" s="36">
        <f t="shared" si="8"/>
        <v>0.254</v>
      </c>
      <c r="D72" s="47">
        <f t="shared" si="10"/>
        <v>6.079564705882353</v>
      </c>
      <c r="E72" s="47">
        <f t="shared" si="11"/>
        <v>11.026692894431044</v>
      </c>
      <c r="F72" s="47">
        <f t="shared" si="7"/>
        <v>-5.8255647058823534</v>
      </c>
      <c r="G72" s="24">
        <f t="shared" si="9"/>
        <v>-0.5283147686850439</v>
      </c>
      <c r="H72">
        <v>-0.5</v>
      </c>
      <c r="I72" s="19"/>
      <c r="J72" s="19"/>
      <c r="K72" s="19"/>
      <c r="L72" s="19"/>
      <c r="M72" s="19"/>
      <c r="N72" s="19"/>
    </row>
    <row r="73" spans="1:14" x14ac:dyDescent="0.25">
      <c r="A73" s="56">
        <v>42665</v>
      </c>
      <c r="B73" s="29">
        <v>0.01</v>
      </c>
      <c r="C73" s="36">
        <f t="shared" si="8"/>
        <v>0.254</v>
      </c>
      <c r="D73" s="47">
        <f t="shared" si="10"/>
        <v>6.079564705882353</v>
      </c>
      <c r="E73" s="47">
        <f t="shared" si="11"/>
        <v>11.026692894431044</v>
      </c>
      <c r="F73" s="47">
        <f t="shared" si="7"/>
        <v>-5.8255647058823534</v>
      </c>
      <c r="G73" s="24">
        <f t="shared" si="9"/>
        <v>-0.5283147686850439</v>
      </c>
      <c r="H73">
        <v>-0.5</v>
      </c>
      <c r="I73" s="19"/>
      <c r="J73" s="19"/>
      <c r="K73" s="19"/>
      <c r="L73" s="19"/>
      <c r="M73" s="19"/>
      <c r="N73" s="19"/>
    </row>
    <row r="74" spans="1:14" x14ac:dyDescent="0.25">
      <c r="A74" s="56">
        <v>42696</v>
      </c>
      <c r="B74" s="29">
        <v>0.05</v>
      </c>
      <c r="C74" s="36">
        <f t="shared" si="8"/>
        <v>1.27</v>
      </c>
      <c r="D74" s="47">
        <f t="shared" si="10"/>
        <v>6.079564705882353</v>
      </c>
      <c r="E74" s="47">
        <f t="shared" si="11"/>
        <v>11.026692894431044</v>
      </c>
      <c r="F74" s="47">
        <f t="shared" si="7"/>
        <v>-4.8095647058823534</v>
      </c>
      <c r="G74" s="24">
        <f t="shared" si="9"/>
        <v>-0.43617472182537986</v>
      </c>
      <c r="H74">
        <v>-0.5</v>
      </c>
      <c r="I74" s="19"/>
      <c r="J74" s="19"/>
      <c r="K74" s="19"/>
      <c r="L74" s="19"/>
      <c r="M74" s="19"/>
      <c r="N74" s="19"/>
    </row>
    <row r="75" spans="1:14" x14ac:dyDescent="0.25">
      <c r="A75" s="56">
        <v>42726</v>
      </c>
      <c r="B75" s="29">
        <v>0.17</v>
      </c>
      <c r="C75" s="36">
        <f t="shared" si="8"/>
        <v>4.3180000000000005</v>
      </c>
      <c r="D75" s="47">
        <f t="shared" si="10"/>
        <v>6.079564705882353</v>
      </c>
      <c r="E75" s="47">
        <f t="shared" si="11"/>
        <v>11.026692894431044</v>
      </c>
      <c r="F75" s="47">
        <f t="shared" si="7"/>
        <v>-1.7615647058823525</v>
      </c>
      <c r="G75" s="24">
        <f t="shared" si="9"/>
        <v>-0.15975458124638792</v>
      </c>
      <c r="H75">
        <v>-0.5</v>
      </c>
      <c r="I75" s="19"/>
      <c r="J75" s="19"/>
      <c r="K75" s="19"/>
      <c r="L75" s="19"/>
      <c r="M75" s="19"/>
      <c r="N75" s="19"/>
    </row>
    <row r="76" spans="1:14" x14ac:dyDescent="0.25">
      <c r="A76" s="56">
        <v>42757</v>
      </c>
      <c r="B76" s="29">
        <v>0.56000000000000005</v>
      </c>
      <c r="C76" s="36">
        <f t="shared" si="8"/>
        <v>14.224</v>
      </c>
      <c r="D76" s="47">
        <f t="shared" si="10"/>
        <v>6.079564705882353</v>
      </c>
      <c r="E76" s="47">
        <f t="shared" si="11"/>
        <v>11.026692894431044</v>
      </c>
      <c r="F76" s="47">
        <f t="shared" si="7"/>
        <v>8.1444352941176472</v>
      </c>
      <c r="G76" s="24">
        <f t="shared" si="9"/>
        <v>0.73861087563533567</v>
      </c>
      <c r="H76">
        <v>-0.5</v>
      </c>
      <c r="I76" s="19"/>
      <c r="J76" s="19"/>
      <c r="K76" s="19"/>
      <c r="L76" s="19"/>
      <c r="M76" s="19"/>
      <c r="N76" s="19"/>
    </row>
    <row r="77" spans="1:14" x14ac:dyDescent="0.25">
      <c r="A77" s="56">
        <v>42788</v>
      </c>
      <c r="B77" s="29">
        <v>1.05</v>
      </c>
      <c r="C77" s="36">
        <f t="shared" si="8"/>
        <v>26.669999999999998</v>
      </c>
      <c r="D77" s="47">
        <f t="shared" si="10"/>
        <v>6.079564705882353</v>
      </c>
      <c r="E77" s="47">
        <f t="shared" si="11"/>
        <v>11.026692894431044</v>
      </c>
      <c r="F77" s="47">
        <f t="shared" si="7"/>
        <v>20.590435294117647</v>
      </c>
      <c r="G77" s="24">
        <f t="shared" si="9"/>
        <v>1.8673264496662192</v>
      </c>
      <c r="H77">
        <v>-0.5</v>
      </c>
      <c r="I77" s="19"/>
      <c r="J77" s="19"/>
      <c r="K77" s="19"/>
      <c r="L77" s="19"/>
      <c r="M77" s="19"/>
      <c r="N77" s="19"/>
    </row>
    <row r="78" spans="1:14" x14ac:dyDescent="0.25">
      <c r="A78" s="56">
        <v>42816</v>
      </c>
      <c r="B78" s="29">
        <v>0.42</v>
      </c>
      <c r="C78" s="36">
        <f t="shared" si="8"/>
        <v>10.667999999999999</v>
      </c>
      <c r="D78" s="47">
        <f t="shared" si="10"/>
        <v>6.079564705882353</v>
      </c>
      <c r="E78" s="47">
        <f t="shared" si="11"/>
        <v>11.026692894431044</v>
      </c>
      <c r="F78" s="47">
        <f t="shared" ref="F78:F109" si="12">C78-D78</f>
        <v>4.5884352941176463</v>
      </c>
      <c r="G78" s="24">
        <f t="shared" si="9"/>
        <v>0.41612071162651171</v>
      </c>
      <c r="H78">
        <v>-0.5</v>
      </c>
      <c r="I78" s="19"/>
      <c r="J78" s="19"/>
      <c r="K78" s="19"/>
      <c r="L78" s="19"/>
      <c r="M78" s="19"/>
      <c r="N78" s="19"/>
    </row>
    <row r="79" spans="1:14" x14ac:dyDescent="0.25">
      <c r="A79" s="56">
        <v>42847</v>
      </c>
      <c r="B79" s="29">
        <v>0.21</v>
      </c>
      <c r="C79" s="36">
        <f t="shared" si="8"/>
        <v>5.3339999999999996</v>
      </c>
      <c r="D79" s="47">
        <f t="shared" si="10"/>
        <v>6.079564705882353</v>
      </c>
      <c r="E79" s="47">
        <f t="shared" si="11"/>
        <v>11.026692894431044</v>
      </c>
      <c r="F79" s="47">
        <f t="shared" si="12"/>
        <v>-0.74556470588235335</v>
      </c>
      <c r="G79" s="24">
        <f t="shared" si="9"/>
        <v>-6.7614534386724032E-2</v>
      </c>
      <c r="H79">
        <v>-0.5</v>
      </c>
      <c r="I79" s="19"/>
      <c r="J79" s="19"/>
      <c r="K79" s="19"/>
      <c r="L79" s="19"/>
      <c r="M79" s="19"/>
      <c r="N79" s="19"/>
    </row>
    <row r="80" spans="1:14" x14ac:dyDescent="0.25">
      <c r="A80" s="56">
        <v>42877</v>
      </c>
      <c r="B80" s="29">
        <v>0.2</v>
      </c>
      <c r="C80" s="36">
        <f t="shared" si="8"/>
        <v>5.08</v>
      </c>
      <c r="D80" s="47">
        <f t="shared" si="10"/>
        <v>6.079564705882353</v>
      </c>
      <c r="E80" s="47">
        <f t="shared" si="11"/>
        <v>11.026692894431044</v>
      </c>
      <c r="F80" s="47">
        <f t="shared" si="12"/>
        <v>-0.99956470588235291</v>
      </c>
      <c r="G80" s="24">
        <f t="shared" si="9"/>
        <v>-9.0649546101639986E-2</v>
      </c>
      <c r="H80">
        <v>-0.5</v>
      </c>
      <c r="I80" s="19"/>
      <c r="J80" s="19"/>
      <c r="K80" s="19"/>
      <c r="L80" s="19"/>
      <c r="M80" s="19"/>
      <c r="N80" s="19"/>
    </row>
    <row r="81" spans="1:14" x14ac:dyDescent="0.25">
      <c r="A81" s="56">
        <v>42908</v>
      </c>
      <c r="B81" s="29">
        <v>0.06</v>
      </c>
      <c r="C81" s="36">
        <f t="shared" si="8"/>
        <v>1.5239999999999998</v>
      </c>
      <c r="D81" s="47">
        <f t="shared" si="10"/>
        <v>6.079564705882353</v>
      </c>
      <c r="E81" s="47">
        <f t="shared" si="11"/>
        <v>11.026692894431044</v>
      </c>
      <c r="F81" s="47">
        <f t="shared" si="12"/>
        <v>-4.555564705882353</v>
      </c>
      <c r="G81" s="24">
        <f t="shared" si="9"/>
        <v>-0.41313971011046385</v>
      </c>
      <c r="H81">
        <v>-0.5</v>
      </c>
      <c r="I81" s="19"/>
      <c r="J81" s="19"/>
      <c r="K81" s="19"/>
      <c r="L81" s="19"/>
      <c r="M81" s="19"/>
      <c r="N81" s="19"/>
    </row>
    <row r="82" spans="1:14" x14ac:dyDescent="0.25">
      <c r="A82" s="56">
        <v>42938</v>
      </c>
      <c r="B82" s="29">
        <v>0.03</v>
      </c>
      <c r="C82" s="36">
        <f t="shared" si="8"/>
        <v>0.7619999999999999</v>
      </c>
      <c r="D82" s="47">
        <f t="shared" si="10"/>
        <v>6.079564705882353</v>
      </c>
      <c r="E82" s="47">
        <f t="shared" si="11"/>
        <v>11.026692894431044</v>
      </c>
      <c r="F82" s="47">
        <f t="shared" si="12"/>
        <v>-5.3175647058823534</v>
      </c>
      <c r="G82" s="24">
        <f t="shared" si="9"/>
        <v>-0.48224474525521188</v>
      </c>
      <c r="H82">
        <v>-0.5</v>
      </c>
      <c r="I82" s="19"/>
      <c r="J82" s="19"/>
      <c r="K82" s="19"/>
      <c r="L82" s="19"/>
      <c r="M82" s="19"/>
      <c r="N82" s="19"/>
    </row>
    <row r="83" spans="1:14" x14ac:dyDescent="0.25">
      <c r="A83" s="56">
        <v>42969</v>
      </c>
      <c r="B83" s="29">
        <v>7.0000000000000007E-2</v>
      </c>
      <c r="C83" s="36">
        <f t="shared" si="8"/>
        <v>1.778</v>
      </c>
      <c r="D83" s="47">
        <f t="shared" si="10"/>
        <v>6.079564705882353</v>
      </c>
      <c r="E83" s="47">
        <f t="shared" si="11"/>
        <v>11.026692894431044</v>
      </c>
      <c r="F83" s="47">
        <f t="shared" si="12"/>
        <v>-4.3015647058823525</v>
      </c>
      <c r="G83" s="24">
        <f t="shared" si="9"/>
        <v>-0.39010469839554784</v>
      </c>
      <c r="H83">
        <v>-0.5</v>
      </c>
      <c r="I83" s="19"/>
      <c r="J83" s="19"/>
      <c r="K83" s="19"/>
      <c r="L83" s="19"/>
      <c r="M83" s="19"/>
      <c r="N83" s="19"/>
    </row>
    <row r="84" spans="1:14" x14ac:dyDescent="0.25">
      <c r="A84" s="56">
        <v>43000</v>
      </c>
      <c r="B84" s="29">
        <v>0.02</v>
      </c>
      <c r="C84" s="36">
        <f t="shared" si="8"/>
        <v>0.50800000000000001</v>
      </c>
      <c r="D84" s="47">
        <f t="shared" si="10"/>
        <v>6.079564705882353</v>
      </c>
      <c r="E84" s="47">
        <f t="shared" si="11"/>
        <v>11.026692894431044</v>
      </c>
      <c r="F84" s="47">
        <f t="shared" si="12"/>
        <v>-5.571564705882353</v>
      </c>
      <c r="G84" s="24">
        <f t="shared" si="9"/>
        <v>-0.50527975697012784</v>
      </c>
      <c r="H84">
        <v>-0.5</v>
      </c>
      <c r="I84" s="19"/>
      <c r="J84" s="19"/>
      <c r="K84" s="19"/>
      <c r="L84" s="19"/>
      <c r="M84" s="19"/>
      <c r="N84" s="19"/>
    </row>
    <row r="85" spans="1:14" x14ac:dyDescent="0.25">
      <c r="A85" s="56">
        <v>43030</v>
      </c>
      <c r="B85" s="29">
        <v>0</v>
      </c>
      <c r="C85" s="36">
        <f t="shared" si="8"/>
        <v>0</v>
      </c>
      <c r="D85" s="47">
        <f t="shared" si="10"/>
        <v>6.079564705882353</v>
      </c>
      <c r="E85" s="47">
        <f t="shared" si="11"/>
        <v>11.026692894431044</v>
      </c>
      <c r="F85" s="47">
        <f t="shared" si="12"/>
        <v>-6.079564705882353</v>
      </c>
      <c r="G85" s="24">
        <f t="shared" si="9"/>
        <v>-0.55134978039995974</v>
      </c>
      <c r="H85">
        <v>-0.5</v>
      </c>
      <c r="I85" s="19"/>
      <c r="J85" s="19"/>
      <c r="K85" s="19"/>
      <c r="L85" s="19"/>
      <c r="M85" s="19"/>
      <c r="N85" s="19"/>
    </row>
    <row r="86" spans="1:14" x14ac:dyDescent="0.25">
      <c r="A86" s="56">
        <v>43061</v>
      </c>
      <c r="B86" s="29">
        <v>0.02</v>
      </c>
      <c r="C86" s="36">
        <f t="shared" si="8"/>
        <v>0.50800000000000001</v>
      </c>
      <c r="D86" s="47">
        <f t="shared" si="10"/>
        <v>6.079564705882353</v>
      </c>
      <c r="E86" s="47">
        <f t="shared" si="11"/>
        <v>11.026692894431044</v>
      </c>
      <c r="F86" s="47">
        <f t="shared" si="12"/>
        <v>-5.571564705882353</v>
      </c>
      <c r="G86" s="24">
        <f t="shared" si="9"/>
        <v>-0.50527975697012784</v>
      </c>
      <c r="H86">
        <v>-0.5</v>
      </c>
      <c r="I86" s="19"/>
      <c r="J86" s="19"/>
      <c r="K86" s="19"/>
      <c r="L86" s="19"/>
      <c r="M86" s="19"/>
      <c r="N86" s="19"/>
    </row>
    <row r="87" spans="1:14" x14ac:dyDescent="0.25">
      <c r="A87" s="56">
        <v>43091</v>
      </c>
      <c r="B87" s="29">
        <v>0.09</v>
      </c>
      <c r="C87" s="36">
        <f t="shared" si="8"/>
        <v>2.2859999999999996</v>
      </c>
      <c r="D87" s="47">
        <f t="shared" si="10"/>
        <v>6.079564705882353</v>
      </c>
      <c r="E87" s="47">
        <f t="shared" si="11"/>
        <v>11.026692894431044</v>
      </c>
      <c r="F87" s="47">
        <f t="shared" si="12"/>
        <v>-3.7935647058823534</v>
      </c>
      <c r="G87" s="24">
        <f t="shared" si="9"/>
        <v>-0.34403467496571594</v>
      </c>
      <c r="H87">
        <v>-0.5</v>
      </c>
      <c r="I87" s="19"/>
      <c r="J87" s="19"/>
      <c r="K87" s="19"/>
      <c r="L87" s="19"/>
      <c r="M87" s="19"/>
      <c r="N87" s="19"/>
    </row>
    <row r="88" spans="1:14" x14ac:dyDescent="0.25">
      <c r="A88" s="56">
        <v>43122</v>
      </c>
      <c r="B88" s="29">
        <v>0.01</v>
      </c>
      <c r="C88" s="36">
        <f t="shared" si="8"/>
        <v>0.254</v>
      </c>
      <c r="D88" s="47">
        <f t="shared" si="10"/>
        <v>6.079564705882353</v>
      </c>
      <c r="E88" s="47">
        <f t="shared" si="11"/>
        <v>11.026692894431044</v>
      </c>
      <c r="F88" s="47">
        <f t="shared" si="12"/>
        <v>-5.8255647058823534</v>
      </c>
      <c r="G88" s="24">
        <f t="shared" si="9"/>
        <v>-0.5283147686850439</v>
      </c>
      <c r="H88">
        <v>-0.5</v>
      </c>
      <c r="I88" s="19"/>
      <c r="J88" s="19"/>
      <c r="K88" s="19"/>
      <c r="L88" s="19"/>
      <c r="M88" s="19"/>
      <c r="N88" s="19"/>
    </row>
    <row r="89" spans="1:14" x14ac:dyDescent="0.25">
      <c r="A89" s="56">
        <v>43153</v>
      </c>
      <c r="B89" s="29">
        <v>0.09</v>
      </c>
      <c r="C89" s="36">
        <f t="shared" si="8"/>
        <v>2.2859999999999996</v>
      </c>
      <c r="D89" s="47">
        <f t="shared" si="10"/>
        <v>6.079564705882353</v>
      </c>
      <c r="E89" s="47">
        <f t="shared" si="11"/>
        <v>11.026692894431044</v>
      </c>
      <c r="F89" s="47">
        <f t="shared" si="12"/>
        <v>-3.7935647058823534</v>
      </c>
      <c r="G89" s="24">
        <f t="shared" si="9"/>
        <v>-0.34403467496571594</v>
      </c>
      <c r="H89">
        <v>-0.5</v>
      </c>
      <c r="I89" s="19"/>
      <c r="J89" s="19"/>
      <c r="K89" s="19"/>
      <c r="L89" s="19"/>
      <c r="M89" s="19"/>
      <c r="N89" s="19"/>
    </row>
    <row r="90" spans="1:14" x14ac:dyDescent="0.25">
      <c r="A90" s="56">
        <v>43181</v>
      </c>
      <c r="B90" s="29">
        <v>0.09</v>
      </c>
      <c r="C90" s="36">
        <f t="shared" si="8"/>
        <v>2.2859999999999996</v>
      </c>
      <c r="D90" s="47">
        <f t="shared" si="10"/>
        <v>6.079564705882353</v>
      </c>
      <c r="E90" s="47">
        <f t="shared" si="11"/>
        <v>11.026692894431044</v>
      </c>
      <c r="F90" s="47">
        <f t="shared" si="12"/>
        <v>-3.7935647058823534</v>
      </c>
      <c r="G90" s="24">
        <f t="shared" si="9"/>
        <v>-0.34403467496571594</v>
      </c>
      <c r="H90">
        <v>-0.5</v>
      </c>
      <c r="I90" s="19"/>
      <c r="J90" s="19"/>
      <c r="K90" s="19"/>
      <c r="L90" s="19"/>
      <c r="M90" s="19"/>
      <c r="N90" s="19"/>
    </row>
    <row r="91" spans="1:14" x14ac:dyDescent="0.25">
      <c r="A91" s="56">
        <v>43212</v>
      </c>
      <c r="B91" s="29">
        <v>0.16</v>
      </c>
      <c r="C91" s="36">
        <f t="shared" si="8"/>
        <v>4.0640000000000001</v>
      </c>
      <c r="D91" s="47">
        <f t="shared" si="10"/>
        <v>6.079564705882353</v>
      </c>
      <c r="E91" s="47">
        <f t="shared" si="11"/>
        <v>11.026692894431044</v>
      </c>
      <c r="F91" s="47">
        <f t="shared" si="12"/>
        <v>-2.0155647058823529</v>
      </c>
      <c r="G91" s="24">
        <f t="shared" si="9"/>
        <v>-0.18278959296130395</v>
      </c>
      <c r="H91">
        <v>-0.5</v>
      </c>
      <c r="I91" s="19"/>
      <c r="J91" s="19"/>
      <c r="K91" s="19"/>
      <c r="L91" s="19"/>
      <c r="M91" s="19"/>
      <c r="N91" s="19"/>
    </row>
    <row r="92" spans="1:14" x14ac:dyDescent="0.25">
      <c r="A92" s="56">
        <v>43242</v>
      </c>
      <c r="B92" s="29">
        <v>7.0000000000000007E-2</v>
      </c>
      <c r="C92" s="36">
        <f t="shared" si="8"/>
        <v>1.778</v>
      </c>
      <c r="D92" s="47">
        <f t="shared" si="10"/>
        <v>6.079564705882353</v>
      </c>
      <c r="E92" s="47">
        <f t="shared" si="11"/>
        <v>11.026692894431044</v>
      </c>
      <c r="F92" s="47">
        <f t="shared" si="12"/>
        <v>-4.3015647058823525</v>
      </c>
      <c r="G92" s="24">
        <f t="shared" si="9"/>
        <v>-0.39010469839554784</v>
      </c>
      <c r="H92">
        <v>-0.5</v>
      </c>
      <c r="I92" s="19"/>
      <c r="J92" s="19"/>
      <c r="K92" s="19"/>
      <c r="L92" s="19"/>
      <c r="M92" s="19"/>
      <c r="N92" s="19"/>
    </row>
    <row r="93" spans="1:14" x14ac:dyDescent="0.25">
      <c r="A93" s="56">
        <v>43273</v>
      </c>
      <c r="B93" s="29">
        <v>0.02</v>
      </c>
      <c r="C93" s="36">
        <f t="shared" si="8"/>
        <v>0.50800000000000001</v>
      </c>
      <c r="D93" s="47">
        <f t="shared" si="10"/>
        <v>6.079564705882353</v>
      </c>
      <c r="E93" s="47">
        <f t="shared" si="11"/>
        <v>11.026692894431044</v>
      </c>
      <c r="F93" s="47">
        <f t="shared" si="12"/>
        <v>-5.571564705882353</v>
      </c>
      <c r="G93" s="24">
        <f t="shared" si="9"/>
        <v>-0.50527975697012784</v>
      </c>
      <c r="H93">
        <v>-0.5</v>
      </c>
      <c r="I93" s="19"/>
      <c r="J93" s="19"/>
      <c r="K93" s="19"/>
      <c r="L93" s="19"/>
      <c r="M93" s="19"/>
      <c r="N93" s="19"/>
    </row>
    <row r="94" spans="1:14" x14ac:dyDescent="0.25">
      <c r="A94" s="56">
        <v>43303</v>
      </c>
      <c r="B94" s="29">
        <v>0.02</v>
      </c>
      <c r="C94" s="36">
        <f t="shared" si="8"/>
        <v>0.50800000000000001</v>
      </c>
      <c r="D94" s="47">
        <f t="shared" si="10"/>
        <v>6.079564705882353</v>
      </c>
      <c r="E94" s="47">
        <f t="shared" si="11"/>
        <v>11.026692894431044</v>
      </c>
      <c r="F94" s="47">
        <f t="shared" si="12"/>
        <v>-5.571564705882353</v>
      </c>
      <c r="G94" s="24">
        <f t="shared" si="9"/>
        <v>-0.50527975697012784</v>
      </c>
      <c r="H94">
        <v>-0.5</v>
      </c>
      <c r="I94" s="19"/>
      <c r="J94" s="19"/>
      <c r="K94" s="19"/>
      <c r="L94" s="19"/>
      <c r="M94" s="19"/>
      <c r="N94" s="19"/>
    </row>
    <row r="95" spans="1:14" x14ac:dyDescent="0.25">
      <c r="A95" s="56">
        <v>43334</v>
      </c>
      <c r="B95" s="29">
        <v>0.01</v>
      </c>
      <c r="C95" s="36">
        <f t="shared" si="8"/>
        <v>0.254</v>
      </c>
      <c r="D95" s="47">
        <f t="shared" si="10"/>
        <v>6.079564705882353</v>
      </c>
      <c r="E95" s="47">
        <f t="shared" si="11"/>
        <v>11.026692894431044</v>
      </c>
      <c r="F95" s="47">
        <f t="shared" si="12"/>
        <v>-5.8255647058823534</v>
      </c>
      <c r="G95" s="24">
        <f t="shared" si="9"/>
        <v>-0.5283147686850439</v>
      </c>
      <c r="H95">
        <v>-0.5</v>
      </c>
      <c r="I95" s="19"/>
      <c r="J95" s="19"/>
      <c r="K95" s="19"/>
      <c r="L95" s="19"/>
      <c r="M95" s="19"/>
      <c r="N95" s="19"/>
    </row>
    <row r="96" spans="1:14" x14ac:dyDescent="0.25">
      <c r="A96" s="56">
        <v>43365</v>
      </c>
      <c r="B96" s="29">
        <v>0</v>
      </c>
      <c r="C96" s="36">
        <f t="shared" si="8"/>
        <v>0</v>
      </c>
      <c r="D96" s="47">
        <f t="shared" si="10"/>
        <v>6.079564705882353</v>
      </c>
      <c r="E96" s="47">
        <f t="shared" si="11"/>
        <v>11.026692894431044</v>
      </c>
      <c r="F96" s="47">
        <f t="shared" si="12"/>
        <v>-6.079564705882353</v>
      </c>
      <c r="G96" s="24">
        <f t="shared" si="9"/>
        <v>-0.55134978039995974</v>
      </c>
      <c r="H96">
        <v>-0.5</v>
      </c>
      <c r="I96" s="19"/>
      <c r="J96" s="19"/>
      <c r="K96" s="19"/>
      <c r="L96" s="19"/>
      <c r="M96" s="19"/>
      <c r="N96" s="19"/>
    </row>
    <row r="97" spans="1:14" x14ac:dyDescent="0.25">
      <c r="A97" s="56">
        <v>43395</v>
      </c>
      <c r="B97" s="29">
        <v>0</v>
      </c>
      <c r="C97" s="36">
        <f t="shared" si="8"/>
        <v>0</v>
      </c>
      <c r="D97" s="47">
        <f t="shared" si="10"/>
        <v>6.079564705882353</v>
      </c>
      <c r="E97" s="47">
        <f t="shared" si="11"/>
        <v>11.026692894431044</v>
      </c>
      <c r="F97" s="47">
        <f t="shared" si="12"/>
        <v>-6.079564705882353</v>
      </c>
      <c r="G97" s="24">
        <f t="shared" si="9"/>
        <v>-0.55134978039995974</v>
      </c>
      <c r="H97">
        <v>-0.5</v>
      </c>
      <c r="I97" s="19"/>
      <c r="J97" s="19"/>
      <c r="K97" s="19"/>
      <c r="L97" s="19"/>
      <c r="M97" s="19"/>
      <c r="N97" s="19"/>
    </row>
    <row r="98" spans="1:14" x14ac:dyDescent="0.25">
      <c r="A98" s="56">
        <v>43426</v>
      </c>
      <c r="B98" s="29">
        <v>0.02</v>
      </c>
      <c r="C98" s="36">
        <f t="shared" si="8"/>
        <v>0.50800000000000001</v>
      </c>
      <c r="D98" s="47">
        <f t="shared" si="10"/>
        <v>6.079564705882353</v>
      </c>
      <c r="E98" s="47">
        <f t="shared" si="11"/>
        <v>11.026692894431044</v>
      </c>
      <c r="F98" s="47">
        <f t="shared" si="12"/>
        <v>-5.571564705882353</v>
      </c>
      <c r="G98" s="24">
        <f t="shared" si="9"/>
        <v>-0.50527975697012784</v>
      </c>
      <c r="H98">
        <v>-0.5</v>
      </c>
      <c r="I98" s="19"/>
      <c r="J98" s="19"/>
      <c r="K98" s="19"/>
      <c r="L98" s="19"/>
      <c r="M98" s="19"/>
      <c r="N98" s="19"/>
    </row>
    <row r="99" spans="1:14" x14ac:dyDescent="0.25">
      <c r="A99" s="56">
        <v>43456</v>
      </c>
      <c r="B99" s="29">
        <v>0.03</v>
      </c>
      <c r="C99" s="36">
        <f t="shared" si="8"/>
        <v>0.7619999999999999</v>
      </c>
      <c r="D99" s="47">
        <f t="shared" si="10"/>
        <v>6.079564705882353</v>
      </c>
      <c r="E99" s="47">
        <f t="shared" si="11"/>
        <v>11.026692894431044</v>
      </c>
      <c r="F99" s="47">
        <f t="shared" si="12"/>
        <v>-5.3175647058823534</v>
      </c>
      <c r="G99" s="24">
        <f t="shared" si="9"/>
        <v>-0.48224474525521188</v>
      </c>
      <c r="H99">
        <v>-0.5</v>
      </c>
      <c r="I99" s="19"/>
      <c r="J99" s="19"/>
      <c r="K99" s="19"/>
      <c r="L99" s="19"/>
      <c r="M99" s="19"/>
      <c r="N99" s="19"/>
    </row>
    <row r="100" spans="1:14" x14ac:dyDescent="0.25">
      <c r="A100" s="56">
        <v>43487</v>
      </c>
      <c r="B100" s="29">
        <v>0.24</v>
      </c>
      <c r="C100" s="36">
        <f t="shared" si="8"/>
        <v>6.0959999999999992</v>
      </c>
      <c r="D100" s="47">
        <f t="shared" si="10"/>
        <v>6.079564705882353</v>
      </c>
      <c r="E100" s="47">
        <f t="shared" si="11"/>
        <v>11.026692894431044</v>
      </c>
      <c r="F100" s="47">
        <f t="shared" si="12"/>
        <v>1.6435294117646215E-2</v>
      </c>
      <c r="G100" s="24">
        <f t="shared" si="9"/>
        <v>1.4905007580238994E-3</v>
      </c>
      <c r="H100">
        <v>-0.5</v>
      </c>
      <c r="I100" s="19"/>
      <c r="J100" s="19"/>
      <c r="K100" s="19"/>
      <c r="L100" s="19"/>
      <c r="M100" s="19"/>
      <c r="N100" s="19"/>
    </row>
    <row r="101" spans="1:14" x14ac:dyDescent="0.25">
      <c r="A101" s="56">
        <v>43518</v>
      </c>
      <c r="B101" s="29">
        <v>0.22</v>
      </c>
      <c r="C101" s="36">
        <f t="shared" ref="C101:C132" si="13">$D$1*B101</f>
        <v>5.5880000000000001</v>
      </c>
      <c r="D101" s="47">
        <f t="shared" si="10"/>
        <v>6.079564705882353</v>
      </c>
      <c r="E101" s="47">
        <f t="shared" si="11"/>
        <v>11.026692894431044</v>
      </c>
      <c r="F101" s="47">
        <f t="shared" si="12"/>
        <v>-0.4915647058823529</v>
      </c>
      <c r="G101" s="24">
        <f t="shared" si="9"/>
        <v>-4.4579522671808001E-2</v>
      </c>
      <c r="H101">
        <v>-0.5</v>
      </c>
      <c r="I101" s="19"/>
      <c r="J101" s="19"/>
      <c r="K101" s="19"/>
      <c r="L101" s="19"/>
      <c r="M101" s="19"/>
      <c r="N101" s="19"/>
    </row>
    <row r="102" spans="1:14" x14ac:dyDescent="0.25">
      <c r="A102" s="56">
        <v>43546</v>
      </c>
      <c r="B102" s="29">
        <v>0.2</v>
      </c>
      <c r="C102" s="36">
        <f t="shared" si="13"/>
        <v>5.08</v>
      </c>
      <c r="D102" s="47">
        <f t="shared" si="10"/>
        <v>6.079564705882353</v>
      </c>
      <c r="E102" s="47">
        <f t="shared" si="11"/>
        <v>11.026692894431044</v>
      </c>
      <c r="F102" s="47">
        <f t="shared" si="12"/>
        <v>-0.99956470588235291</v>
      </c>
      <c r="G102" s="24">
        <f t="shared" si="9"/>
        <v>-9.0649546101639986E-2</v>
      </c>
      <c r="H102">
        <v>-0.5</v>
      </c>
      <c r="I102" s="19"/>
      <c r="J102" s="19"/>
      <c r="K102" s="19"/>
      <c r="L102" s="19"/>
      <c r="M102" s="19"/>
      <c r="N102" s="19"/>
    </row>
    <row r="103" spans="1:14" x14ac:dyDescent="0.25">
      <c r="A103" s="56">
        <v>43577</v>
      </c>
      <c r="B103" s="29">
        <v>0.28000000000000003</v>
      </c>
      <c r="C103" s="36">
        <f t="shared" si="13"/>
        <v>7.1120000000000001</v>
      </c>
      <c r="D103" s="47">
        <f t="shared" si="10"/>
        <v>6.079564705882353</v>
      </c>
      <c r="E103" s="47">
        <f t="shared" si="11"/>
        <v>11.026692894431044</v>
      </c>
      <c r="F103" s="47">
        <f t="shared" si="12"/>
        <v>1.0324352941176471</v>
      </c>
      <c r="G103" s="24">
        <f t="shared" si="9"/>
        <v>9.3630547617687937E-2</v>
      </c>
      <c r="H103">
        <v>-0.5</v>
      </c>
      <c r="I103" s="19"/>
      <c r="J103" s="19"/>
      <c r="K103" s="19"/>
      <c r="L103" s="19"/>
      <c r="M103" s="19"/>
      <c r="N103" s="19"/>
    </row>
    <row r="104" spans="1:14" x14ac:dyDescent="0.25">
      <c r="A104" s="56">
        <v>43607</v>
      </c>
      <c r="B104" s="29">
        <v>0.03</v>
      </c>
      <c r="C104" s="36">
        <f t="shared" si="13"/>
        <v>0.7619999999999999</v>
      </c>
      <c r="D104" s="47">
        <f t="shared" si="10"/>
        <v>6.079564705882353</v>
      </c>
      <c r="E104" s="47">
        <f t="shared" si="11"/>
        <v>11.026692894431044</v>
      </c>
      <c r="F104" s="47">
        <f t="shared" si="12"/>
        <v>-5.3175647058823534</v>
      </c>
      <c r="G104" s="24">
        <f t="shared" si="9"/>
        <v>-0.48224474525521188</v>
      </c>
      <c r="H104">
        <v>-0.5</v>
      </c>
      <c r="I104" s="19"/>
      <c r="J104" s="19"/>
      <c r="K104" s="19"/>
      <c r="L104" s="19"/>
      <c r="M104" s="19"/>
      <c r="N104" s="19"/>
    </row>
    <row r="105" spans="1:14" x14ac:dyDescent="0.25">
      <c r="A105" s="56">
        <v>43638</v>
      </c>
      <c r="B105" s="29">
        <v>0.05</v>
      </c>
      <c r="C105" s="36">
        <f t="shared" si="13"/>
        <v>1.27</v>
      </c>
      <c r="D105" s="47">
        <f t="shared" si="10"/>
        <v>6.079564705882353</v>
      </c>
      <c r="E105" s="47">
        <f t="shared" si="11"/>
        <v>11.026692894431044</v>
      </c>
      <c r="F105" s="47">
        <f t="shared" si="12"/>
        <v>-4.8095647058823534</v>
      </c>
      <c r="G105" s="24">
        <f t="shared" si="9"/>
        <v>-0.43617472182537986</v>
      </c>
      <c r="H105">
        <v>-0.5</v>
      </c>
      <c r="I105" s="19"/>
      <c r="J105" s="19"/>
      <c r="K105" s="19"/>
      <c r="L105" s="19"/>
      <c r="M105" s="19"/>
      <c r="N105" s="19"/>
    </row>
    <row r="106" spans="1:14" x14ac:dyDescent="0.25">
      <c r="A106" s="56">
        <v>43668</v>
      </c>
      <c r="B106" s="29">
        <v>0.01</v>
      </c>
      <c r="C106" s="36">
        <f t="shared" si="13"/>
        <v>0.254</v>
      </c>
      <c r="D106" s="47">
        <f t="shared" si="10"/>
        <v>6.079564705882353</v>
      </c>
      <c r="E106" s="47">
        <f t="shared" si="11"/>
        <v>11.026692894431044</v>
      </c>
      <c r="F106" s="47">
        <f t="shared" si="12"/>
        <v>-5.8255647058823534</v>
      </c>
      <c r="G106" s="24">
        <f t="shared" si="9"/>
        <v>-0.5283147686850439</v>
      </c>
      <c r="H106">
        <v>-0.5</v>
      </c>
      <c r="I106" s="19"/>
      <c r="J106" s="19"/>
      <c r="K106" s="19"/>
      <c r="L106" s="19"/>
      <c r="M106" s="19"/>
      <c r="N106" s="19"/>
    </row>
    <row r="107" spans="1:14" x14ac:dyDescent="0.25">
      <c r="A107" s="56">
        <v>43699</v>
      </c>
      <c r="B107" s="29">
        <v>0.01</v>
      </c>
      <c r="C107" s="36">
        <f t="shared" si="13"/>
        <v>0.254</v>
      </c>
      <c r="D107" s="47">
        <f t="shared" si="10"/>
        <v>6.079564705882353</v>
      </c>
      <c r="E107" s="47">
        <f t="shared" si="11"/>
        <v>11.026692894431044</v>
      </c>
      <c r="F107" s="47">
        <f t="shared" si="12"/>
        <v>-5.8255647058823534</v>
      </c>
      <c r="G107" s="24">
        <f t="shared" si="9"/>
        <v>-0.5283147686850439</v>
      </c>
      <c r="H107">
        <v>-0.5</v>
      </c>
      <c r="I107" s="19"/>
      <c r="J107" s="19"/>
      <c r="K107" s="19"/>
      <c r="L107" s="19"/>
      <c r="M107" s="19"/>
      <c r="N107" s="19"/>
    </row>
    <row r="108" spans="1:14" x14ac:dyDescent="0.25">
      <c r="A108" s="56">
        <v>43730</v>
      </c>
      <c r="B108" s="29">
        <v>0</v>
      </c>
      <c r="C108" s="36">
        <f t="shared" si="13"/>
        <v>0</v>
      </c>
      <c r="D108" s="47">
        <f t="shared" si="10"/>
        <v>6.079564705882353</v>
      </c>
      <c r="E108" s="47">
        <f t="shared" si="11"/>
        <v>11.026692894431044</v>
      </c>
      <c r="F108" s="47">
        <f t="shared" si="12"/>
        <v>-6.079564705882353</v>
      </c>
      <c r="G108" s="24">
        <f t="shared" si="9"/>
        <v>-0.55134978039995974</v>
      </c>
      <c r="H108">
        <v>-0.5</v>
      </c>
      <c r="I108" s="19"/>
      <c r="J108" s="19"/>
      <c r="K108" s="19"/>
      <c r="L108" s="19"/>
      <c r="M108" s="19"/>
      <c r="N108" s="19"/>
    </row>
    <row r="109" spans="1:14" x14ac:dyDescent="0.25">
      <c r="A109" s="56">
        <v>43760</v>
      </c>
      <c r="B109" s="29">
        <v>0</v>
      </c>
      <c r="C109" s="36">
        <f t="shared" si="13"/>
        <v>0</v>
      </c>
      <c r="D109" s="47">
        <f t="shared" si="10"/>
        <v>6.079564705882353</v>
      </c>
      <c r="E109" s="47">
        <f t="shared" si="11"/>
        <v>11.026692894431044</v>
      </c>
      <c r="F109" s="47">
        <f t="shared" si="12"/>
        <v>-6.079564705882353</v>
      </c>
      <c r="G109" s="24">
        <f t="shared" si="9"/>
        <v>-0.55134978039995974</v>
      </c>
      <c r="H109">
        <v>-0.5</v>
      </c>
      <c r="I109" s="19"/>
      <c r="J109" s="19"/>
      <c r="K109" s="19"/>
      <c r="L109" s="19"/>
      <c r="M109" s="19"/>
      <c r="N109" s="19"/>
    </row>
    <row r="110" spans="1:14" x14ac:dyDescent="0.25">
      <c r="A110" s="56">
        <v>43791</v>
      </c>
      <c r="B110" s="29">
        <v>7.0000000000000007E-2</v>
      </c>
      <c r="C110" s="36">
        <f t="shared" si="13"/>
        <v>1.778</v>
      </c>
      <c r="D110" s="47">
        <f t="shared" si="10"/>
        <v>6.079564705882353</v>
      </c>
      <c r="E110" s="47">
        <f t="shared" si="11"/>
        <v>11.026692894431044</v>
      </c>
      <c r="F110" s="47">
        <f t="shared" ref="F110:F141" si="14">C110-D110</f>
        <v>-4.3015647058823525</v>
      </c>
      <c r="G110" s="24">
        <f t="shared" si="9"/>
        <v>-0.39010469839554784</v>
      </c>
      <c r="H110">
        <v>-0.5</v>
      </c>
      <c r="I110" s="19"/>
      <c r="J110" s="19"/>
      <c r="K110" s="19"/>
      <c r="L110" s="19"/>
      <c r="M110" s="19"/>
      <c r="N110" s="19"/>
    </row>
    <row r="111" spans="1:14" x14ac:dyDescent="0.25">
      <c r="A111" s="56">
        <v>43821</v>
      </c>
      <c r="B111" s="29">
        <v>0.06</v>
      </c>
      <c r="C111" s="36">
        <f t="shared" si="13"/>
        <v>1.5239999999999998</v>
      </c>
      <c r="D111" s="47">
        <f t="shared" si="10"/>
        <v>6.079564705882353</v>
      </c>
      <c r="E111" s="47">
        <f t="shared" si="11"/>
        <v>11.026692894431044</v>
      </c>
      <c r="F111" s="47">
        <f t="shared" si="14"/>
        <v>-4.555564705882353</v>
      </c>
      <c r="G111" s="24">
        <f t="shared" si="9"/>
        <v>-0.41313971011046385</v>
      </c>
      <c r="H111">
        <v>-0.5</v>
      </c>
      <c r="I111" s="19"/>
      <c r="J111" s="19"/>
      <c r="K111" s="19"/>
      <c r="L111" s="19"/>
      <c r="M111" s="19"/>
      <c r="N111" s="19"/>
    </row>
    <row r="112" spans="1:14" x14ac:dyDescent="0.25">
      <c r="A112" s="56">
        <v>43852</v>
      </c>
      <c r="B112" s="29">
        <v>0.54</v>
      </c>
      <c r="C112" s="36">
        <f t="shared" si="13"/>
        <v>13.715999999999999</v>
      </c>
      <c r="D112" s="47">
        <f t="shared" si="10"/>
        <v>6.079564705882353</v>
      </c>
      <c r="E112" s="47">
        <f t="shared" si="11"/>
        <v>11.026692894431044</v>
      </c>
      <c r="F112" s="47">
        <f t="shared" si="14"/>
        <v>7.6364352941176463</v>
      </c>
      <c r="G112" s="24">
        <f t="shared" si="9"/>
        <v>0.69254085220550365</v>
      </c>
      <c r="H112">
        <v>-0.5</v>
      </c>
      <c r="I112" s="19"/>
      <c r="J112" s="19"/>
      <c r="K112" s="19"/>
      <c r="L112" s="19"/>
      <c r="M112" s="19"/>
      <c r="N112" s="19"/>
    </row>
    <row r="113" spans="1:14" x14ac:dyDescent="0.25">
      <c r="A113" s="56">
        <v>43883</v>
      </c>
      <c r="B113" s="29">
        <v>0.54</v>
      </c>
      <c r="C113" s="36">
        <f t="shared" si="13"/>
        <v>13.715999999999999</v>
      </c>
      <c r="D113" s="47">
        <f t="shared" si="10"/>
        <v>6.079564705882353</v>
      </c>
      <c r="E113" s="47">
        <f t="shared" si="11"/>
        <v>11.026692894431044</v>
      </c>
      <c r="F113" s="47">
        <f t="shared" si="14"/>
        <v>7.6364352941176463</v>
      </c>
      <c r="G113" s="24">
        <f t="shared" si="9"/>
        <v>0.69254085220550365</v>
      </c>
      <c r="H113">
        <v>-0.5</v>
      </c>
      <c r="I113" s="19"/>
      <c r="J113" s="19"/>
      <c r="K113" s="19"/>
      <c r="L113" s="19"/>
      <c r="M113" s="19"/>
      <c r="N113" s="19"/>
    </row>
    <row r="114" spans="1:14" x14ac:dyDescent="0.25">
      <c r="A114" s="56">
        <v>43912</v>
      </c>
      <c r="B114" s="29">
        <v>0.09</v>
      </c>
      <c r="C114" s="36">
        <f t="shared" si="13"/>
        <v>2.2859999999999996</v>
      </c>
      <c r="D114" s="47">
        <f t="shared" si="10"/>
        <v>6.079564705882353</v>
      </c>
      <c r="E114" s="47">
        <f t="shared" si="11"/>
        <v>11.026692894431044</v>
      </c>
      <c r="F114" s="47">
        <f t="shared" si="14"/>
        <v>-3.7935647058823534</v>
      </c>
      <c r="G114" s="24">
        <f t="shared" si="9"/>
        <v>-0.34403467496571594</v>
      </c>
      <c r="H114">
        <v>-0.5</v>
      </c>
      <c r="I114" s="19"/>
      <c r="J114" s="19"/>
      <c r="K114" s="19"/>
      <c r="L114" s="19"/>
      <c r="M114" s="19"/>
      <c r="N114" s="19"/>
    </row>
    <row r="115" spans="1:14" x14ac:dyDescent="0.25">
      <c r="A115" s="56">
        <v>43943</v>
      </c>
      <c r="B115" s="29">
        <v>0.28000000000000003</v>
      </c>
      <c r="C115" s="36">
        <f t="shared" si="13"/>
        <v>7.1120000000000001</v>
      </c>
      <c r="D115" s="47">
        <f t="shared" si="10"/>
        <v>6.079564705882353</v>
      </c>
      <c r="E115" s="47">
        <f t="shared" si="11"/>
        <v>11.026692894431044</v>
      </c>
      <c r="F115" s="47">
        <f t="shared" si="14"/>
        <v>1.0324352941176471</v>
      </c>
      <c r="G115" s="24">
        <f t="shared" si="9"/>
        <v>9.3630547617687937E-2</v>
      </c>
      <c r="H115">
        <v>-0.5</v>
      </c>
      <c r="I115" s="19"/>
      <c r="J115" s="19"/>
      <c r="K115" s="19"/>
      <c r="L115" s="19"/>
      <c r="M115" s="19"/>
      <c r="N115" s="19"/>
    </row>
    <row r="116" spans="1:14" x14ac:dyDescent="0.25">
      <c r="A116" s="56">
        <v>43973</v>
      </c>
      <c r="B116" s="29">
        <v>0.03</v>
      </c>
      <c r="C116" s="36">
        <f t="shared" si="13"/>
        <v>0.7619999999999999</v>
      </c>
      <c r="D116" s="47">
        <f t="shared" si="10"/>
        <v>6.079564705882353</v>
      </c>
      <c r="E116" s="47">
        <f t="shared" si="11"/>
        <v>11.026692894431044</v>
      </c>
      <c r="F116" s="47">
        <f t="shared" si="14"/>
        <v>-5.3175647058823534</v>
      </c>
      <c r="G116" s="24">
        <f t="shared" si="9"/>
        <v>-0.48224474525521188</v>
      </c>
      <c r="H116">
        <v>-0.5</v>
      </c>
      <c r="I116" s="19"/>
      <c r="J116" s="19"/>
      <c r="K116" s="19"/>
      <c r="L116" s="19"/>
      <c r="M116" s="19"/>
      <c r="N116" s="19"/>
    </row>
    <row r="117" spans="1:14" x14ac:dyDescent="0.25">
      <c r="A117" s="56">
        <v>44004</v>
      </c>
      <c r="B117" s="29">
        <v>0.02</v>
      </c>
      <c r="C117" s="36">
        <f t="shared" si="13"/>
        <v>0.50800000000000001</v>
      </c>
      <c r="D117" s="47">
        <f t="shared" si="10"/>
        <v>6.079564705882353</v>
      </c>
      <c r="E117" s="47">
        <f t="shared" si="11"/>
        <v>11.026692894431044</v>
      </c>
      <c r="F117" s="47">
        <f t="shared" si="14"/>
        <v>-5.571564705882353</v>
      </c>
      <c r="G117" s="24">
        <f t="shared" si="9"/>
        <v>-0.50527975697012784</v>
      </c>
      <c r="H117">
        <v>-0.5</v>
      </c>
      <c r="I117" s="19"/>
      <c r="J117" s="19"/>
      <c r="K117" s="19"/>
      <c r="L117" s="19"/>
      <c r="M117" s="19"/>
      <c r="N117" s="19"/>
    </row>
    <row r="118" spans="1:14" x14ac:dyDescent="0.25">
      <c r="A118" s="56">
        <v>44034</v>
      </c>
      <c r="B118" s="29">
        <v>0.01</v>
      </c>
      <c r="C118" s="36">
        <f t="shared" si="13"/>
        <v>0.254</v>
      </c>
      <c r="D118" s="47">
        <f t="shared" si="10"/>
        <v>6.079564705882353</v>
      </c>
      <c r="E118" s="47">
        <f t="shared" si="11"/>
        <v>11.026692894431044</v>
      </c>
      <c r="F118" s="47">
        <f t="shared" si="14"/>
        <v>-5.8255647058823534</v>
      </c>
      <c r="G118" s="24">
        <f t="shared" si="9"/>
        <v>-0.5283147686850439</v>
      </c>
      <c r="H118">
        <v>-0.5</v>
      </c>
      <c r="I118" s="19"/>
      <c r="J118" s="19"/>
      <c r="K118" s="19"/>
      <c r="L118" s="19"/>
      <c r="M118" s="19"/>
      <c r="N118" s="19"/>
    </row>
    <row r="119" spans="1:14" x14ac:dyDescent="0.25">
      <c r="A119" s="56">
        <v>44065</v>
      </c>
      <c r="B119" s="29">
        <v>0</v>
      </c>
      <c r="C119" s="36">
        <f t="shared" si="13"/>
        <v>0</v>
      </c>
      <c r="D119" s="47">
        <f t="shared" si="10"/>
        <v>6.079564705882353</v>
      </c>
      <c r="E119" s="47">
        <f t="shared" si="11"/>
        <v>11.026692894431044</v>
      </c>
      <c r="F119" s="47">
        <f t="shared" si="14"/>
        <v>-6.079564705882353</v>
      </c>
      <c r="G119" s="24">
        <f t="shared" si="9"/>
        <v>-0.55134978039995974</v>
      </c>
      <c r="H119">
        <v>-0.5</v>
      </c>
      <c r="I119" s="19"/>
      <c r="J119" s="19"/>
      <c r="K119" s="19"/>
      <c r="L119" s="19"/>
      <c r="M119" s="19"/>
      <c r="N119" s="19"/>
    </row>
    <row r="120" spans="1:14" x14ac:dyDescent="0.25">
      <c r="A120" s="56">
        <v>44096</v>
      </c>
      <c r="B120" s="29">
        <v>0.02</v>
      </c>
      <c r="C120" s="36">
        <f t="shared" si="13"/>
        <v>0.50800000000000001</v>
      </c>
      <c r="D120" s="47">
        <f t="shared" si="10"/>
        <v>6.079564705882353</v>
      </c>
      <c r="E120" s="47">
        <f t="shared" si="11"/>
        <v>11.026692894431044</v>
      </c>
      <c r="F120" s="47">
        <f t="shared" si="14"/>
        <v>-5.571564705882353</v>
      </c>
      <c r="G120" s="24">
        <f t="shared" si="9"/>
        <v>-0.50527975697012784</v>
      </c>
      <c r="H120">
        <v>-0.5</v>
      </c>
      <c r="I120" s="19"/>
      <c r="J120" s="19"/>
      <c r="K120" s="19"/>
      <c r="L120" s="19"/>
      <c r="M120" s="19"/>
      <c r="N120" s="19"/>
    </row>
    <row r="121" spans="1:14" x14ac:dyDescent="0.25">
      <c r="A121" s="56">
        <v>44126</v>
      </c>
      <c r="B121" s="29">
        <v>0.15</v>
      </c>
      <c r="C121" s="36">
        <f t="shared" si="13"/>
        <v>3.8099999999999996</v>
      </c>
      <c r="D121" s="47">
        <f t="shared" si="10"/>
        <v>6.079564705882353</v>
      </c>
      <c r="E121" s="47">
        <f t="shared" si="11"/>
        <v>11.026692894431044</v>
      </c>
      <c r="F121" s="47">
        <f t="shared" si="14"/>
        <v>-2.2695647058823534</v>
      </c>
      <c r="G121" s="24">
        <f t="shared" si="9"/>
        <v>-0.20582460467621996</v>
      </c>
      <c r="H121">
        <v>-0.5</v>
      </c>
      <c r="I121" s="19"/>
      <c r="J121" s="19"/>
      <c r="K121" s="19"/>
      <c r="L121" s="19"/>
      <c r="M121" s="19"/>
      <c r="N121" s="19"/>
    </row>
    <row r="122" spans="1:14" x14ac:dyDescent="0.25">
      <c r="A122" s="56">
        <v>44157</v>
      </c>
      <c r="B122" s="29">
        <v>0.01</v>
      </c>
      <c r="C122" s="36">
        <f t="shared" si="13"/>
        <v>0.254</v>
      </c>
      <c r="D122" s="47">
        <f t="shared" si="10"/>
        <v>6.079564705882353</v>
      </c>
      <c r="E122" s="47">
        <f t="shared" si="11"/>
        <v>11.026692894431044</v>
      </c>
      <c r="F122" s="47">
        <f t="shared" si="14"/>
        <v>-5.8255647058823534</v>
      </c>
      <c r="G122" s="24">
        <f t="shared" si="9"/>
        <v>-0.5283147686850439</v>
      </c>
      <c r="H122">
        <v>-0.5</v>
      </c>
      <c r="I122" s="19"/>
      <c r="J122" s="19"/>
      <c r="K122" s="19"/>
      <c r="L122" s="19"/>
      <c r="M122" s="19"/>
      <c r="N122" s="19"/>
    </row>
    <row r="123" spans="1:14" x14ac:dyDescent="0.25">
      <c r="A123" s="56">
        <v>44187</v>
      </c>
      <c r="B123" s="29">
        <v>0.42</v>
      </c>
      <c r="C123" s="36">
        <f t="shared" si="13"/>
        <v>10.667999999999999</v>
      </c>
      <c r="D123" s="47">
        <f t="shared" si="10"/>
        <v>6.079564705882353</v>
      </c>
      <c r="E123" s="47">
        <f t="shared" si="11"/>
        <v>11.026692894431044</v>
      </c>
      <c r="F123" s="47">
        <f t="shared" si="14"/>
        <v>4.5884352941176463</v>
      </c>
      <c r="G123" s="24">
        <f t="shared" si="9"/>
        <v>0.41612071162651171</v>
      </c>
      <c r="H123">
        <v>-0.5</v>
      </c>
      <c r="I123" s="19"/>
      <c r="J123" s="19"/>
      <c r="K123" s="19"/>
      <c r="L123" s="19"/>
      <c r="M123" s="19"/>
      <c r="N123" s="19"/>
    </row>
    <row r="124" spans="1:14" x14ac:dyDescent="0.25">
      <c r="A124" s="56">
        <v>44218</v>
      </c>
      <c r="B124" s="29">
        <v>2</v>
      </c>
      <c r="C124" s="36">
        <f t="shared" si="13"/>
        <v>50.8</v>
      </c>
      <c r="D124" s="47">
        <f t="shared" si="10"/>
        <v>6.079564705882353</v>
      </c>
      <c r="E124" s="47">
        <f t="shared" si="11"/>
        <v>11.026692894431044</v>
      </c>
      <c r="F124" s="47">
        <f t="shared" si="14"/>
        <v>44.720435294117642</v>
      </c>
      <c r="G124" s="24">
        <f t="shared" si="9"/>
        <v>4.055652562583238</v>
      </c>
      <c r="H124">
        <v>-0.5</v>
      </c>
      <c r="I124" s="19"/>
      <c r="J124" s="19"/>
      <c r="K124" s="19"/>
      <c r="L124" s="19"/>
      <c r="M124" s="19"/>
      <c r="N124" s="19"/>
    </row>
    <row r="125" spans="1:14" x14ac:dyDescent="0.25">
      <c r="A125" s="56">
        <v>44249</v>
      </c>
      <c r="B125" s="29">
        <v>0.44</v>
      </c>
      <c r="C125" s="36">
        <f t="shared" si="13"/>
        <v>11.176</v>
      </c>
      <c r="D125" s="47">
        <f t="shared" si="10"/>
        <v>6.079564705882353</v>
      </c>
      <c r="E125" s="47">
        <f t="shared" si="11"/>
        <v>11.026692894431044</v>
      </c>
      <c r="F125" s="47">
        <f t="shared" si="14"/>
        <v>5.0964352941176472</v>
      </c>
      <c r="G125" s="24">
        <f t="shared" si="9"/>
        <v>0.46219073505634378</v>
      </c>
      <c r="H125">
        <v>-0.5</v>
      </c>
      <c r="I125" s="19"/>
      <c r="J125" s="19"/>
      <c r="K125" s="19"/>
      <c r="L125" s="19"/>
      <c r="M125" s="19"/>
      <c r="N125" s="19"/>
    </row>
    <row r="126" spans="1:14" x14ac:dyDescent="0.25">
      <c r="A126" s="56">
        <v>44277</v>
      </c>
      <c r="B126" s="29">
        <v>0.2</v>
      </c>
      <c r="C126" s="36">
        <f t="shared" si="13"/>
        <v>5.08</v>
      </c>
      <c r="D126" s="47">
        <f t="shared" si="10"/>
        <v>6.079564705882353</v>
      </c>
      <c r="E126" s="47">
        <f t="shared" si="11"/>
        <v>11.026692894431044</v>
      </c>
      <c r="F126" s="47">
        <f t="shared" si="14"/>
        <v>-0.99956470588235291</v>
      </c>
      <c r="G126" s="24">
        <f t="shared" si="9"/>
        <v>-9.0649546101639986E-2</v>
      </c>
      <c r="H126">
        <v>-0.5</v>
      </c>
      <c r="I126" s="19"/>
      <c r="J126" s="19"/>
      <c r="K126" s="19"/>
      <c r="L126" s="19"/>
      <c r="M126" s="19"/>
      <c r="N126" s="19"/>
    </row>
    <row r="127" spans="1:14" x14ac:dyDescent="0.25">
      <c r="A127" s="56">
        <v>44308</v>
      </c>
      <c r="B127" s="29">
        <v>0.18</v>
      </c>
      <c r="C127" s="36">
        <f t="shared" si="13"/>
        <v>4.5719999999999992</v>
      </c>
      <c r="D127" s="47">
        <f t="shared" si="10"/>
        <v>6.079564705882353</v>
      </c>
      <c r="E127" s="47">
        <f t="shared" si="11"/>
        <v>11.026692894431044</v>
      </c>
      <c r="F127" s="47">
        <f t="shared" si="14"/>
        <v>-1.5075647058823538</v>
      </c>
      <c r="G127" s="24">
        <f t="shared" si="9"/>
        <v>-0.13671956953147205</v>
      </c>
      <c r="H127">
        <v>-0.5</v>
      </c>
      <c r="I127" s="19"/>
      <c r="J127" s="19"/>
      <c r="K127" s="19"/>
      <c r="L127" s="19"/>
      <c r="M127" s="19"/>
      <c r="N127" s="19"/>
    </row>
    <row r="128" spans="1:14" x14ac:dyDescent="0.25">
      <c r="A128" s="56">
        <v>44338</v>
      </c>
      <c r="B128" s="29">
        <v>0.11</v>
      </c>
      <c r="C128" s="36">
        <f t="shared" si="13"/>
        <v>2.794</v>
      </c>
      <c r="D128" s="47">
        <f t="shared" si="10"/>
        <v>6.079564705882353</v>
      </c>
      <c r="E128" s="47">
        <f t="shared" si="11"/>
        <v>11.026692894431044</v>
      </c>
      <c r="F128" s="47">
        <f t="shared" si="14"/>
        <v>-3.2855647058823529</v>
      </c>
      <c r="G128" s="24">
        <f t="shared" si="9"/>
        <v>-0.29796465153588392</v>
      </c>
      <c r="H128">
        <v>-0.5</v>
      </c>
      <c r="I128" s="19"/>
      <c r="J128" s="19"/>
      <c r="K128" s="19"/>
      <c r="L128" s="19"/>
      <c r="M128" s="19"/>
      <c r="N128" s="19"/>
    </row>
    <row r="129" spans="1:14" x14ac:dyDescent="0.25">
      <c r="A129" s="56">
        <v>44369</v>
      </c>
      <c r="B129" s="29">
        <v>0.09</v>
      </c>
      <c r="C129" s="36">
        <f t="shared" si="13"/>
        <v>2.2859999999999996</v>
      </c>
      <c r="D129" s="47">
        <f t="shared" si="10"/>
        <v>6.079564705882353</v>
      </c>
      <c r="E129" s="47">
        <f t="shared" si="11"/>
        <v>11.026692894431044</v>
      </c>
      <c r="F129" s="47">
        <f t="shared" si="14"/>
        <v>-3.7935647058823534</v>
      </c>
      <c r="G129" s="24">
        <f t="shared" si="9"/>
        <v>-0.34403467496571594</v>
      </c>
      <c r="H129">
        <v>-0.5</v>
      </c>
      <c r="I129" s="19"/>
      <c r="J129" s="19"/>
      <c r="K129" s="19"/>
      <c r="L129" s="19"/>
      <c r="M129" s="19"/>
      <c r="N129" s="19"/>
    </row>
    <row r="130" spans="1:14" x14ac:dyDescent="0.25">
      <c r="A130" s="56">
        <v>44399</v>
      </c>
      <c r="B130" s="29">
        <v>0.08</v>
      </c>
      <c r="C130" s="36">
        <f t="shared" si="13"/>
        <v>2.032</v>
      </c>
      <c r="D130" s="47">
        <f t="shared" si="10"/>
        <v>6.079564705882353</v>
      </c>
      <c r="E130" s="47">
        <f t="shared" si="11"/>
        <v>11.026692894431044</v>
      </c>
      <c r="F130" s="47">
        <f t="shared" si="14"/>
        <v>-4.047564705882353</v>
      </c>
      <c r="G130" s="24">
        <f t="shared" si="9"/>
        <v>-0.36706968668063189</v>
      </c>
      <c r="H130">
        <v>-0.5</v>
      </c>
      <c r="I130" s="19"/>
      <c r="J130" s="19"/>
      <c r="K130" s="19"/>
      <c r="L130" s="19"/>
      <c r="M130" s="19"/>
      <c r="N130" s="19"/>
    </row>
    <row r="131" spans="1:14" x14ac:dyDescent="0.25">
      <c r="A131" s="56">
        <v>44430</v>
      </c>
      <c r="B131" s="29">
        <v>0.04</v>
      </c>
      <c r="C131" s="36">
        <f t="shared" si="13"/>
        <v>1.016</v>
      </c>
      <c r="D131" s="47">
        <f t="shared" si="10"/>
        <v>6.079564705882353</v>
      </c>
      <c r="E131" s="47">
        <f t="shared" si="11"/>
        <v>11.026692894431044</v>
      </c>
      <c r="F131" s="47">
        <f t="shared" si="14"/>
        <v>-5.063564705882353</v>
      </c>
      <c r="G131" s="24">
        <f t="shared" si="9"/>
        <v>-0.45920973354029582</v>
      </c>
      <c r="H131">
        <v>-0.5</v>
      </c>
      <c r="I131" s="19"/>
      <c r="J131" s="19"/>
      <c r="K131" s="19"/>
      <c r="L131" s="19"/>
      <c r="M131" s="19"/>
      <c r="N131" s="19"/>
    </row>
    <row r="132" spans="1:14" x14ac:dyDescent="0.25">
      <c r="A132" s="56">
        <v>44461</v>
      </c>
      <c r="B132" s="29">
        <v>0.03</v>
      </c>
      <c r="C132" s="36">
        <f t="shared" si="13"/>
        <v>0.7619999999999999</v>
      </c>
      <c r="D132" s="47">
        <f t="shared" si="10"/>
        <v>6.079564705882353</v>
      </c>
      <c r="E132" s="47">
        <f t="shared" si="11"/>
        <v>11.026692894431044</v>
      </c>
      <c r="F132" s="47">
        <f t="shared" si="14"/>
        <v>-5.3175647058823534</v>
      </c>
      <c r="G132" s="24">
        <f t="shared" si="9"/>
        <v>-0.48224474525521188</v>
      </c>
      <c r="H132">
        <v>-0.5</v>
      </c>
      <c r="I132" s="19"/>
      <c r="J132" s="19"/>
      <c r="K132" s="19"/>
      <c r="L132" s="19"/>
      <c r="M132" s="19"/>
      <c r="N132" s="19"/>
    </row>
    <row r="133" spans="1:14" x14ac:dyDescent="0.25">
      <c r="A133" s="56">
        <v>44491</v>
      </c>
      <c r="B133" s="29">
        <v>0.05</v>
      </c>
      <c r="C133" s="36">
        <f t="shared" ref="C133:C164" si="15">$D$1*B133</f>
        <v>1.27</v>
      </c>
      <c r="D133" s="47">
        <f t="shared" si="10"/>
        <v>6.079564705882353</v>
      </c>
      <c r="E133" s="47">
        <f t="shared" si="11"/>
        <v>11.026692894431044</v>
      </c>
      <c r="F133" s="47">
        <f t="shared" si="14"/>
        <v>-4.8095647058823534</v>
      </c>
      <c r="G133" s="24">
        <f t="shared" ref="G133:G144" si="16">F133/E133</f>
        <v>-0.43617472182537986</v>
      </c>
      <c r="H133">
        <v>-0.5</v>
      </c>
      <c r="I133" s="19"/>
      <c r="J133" s="19"/>
      <c r="K133" s="19"/>
      <c r="L133" s="19"/>
      <c r="M133" s="19"/>
      <c r="N133" s="19"/>
    </row>
    <row r="134" spans="1:14" x14ac:dyDescent="0.25">
      <c r="A134" s="56">
        <v>44522</v>
      </c>
      <c r="B134" s="29">
        <v>0.14000000000000001</v>
      </c>
      <c r="C134" s="36">
        <f t="shared" si="15"/>
        <v>3.556</v>
      </c>
      <c r="D134" s="47">
        <f t="shared" ref="D134:D174" si="17">AVERAGE($C$5:$C$174)</f>
        <v>6.079564705882353</v>
      </c>
      <c r="E134" s="47">
        <f t="shared" ref="E134:E174" si="18">_xlfn.STDEV.S($C$5:$C$174)</f>
        <v>11.026692894431044</v>
      </c>
      <c r="F134" s="47">
        <f t="shared" si="14"/>
        <v>-2.5235647058823529</v>
      </c>
      <c r="G134" s="24">
        <f t="shared" si="16"/>
        <v>-0.22885961639113592</v>
      </c>
      <c r="H134">
        <v>-0.5</v>
      </c>
      <c r="I134" s="19"/>
      <c r="J134" s="19"/>
      <c r="K134" s="19"/>
      <c r="L134" s="19"/>
      <c r="M134" s="19"/>
      <c r="N134" s="19"/>
    </row>
    <row r="135" spans="1:14" x14ac:dyDescent="0.25">
      <c r="A135" s="56">
        <v>44552</v>
      </c>
      <c r="B135" s="29">
        <v>0.17</v>
      </c>
      <c r="C135" s="36">
        <f t="shared" si="15"/>
        <v>4.3180000000000005</v>
      </c>
      <c r="D135" s="47">
        <f t="shared" si="17"/>
        <v>6.079564705882353</v>
      </c>
      <c r="E135" s="47">
        <f t="shared" si="18"/>
        <v>11.026692894431044</v>
      </c>
      <c r="F135" s="47">
        <f t="shared" si="14"/>
        <v>-1.7615647058823525</v>
      </c>
      <c r="G135" s="24">
        <f t="shared" si="16"/>
        <v>-0.15975458124638792</v>
      </c>
      <c r="H135">
        <v>-0.5</v>
      </c>
      <c r="I135" s="19"/>
      <c r="J135" s="19"/>
      <c r="K135" s="19"/>
      <c r="L135" s="19"/>
      <c r="M135" s="19"/>
      <c r="N135" s="19"/>
    </row>
    <row r="136" spans="1:14" x14ac:dyDescent="0.25">
      <c r="A136" s="56">
        <v>44583</v>
      </c>
      <c r="B136" s="29">
        <v>0.64</v>
      </c>
      <c r="C136" s="36">
        <f t="shared" si="15"/>
        <v>16.256</v>
      </c>
      <c r="D136" s="47">
        <f t="shared" si="17"/>
        <v>6.079564705882353</v>
      </c>
      <c r="E136" s="47">
        <f t="shared" si="18"/>
        <v>11.026692894431044</v>
      </c>
      <c r="F136" s="47">
        <f t="shared" si="14"/>
        <v>10.176435294117647</v>
      </c>
      <c r="G136" s="24">
        <f t="shared" si="16"/>
        <v>0.92289096935466364</v>
      </c>
      <c r="H136">
        <v>-0.5</v>
      </c>
      <c r="I136" s="19"/>
      <c r="J136" s="19"/>
      <c r="K136" s="19"/>
      <c r="L136" s="19"/>
      <c r="M136" s="19"/>
      <c r="N136" s="19"/>
    </row>
    <row r="137" spans="1:14" x14ac:dyDescent="0.25">
      <c r="A137" s="56">
        <v>44614</v>
      </c>
      <c r="B137" s="29">
        <v>0.01</v>
      </c>
      <c r="C137" s="36">
        <f t="shared" si="15"/>
        <v>0.254</v>
      </c>
      <c r="D137" s="47">
        <f t="shared" si="17"/>
        <v>6.079564705882353</v>
      </c>
      <c r="E137" s="47">
        <f t="shared" si="18"/>
        <v>11.026692894431044</v>
      </c>
      <c r="F137" s="47">
        <f t="shared" si="14"/>
        <v>-5.8255647058823534</v>
      </c>
      <c r="G137" s="24">
        <f t="shared" si="16"/>
        <v>-0.5283147686850439</v>
      </c>
      <c r="H137">
        <v>-0.5</v>
      </c>
      <c r="I137" s="19"/>
      <c r="J137" s="19"/>
      <c r="K137" s="19"/>
      <c r="L137" s="19"/>
      <c r="M137" s="19"/>
      <c r="N137" s="19"/>
    </row>
    <row r="138" spans="1:14" x14ac:dyDescent="0.25">
      <c r="A138" s="56">
        <v>44642</v>
      </c>
      <c r="B138" s="29">
        <v>0.14000000000000001</v>
      </c>
      <c r="C138" s="36">
        <f t="shared" si="15"/>
        <v>3.556</v>
      </c>
      <c r="D138" s="47">
        <f t="shared" si="17"/>
        <v>6.079564705882353</v>
      </c>
      <c r="E138" s="47">
        <f t="shared" si="18"/>
        <v>11.026692894431044</v>
      </c>
      <c r="F138" s="47">
        <f t="shared" si="14"/>
        <v>-2.5235647058823529</v>
      </c>
      <c r="G138" s="24">
        <f t="shared" si="16"/>
        <v>-0.22885961639113592</v>
      </c>
      <c r="H138">
        <v>-0.5</v>
      </c>
      <c r="I138" s="19"/>
      <c r="J138" s="19"/>
      <c r="K138" s="19"/>
      <c r="L138" s="19"/>
      <c r="M138" s="19"/>
      <c r="N138" s="19"/>
    </row>
    <row r="139" spans="1:14" x14ac:dyDescent="0.25">
      <c r="A139" s="56">
        <v>44673</v>
      </c>
      <c r="B139" s="29">
        <v>0.26</v>
      </c>
      <c r="C139" s="36">
        <f t="shared" si="15"/>
        <v>6.6040000000000001</v>
      </c>
      <c r="D139" s="47">
        <f t="shared" si="17"/>
        <v>6.079564705882353</v>
      </c>
      <c r="E139" s="47">
        <f t="shared" si="18"/>
        <v>11.026692894431044</v>
      </c>
      <c r="F139" s="47">
        <f t="shared" si="14"/>
        <v>0.52443529411764711</v>
      </c>
      <c r="G139" s="24">
        <f t="shared" si="16"/>
        <v>4.756052418785596E-2</v>
      </c>
      <c r="H139">
        <v>-0.5</v>
      </c>
      <c r="I139" s="19"/>
      <c r="J139" s="19"/>
      <c r="K139" s="19"/>
      <c r="L139" s="19"/>
      <c r="M139" s="19"/>
      <c r="N139" s="19"/>
    </row>
    <row r="140" spans="1:14" x14ac:dyDescent="0.25">
      <c r="A140" s="56">
        <v>44703</v>
      </c>
      <c r="B140" s="29">
        <v>0.03</v>
      </c>
      <c r="C140" s="36">
        <f t="shared" si="15"/>
        <v>0.7619999999999999</v>
      </c>
      <c r="D140" s="47">
        <f t="shared" si="17"/>
        <v>6.079564705882353</v>
      </c>
      <c r="E140" s="47">
        <f t="shared" si="18"/>
        <v>11.026692894431044</v>
      </c>
      <c r="F140" s="47">
        <f t="shared" si="14"/>
        <v>-5.3175647058823534</v>
      </c>
      <c r="G140" s="24">
        <f t="shared" si="16"/>
        <v>-0.48224474525521188</v>
      </c>
      <c r="H140">
        <v>-0.5</v>
      </c>
      <c r="I140" s="19"/>
      <c r="J140" s="19"/>
      <c r="K140" s="19"/>
      <c r="L140" s="19"/>
      <c r="M140" s="19"/>
      <c r="N140" s="19"/>
    </row>
    <row r="141" spans="1:14" x14ac:dyDescent="0.25">
      <c r="A141" s="56">
        <v>44734</v>
      </c>
      <c r="B141" s="29">
        <v>0.02</v>
      </c>
      <c r="C141" s="36">
        <f t="shared" si="15"/>
        <v>0.50800000000000001</v>
      </c>
      <c r="D141" s="47">
        <f t="shared" si="17"/>
        <v>6.079564705882353</v>
      </c>
      <c r="E141" s="47">
        <f t="shared" si="18"/>
        <v>11.026692894431044</v>
      </c>
      <c r="F141" s="47">
        <f t="shared" si="14"/>
        <v>-5.571564705882353</v>
      </c>
      <c r="G141" s="24">
        <f t="shared" si="16"/>
        <v>-0.50527975697012784</v>
      </c>
      <c r="H141">
        <v>-0.5</v>
      </c>
      <c r="I141" s="19"/>
      <c r="J141" s="19"/>
      <c r="K141" s="19"/>
      <c r="L141" s="19"/>
      <c r="M141" s="19"/>
      <c r="N141" s="19"/>
    </row>
    <row r="142" spans="1:14" x14ac:dyDescent="0.25">
      <c r="A142" s="56">
        <v>44764</v>
      </c>
      <c r="B142" s="29">
        <v>0.01</v>
      </c>
      <c r="C142" s="36">
        <f t="shared" si="15"/>
        <v>0.254</v>
      </c>
      <c r="D142" s="47">
        <f t="shared" si="17"/>
        <v>6.079564705882353</v>
      </c>
      <c r="E142" s="47">
        <f t="shared" si="18"/>
        <v>11.026692894431044</v>
      </c>
      <c r="F142" s="47">
        <f t="shared" ref="F142:F166" si="19">C142-D142</f>
        <v>-5.8255647058823534</v>
      </c>
      <c r="G142" s="24">
        <f t="shared" si="16"/>
        <v>-0.5283147686850439</v>
      </c>
      <c r="H142">
        <v>-0.5</v>
      </c>
      <c r="I142" s="19"/>
      <c r="J142" s="19"/>
      <c r="K142" s="19"/>
      <c r="L142" s="19"/>
      <c r="M142" s="19"/>
      <c r="N142" s="19"/>
    </row>
    <row r="143" spans="1:14" x14ac:dyDescent="0.25">
      <c r="A143" s="56">
        <v>44795</v>
      </c>
      <c r="B143" s="29">
        <v>0</v>
      </c>
      <c r="C143" s="36">
        <f t="shared" si="15"/>
        <v>0</v>
      </c>
      <c r="D143" s="47">
        <f t="shared" si="17"/>
        <v>6.079564705882353</v>
      </c>
      <c r="E143" s="47">
        <f t="shared" si="18"/>
        <v>11.026692894431044</v>
      </c>
      <c r="F143" s="47">
        <f t="shared" si="19"/>
        <v>-6.079564705882353</v>
      </c>
      <c r="G143" s="24">
        <f t="shared" si="16"/>
        <v>-0.55134978039995974</v>
      </c>
      <c r="H143">
        <v>-0.5</v>
      </c>
      <c r="I143" s="19"/>
      <c r="J143" s="19"/>
      <c r="K143" s="19"/>
      <c r="L143" s="19"/>
      <c r="M143" s="19"/>
      <c r="N143" s="19"/>
    </row>
    <row r="144" spans="1:14" x14ac:dyDescent="0.25">
      <c r="A144" s="56">
        <v>44826</v>
      </c>
      <c r="B144" s="29">
        <v>0.02</v>
      </c>
      <c r="C144" s="36">
        <f t="shared" si="15"/>
        <v>0.50800000000000001</v>
      </c>
      <c r="D144" s="47">
        <f t="shared" si="17"/>
        <v>6.079564705882353</v>
      </c>
      <c r="E144" s="47">
        <f t="shared" si="18"/>
        <v>11.026692894431044</v>
      </c>
      <c r="F144" s="47">
        <f t="shared" si="19"/>
        <v>-5.571564705882353</v>
      </c>
      <c r="G144" s="24">
        <f t="shared" si="16"/>
        <v>-0.50527975697012784</v>
      </c>
      <c r="H144">
        <v>-0.5</v>
      </c>
      <c r="I144" s="19"/>
      <c r="J144" s="19"/>
      <c r="K144" s="19"/>
      <c r="L144" s="19"/>
      <c r="M144" s="19"/>
      <c r="N144" s="19"/>
    </row>
    <row r="145" spans="1:14" x14ac:dyDescent="0.25">
      <c r="A145" s="56">
        <v>44856</v>
      </c>
      <c r="B145" s="29">
        <v>0.04</v>
      </c>
      <c r="C145" s="36">
        <f t="shared" si="15"/>
        <v>1.016</v>
      </c>
      <c r="D145" s="47">
        <f t="shared" si="17"/>
        <v>6.079564705882353</v>
      </c>
      <c r="E145" s="47">
        <f t="shared" si="18"/>
        <v>11.026692894431044</v>
      </c>
      <c r="F145" s="47">
        <f t="shared" si="19"/>
        <v>-5.063564705882353</v>
      </c>
      <c r="G145" s="24">
        <f>F145/E145</f>
        <v>-0.45920973354029582</v>
      </c>
      <c r="H145">
        <v>-0.5</v>
      </c>
      <c r="I145" s="19"/>
      <c r="J145" s="19"/>
      <c r="K145" s="19"/>
      <c r="L145" s="19"/>
      <c r="M145" s="19"/>
      <c r="N145" s="19"/>
    </row>
    <row r="146" spans="1:14" x14ac:dyDescent="0.25">
      <c r="A146" s="56">
        <v>44887</v>
      </c>
      <c r="B146" s="29">
        <v>7.0000000000000007E-2</v>
      </c>
      <c r="C146" s="36">
        <f t="shared" si="15"/>
        <v>1.778</v>
      </c>
      <c r="D146" s="47">
        <f t="shared" si="17"/>
        <v>6.079564705882353</v>
      </c>
      <c r="E146" s="47">
        <f t="shared" si="18"/>
        <v>11.026692894431044</v>
      </c>
      <c r="F146" s="47">
        <f t="shared" si="19"/>
        <v>-4.3015647058823525</v>
      </c>
      <c r="G146" s="24">
        <f t="shared" ref="G146:G166" si="20">F146/E146</f>
        <v>-0.39010469839554784</v>
      </c>
      <c r="H146">
        <v>-0.5</v>
      </c>
      <c r="I146" s="19"/>
      <c r="J146" s="19"/>
      <c r="K146" s="19"/>
      <c r="L146" s="19"/>
      <c r="M146" s="19"/>
      <c r="N146" s="19"/>
    </row>
    <row r="147" spans="1:14" x14ac:dyDescent="0.25">
      <c r="A147" s="56">
        <v>44917</v>
      </c>
      <c r="B147" s="29">
        <v>0.37</v>
      </c>
      <c r="C147" s="36">
        <f t="shared" si="15"/>
        <v>9.3979999999999997</v>
      </c>
      <c r="D147" s="47">
        <f t="shared" si="17"/>
        <v>6.079564705882353</v>
      </c>
      <c r="E147" s="47">
        <f t="shared" si="18"/>
        <v>11.026692894431044</v>
      </c>
      <c r="F147" s="47">
        <f t="shared" si="19"/>
        <v>3.3184352941176467</v>
      </c>
      <c r="G147" s="24">
        <f t="shared" si="20"/>
        <v>0.30094565305193183</v>
      </c>
      <c r="H147">
        <v>-0.5</v>
      </c>
      <c r="I147" s="19"/>
      <c r="J147" s="19"/>
      <c r="K147" s="19"/>
      <c r="L147" s="19"/>
      <c r="M147" s="19"/>
      <c r="N147" s="19"/>
    </row>
    <row r="148" spans="1:14" x14ac:dyDescent="0.25">
      <c r="A148" s="56">
        <v>44949</v>
      </c>
      <c r="B148" s="29">
        <v>0.21</v>
      </c>
      <c r="C148" s="36">
        <f t="shared" si="15"/>
        <v>5.3339999999999996</v>
      </c>
      <c r="D148" s="47">
        <f t="shared" si="17"/>
        <v>6.079564705882353</v>
      </c>
      <c r="E148" s="47">
        <f t="shared" si="18"/>
        <v>11.026692894431044</v>
      </c>
      <c r="F148" s="47">
        <f t="shared" si="19"/>
        <v>-0.74556470588235335</v>
      </c>
      <c r="G148" s="24">
        <f t="shared" si="20"/>
        <v>-6.7614534386724032E-2</v>
      </c>
      <c r="H148">
        <v>-0.5</v>
      </c>
      <c r="I148" s="19"/>
      <c r="J148" s="19"/>
      <c r="K148" s="19"/>
      <c r="L148" s="19"/>
      <c r="M148" s="19"/>
      <c r="N148" s="19"/>
    </row>
    <row r="149" spans="1:14" x14ac:dyDescent="0.25">
      <c r="A149" s="56">
        <v>44980</v>
      </c>
      <c r="B149" s="29">
        <v>3.11</v>
      </c>
      <c r="C149" s="36">
        <f t="shared" si="15"/>
        <v>78.993999999999986</v>
      </c>
      <c r="D149" s="47">
        <f t="shared" si="17"/>
        <v>6.079564705882353</v>
      </c>
      <c r="E149" s="47">
        <f t="shared" si="18"/>
        <v>11.026692894431044</v>
      </c>
      <c r="F149" s="47">
        <f t="shared" si="19"/>
        <v>72.914435294117638</v>
      </c>
      <c r="G149" s="24">
        <f t="shared" si="20"/>
        <v>6.6125388629389121</v>
      </c>
      <c r="H149">
        <v>-0.5</v>
      </c>
      <c r="I149" s="19"/>
      <c r="J149" s="19"/>
      <c r="K149" s="19"/>
      <c r="L149" s="19"/>
      <c r="M149" s="19"/>
      <c r="N149" s="19"/>
    </row>
    <row r="150" spans="1:14" x14ac:dyDescent="0.25">
      <c r="A150" s="56">
        <v>45008</v>
      </c>
      <c r="B150" s="29">
        <v>0.1</v>
      </c>
      <c r="C150" s="36">
        <f t="shared" si="15"/>
        <v>2.54</v>
      </c>
      <c r="D150" s="47">
        <f t="shared" si="17"/>
        <v>6.079564705882353</v>
      </c>
      <c r="E150" s="47">
        <f t="shared" si="18"/>
        <v>11.026692894431044</v>
      </c>
      <c r="F150" s="47">
        <f t="shared" si="19"/>
        <v>-3.5395647058823529</v>
      </c>
      <c r="G150" s="24">
        <f t="shared" si="20"/>
        <v>-0.32099966325079987</v>
      </c>
      <c r="H150">
        <v>-0.5</v>
      </c>
      <c r="I150" s="19"/>
      <c r="J150" s="19"/>
      <c r="K150" s="19"/>
      <c r="L150" s="19"/>
      <c r="M150" s="19"/>
      <c r="N150" s="19"/>
    </row>
    <row r="151" spans="1:14" x14ac:dyDescent="0.25">
      <c r="A151" s="56">
        <v>45039</v>
      </c>
      <c r="B151" s="29">
        <v>0.38</v>
      </c>
      <c r="C151" s="36">
        <f t="shared" si="15"/>
        <v>9.6519999999999992</v>
      </c>
      <c r="D151" s="47">
        <f t="shared" si="17"/>
        <v>6.079564705882353</v>
      </c>
      <c r="E151" s="47">
        <f t="shared" si="18"/>
        <v>11.026692894431044</v>
      </c>
      <c r="F151" s="47">
        <f t="shared" si="19"/>
        <v>3.5724352941176463</v>
      </c>
      <c r="G151" s="24">
        <f t="shared" si="20"/>
        <v>0.32398066476684778</v>
      </c>
      <c r="H151">
        <v>-0.5</v>
      </c>
      <c r="I151" s="19"/>
      <c r="J151" s="19"/>
      <c r="K151" s="19"/>
      <c r="L151" s="19"/>
      <c r="M151" s="19"/>
      <c r="N151" s="19"/>
    </row>
    <row r="152" spans="1:14" x14ac:dyDescent="0.25">
      <c r="A152" s="56">
        <v>45069</v>
      </c>
      <c r="B152" s="29">
        <v>0.38</v>
      </c>
      <c r="C152" s="36">
        <f t="shared" si="15"/>
        <v>9.6519999999999992</v>
      </c>
      <c r="D152" s="47">
        <f t="shared" si="17"/>
        <v>6.079564705882353</v>
      </c>
      <c r="E152" s="47">
        <f t="shared" si="18"/>
        <v>11.026692894431044</v>
      </c>
      <c r="F152" s="47">
        <f t="shared" si="19"/>
        <v>3.5724352941176463</v>
      </c>
      <c r="G152" s="24">
        <f t="shared" si="20"/>
        <v>0.32398066476684778</v>
      </c>
      <c r="H152">
        <v>-0.5</v>
      </c>
      <c r="I152" s="19"/>
      <c r="J152" s="19"/>
      <c r="K152" s="19"/>
      <c r="L152" s="19"/>
      <c r="M152" s="19"/>
      <c r="N152" s="19"/>
    </row>
    <row r="153" spans="1:14" x14ac:dyDescent="0.25">
      <c r="A153" s="56">
        <v>45100</v>
      </c>
      <c r="B153" s="29">
        <v>0.22</v>
      </c>
      <c r="C153" s="36">
        <f t="shared" si="15"/>
        <v>5.5880000000000001</v>
      </c>
      <c r="D153" s="47">
        <f t="shared" si="17"/>
        <v>6.079564705882353</v>
      </c>
      <c r="E153" s="47">
        <f t="shared" si="18"/>
        <v>11.026692894431044</v>
      </c>
      <c r="F153" s="47">
        <f t="shared" si="19"/>
        <v>-0.4915647058823529</v>
      </c>
      <c r="G153" s="24">
        <f t="shared" si="20"/>
        <v>-4.4579522671808001E-2</v>
      </c>
      <c r="H153">
        <v>-0.5</v>
      </c>
      <c r="I153" s="19"/>
      <c r="J153" s="19"/>
      <c r="K153" s="19"/>
      <c r="L153" s="19"/>
      <c r="M153" s="19"/>
      <c r="N153" s="19"/>
    </row>
    <row r="154" spans="1:14" x14ac:dyDescent="0.25">
      <c r="A154" s="56">
        <v>45130</v>
      </c>
      <c r="B154" s="29">
        <v>0.16</v>
      </c>
      <c r="C154" s="36">
        <f t="shared" si="15"/>
        <v>4.0640000000000001</v>
      </c>
      <c r="D154" s="47">
        <f t="shared" si="17"/>
        <v>6.079564705882353</v>
      </c>
      <c r="E154" s="47">
        <f t="shared" si="18"/>
        <v>11.026692894431044</v>
      </c>
      <c r="F154" s="47">
        <f t="shared" si="19"/>
        <v>-2.0155647058823529</v>
      </c>
      <c r="G154" s="24">
        <f t="shared" si="20"/>
        <v>-0.18278959296130395</v>
      </c>
      <c r="H154">
        <v>-0.5</v>
      </c>
      <c r="I154" s="19"/>
      <c r="J154" s="19"/>
      <c r="K154" s="19"/>
      <c r="L154" s="19"/>
      <c r="M154" s="19"/>
      <c r="N154" s="19"/>
    </row>
    <row r="155" spans="1:14" x14ac:dyDescent="0.25">
      <c r="A155" s="56">
        <v>45161</v>
      </c>
      <c r="B155" s="29">
        <v>0.1</v>
      </c>
      <c r="C155" s="36">
        <f t="shared" si="15"/>
        <v>2.54</v>
      </c>
      <c r="D155" s="47">
        <f t="shared" si="17"/>
        <v>6.079564705882353</v>
      </c>
      <c r="E155" s="47">
        <f t="shared" si="18"/>
        <v>11.026692894431044</v>
      </c>
      <c r="F155" s="47">
        <f t="shared" si="19"/>
        <v>-3.5395647058823529</v>
      </c>
      <c r="G155" s="24">
        <f t="shared" si="20"/>
        <v>-0.32099966325079987</v>
      </c>
      <c r="H155">
        <v>-0.5</v>
      </c>
      <c r="I155" s="19"/>
      <c r="J155" s="19"/>
      <c r="K155" s="19"/>
      <c r="L155" s="19"/>
      <c r="M155" s="19"/>
      <c r="N155" s="19"/>
    </row>
    <row r="156" spans="1:14" x14ac:dyDescent="0.25">
      <c r="A156" s="56">
        <v>45192</v>
      </c>
      <c r="B156" s="29">
        <v>7.0000000000000007E-2</v>
      </c>
      <c r="C156" s="36">
        <f t="shared" si="15"/>
        <v>1.778</v>
      </c>
      <c r="D156" s="47">
        <f t="shared" si="17"/>
        <v>6.079564705882353</v>
      </c>
      <c r="E156" s="47">
        <f t="shared" si="18"/>
        <v>11.026692894431044</v>
      </c>
      <c r="F156" s="47">
        <f t="shared" si="19"/>
        <v>-4.3015647058823525</v>
      </c>
      <c r="G156" s="24">
        <f t="shared" si="20"/>
        <v>-0.39010469839554784</v>
      </c>
      <c r="H156">
        <v>-0.5</v>
      </c>
      <c r="I156" s="19"/>
      <c r="J156" s="19"/>
      <c r="K156" s="19"/>
      <c r="L156" s="19"/>
      <c r="M156" s="19"/>
      <c r="N156" s="19"/>
    </row>
    <row r="157" spans="1:14" x14ac:dyDescent="0.25">
      <c r="A157" s="56">
        <v>45222</v>
      </c>
      <c r="B157" s="29">
        <v>0.03</v>
      </c>
      <c r="C157" s="36">
        <f t="shared" si="15"/>
        <v>0.7619999999999999</v>
      </c>
      <c r="D157" s="47">
        <f t="shared" si="17"/>
        <v>6.079564705882353</v>
      </c>
      <c r="E157" s="47">
        <f t="shared" si="18"/>
        <v>11.026692894431044</v>
      </c>
      <c r="F157" s="47">
        <f t="shared" si="19"/>
        <v>-5.3175647058823534</v>
      </c>
      <c r="G157" s="24">
        <f t="shared" si="20"/>
        <v>-0.48224474525521188</v>
      </c>
      <c r="H157">
        <v>-0.5</v>
      </c>
      <c r="I157" s="19"/>
      <c r="J157" s="19"/>
      <c r="K157" s="19"/>
      <c r="L157" s="19"/>
      <c r="M157" s="19"/>
      <c r="N157" s="19"/>
    </row>
    <row r="158" spans="1:14" x14ac:dyDescent="0.25">
      <c r="A158" s="56">
        <v>45253</v>
      </c>
      <c r="B158" s="29">
        <v>0.08</v>
      </c>
      <c r="C158" s="36">
        <f t="shared" si="15"/>
        <v>2.032</v>
      </c>
      <c r="D158" s="47">
        <f t="shared" si="17"/>
        <v>6.079564705882353</v>
      </c>
      <c r="E158" s="47">
        <f t="shared" si="18"/>
        <v>11.026692894431044</v>
      </c>
      <c r="F158" s="47">
        <f t="shared" si="19"/>
        <v>-4.047564705882353</v>
      </c>
      <c r="G158" s="24">
        <f t="shared" si="20"/>
        <v>-0.36706968668063189</v>
      </c>
      <c r="H158">
        <v>-0.5</v>
      </c>
      <c r="I158" s="19"/>
      <c r="J158" s="19"/>
      <c r="K158" s="19"/>
      <c r="L158" s="19"/>
      <c r="M158" s="19"/>
      <c r="N158" s="19"/>
    </row>
    <row r="159" spans="1:14" x14ac:dyDescent="0.25">
      <c r="A159" s="56">
        <v>45283</v>
      </c>
      <c r="B159" s="29">
        <v>0.66</v>
      </c>
      <c r="C159" s="36">
        <f t="shared" si="15"/>
        <v>16.763999999999999</v>
      </c>
      <c r="D159" s="47">
        <f t="shared" si="17"/>
        <v>6.079564705882353</v>
      </c>
      <c r="E159" s="47">
        <f t="shared" si="18"/>
        <v>11.026692894431044</v>
      </c>
      <c r="F159" s="47">
        <f t="shared" si="19"/>
        <v>10.684435294117646</v>
      </c>
      <c r="G159" s="24">
        <f t="shared" si="20"/>
        <v>0.96896099278449555</v>
      </c>
      <c r="H159">
        <v>-0.5</v>
      </c>
      <c r="I159" s="19"/>
      <c r="J159" s="19"/>
      <c r="K159" s="19"/>
      <c r="L159" s="19"/>
      <c r="M159" s="19"/>
      <c r="N159" s="19"/>
    </row>
    <row r="160" spans="1:14" x14ac:dyDescent="0.25">
      <c r="A160" s="56">
        <v>45315</v>
      </c>
      <c r="B160" s="36">
        <v>0.49</v>
      </c>
      <c r="C160" s="36">
        <f t="shared" si="15"/>
        <v>12.446</v>
      </c>
      <c r="D160" s="47">
        <f t="shared" si="17"/>
        <v>6.079564705882353</v>
      </c>
      <c r="E160" s="47">
        <f t="shared" si="18"/>
        <v>11.026692894431044</v>
      </c>
      <c r="F160" s="47">
        <f t="shared" si="19"/>
        <v>6.3664352941176467</v>
      </c>
      <c r="G160" s="24">
        <f t="shared" si="20"/>
        <v>0.57736579363092366</v>
      </c>
      <c r="H160">
        <v>-0.5</v>
      </c>
      <c r="I160" s="19"/>
      <c r="J160" s="19"/>
      <c r="K160" s="19"/>
      <c r="L160" s="19"/>
      <c r="M160" s="19"/>
      <c r="N160" s="19"/>
    </row>
    <row r="161" spans="1:14" x14ac:dyDescent="0.25">
      <c r="A161" s="56">
        <v>45346</v>
      </c>
      <c r="B161" s="36">
        <v>0.31</v>
      </c>
      <c r="C161" s="36">
        <f t="shared" si="15"/>
        <v>7.8739999999999997</v>
      </c>
      <c r="D161" s="47">
        <f t="shared" si="17"/>
        <v>6.079564705882353</v>
      </c>
      <c r="E161" s="47">
        <f t="shared" si="18"/>
        <v>11.026692894431044</v>
      </c>
      <c r="F161" s="47">
        <f t="shared" si="19"/>
        <v>1.7944352941176467</v>
      </c>
      <c r="G161" s="24">
        <f t="shared" si="20"/>
        <v>0.16273558276243588</v>
      </c>
      <c r="H161">
        <v>-0.5</v>
      </c>
      <c r="I161" s="19"/>
      <c r="J161" s="19"/>
      <c r="K161" s="19"/>
      <c r="L161" s="19"/>
      <c r="M161" s="19"/>
      <c r="N161" s="19"/>
    </row>
    <row r="162" spans="1:14" x14ac:dyDescent="0.25">
      <c r="A162" s="56">
        <v>45375</v>
      </c>
      <c r="B162" s="36">
        <v>0.34</v>
      </c>
      <c r="C162" s="36">
        <f t="shared" si="15"/>
        <v>8.636000000000001</v>
      </c>
      <c r="D162" s="47">
        <f t="shared" si="17"/>
        <v>6.079564705882353</v>
      </c>
      <c r="E162" s="47">
        <f t="shared" si="18"/>
        <v>11.026692894431044</v>
      </c>
      <c r="F162" s="47">
        <f t="shared" si="19"/>
        <v>2.556435294117648</v>
      </c>
      <c r="G162" s="24">
        <f t="shared" si="20"/>
        <v>0.23184061790718397</v>
      </c>
      <c r="H162">
        <v>-0.5</v>
      </c>
      <c r="I162" s="19"/>
      <c r="J162" s="19"/>
      <c r="K162" s="19"/>
      <c r="L162" s="19"/>
      <c r="M162" s="19"/>
      <c r="N162" s="19"/>
    </row>
    <row r="163" spans="1:14" x14ac:dyDescent="0.25">
      <c r="A163" s="56">
        <v>45406</v>
      </c>
      <c r="B163" s="36">
        <v>0.25</v>
      </c>
      <c r="C163" s="36">
        <f t="shared" si="15"/>
        <v>6.35</v>
      </c>
      <c r="D163" s="47">
        <f t="shared" si="17"/>
        <v>6.079564705882353</v>
      </c>
      <c r="E163" s="47">
        <f t="shared" si="18"/>
        <v>11.026692894431044</v>
      </c>
      <c r="F163" s="47">
        <f t="shared" si="19"/>
        <v>0.27043529411764666</v>
      </c>
      <c r="G163" s="24">
        <f t="shared" si="20"/>
        <v>2.452551247293993E-2</v>
      </c>
      <c r="H163">
        <v>-0.5</v>
      </c>
      <c r="I163" s="19"/>
      <c r="J163" s="19"/>
      <c r="K163" s="19"/>
      <c r="L163" s="19"/>
      <c r="M163" s="19"/>
      <c r="N163" s="19"/>
    </row>
    <row r="164" spans="1:14" x14ac:dyDescent="0.25">
      <c r="A164" s="56">
        <v>45436</v>
      </c>
      <c r="B164" s="36">
        <v>0.11</v>
      </c>
      <c r="C164" s="36">
        <f t="shared" si="15"/>
        <v>2.794</v>
      </c>
      <c r="D164" s="47">
        <f t="shared" si="17"/>
        <v>6.079564705882353</v>
      </c>
      <c r="E164" s="47">
        <f t="shared" si="18"/>
        <v>11.026692894431044</v>
      </c>
      <c r="F164" s="47">
        <f t="shared" si="19"/>
        <v>-3.2855647058823529</v>
      </c>
      <c r="G164" s="24">
        <f t="shared" si="20"/>
        <v>-0.29796465153588392</v>
      </c>
      <c r="H164">
        <v>-0.5</v>
      </c>
      <c r="I164" s="19"/>
      <c r="J164" s="19"/>
      <c r="K164" s="19"/>
      <c r="L164" s="19"/>
      <c r="M164" s="19"/>
      <c r="N164" s="19"/>
    </row>
    <row r="165" spans="1:14" x14ac:dyDescent="0.25">
      <c r="A165" s="56">
        <v>45468</v>
      </c>
      <c r="B165" s="29">
        <v>7.0000000000000007E-2</v>
      </c>
      <c r="C165" s="36">
        <f t="shared" ref="C165:C174" si="21">$D$1*B165</f>
        <v>1.778</v>
      </c>
      <c r="D165" s="47">
        <f t="shared" si="17"/>
        <v>6.079564705882353</v>
      </c>
      <c r="E165" s="47">
        <f t="shared" si="18"/>
        <v>11.026692894431044</v>
      </c>
      <c r="F165" s="47">
        <f t="shared" si="19"/>
        <v>-4.3015647058823525</v>
      </c>
      <c r="G165" s="24">
        <f t="shared" si="20"/>
        <v>-0.39010469839554784</v>
      </c>
      <c r="H165">
        <v>-0.5</v>
      </c>
      <c r="I165" s="19"/>
      <c r="J165" s="19"/>
      <c r="K165" s="19"/>
      <c r="L165" s="19"/>
      <c r="M165" s="19"/>
      <c r="N165" s="19"/>
    </row>
    <row r="166" spans="1:14" x14ac:dyDescent="0.25">
      <c r="A166" s="56">
        <v>45500</v>
      </c>
      <c r="B166" s="1">
        <v>0.06</v>
      </c>
      <c r="C166" s="29">
        <f t="shared" si="21"/>
        <v>1.5239999999999998</v>
      </c>
      <c r="D166" s="47">
        <f t="shared" si="17"/>
        <v>6.079564705882353</v>
      </c>
      <c r="E166" s="47">
        <f t="shared" si="18"/>
        <v>11.026692894431044</v>
      </c>
      <c r="F166" s="47">
        <f t="shared" si="19"/>
        <v>-4.555564705882353</v>
      </c>
      <c r="G166" s="24">
        <f t="shared" si="20"/>
        <v>-0.41313971011046385</v>
      </c>
      <c r="H166">
        <v>-0.5</v>
      </c>
      <c r="I166" s="19"/>
      <c r="J166" s="19"/>
      <c r="K166" s="19"/>
      <c r="L166" s="19"/>
      <c r="M166" s="19"/>
      <c r="N166" s="19"/>
    </row>
    <row r="167" spans="1:14" x14ac:dyDescent="0.25">
      <c r="A167" s="57">
        <v>45514</v>
      </c>
      <c r="B167" s="1">
        <v>0.02</v>
      </c>
      <c r="C167" s="29">
        <f t="shared" si="21"/>
        <v>0.50800000000000001</v>
      </c>
      <c r="D167" s="47">
        <f t="shared" si="17"/>
        <v>6.079564705882353</v>
      </c>
      <c r="E167" s="47">
        <f t="shared" si="18"/>
        <v>11.026692894431044</v>
      </c>
      <c r="F167" s="47">
        <f t="shared" ref="F167:F173" si="22">C167-D167</f>
        <v>-5.571564705882353</v>
      </c>
      <c r="G167" s="24">
        <f t="shared" ref="G167:G173" si="23">F167/E167</f>
        <v>-0.50527975697012784</v>
      </c>
      <c r="H167">
        <v>-0.5</v>
      </c>
      <c r="I167" s="19"/>
      <c r="J167" s="19"/>
      <c r="K167" s="19"/>
      <c r="L167" s="19"/>
      <c r="M167" s="19"/>
      <c r="N167" s="19"/>
    </row>
    <row r="168" spans="1:14" x14ac:dyDescent="0.25">
      <c r="A168" s="57">
        <v>45545</v>
      </c>
      <c r="B168" s="1">
        <v>0.06</v>
      </c>
      <c r="C168" s="29">
        <f t="shared" si="21"/>
        <v>1.5239999999999998</v>
      </c>
      <c r="D168" s="47">
        <f t="shared" si="17"/>
        <v>6.079564705882353</v>
      </c>
      <c r="E168" s="47">
        <f t="shared" si="18"/>
        <v>11.026692894431044</v>
      </c>
      <c r="F168" s="47">
        <f t="shared" si="22"/>
        <v>-4.555564705882353</v>
      </c>
      <c r="G168" s="24">
        <f t="shared" si="23"/>
        <v>-0.41313971011046385</v>
      </c>
      <c r="H168">
        <v>-0.5</v>
      </c>
      <c r="I168" s="19"/>
      <c r="J168" s="19"/>
      <c r="K168" s="19"/>
      <c r="L168" s="19"/>
      <c r="M168" s="19"/>
      <c r="N168" s="19"/>
    </row>
    <row r="169" spans="1:14" x14ac:dyDescent="0.25">
      <c r="A169" s="57">
        <v>45575</v>
      </c>
      <c r="B169" s="1">
        <v>0.02</v>
      </c>
      <c r="C169" s="29">
        <f t="shared" si="21"/>
        <v>0.50800000000000001</v>
      </c>
      <c r="D169" s="47">
        <f t="shared" si="17"/>
        <v>6.079564705882353</v>
      </c>
      <c r="E169" s="47">
        <f t="shared" si="18"/>
        <v>11.026692894431044</v>
      </c>
      <c r="F169" s="47">
        <f t="shared" si="22"/>
        <v>-5.571564705882353</v>
      </c>
      <c r="G169" s="24">
        <f t="shared" si="23"/>
        <v>-0.50527975697012784</v>
      </c>
      <c r="H169">
        <v>-0.5</v>
      </c>
      <c r="I169" s="19"/>
      <c r="J169" s="19"/>
      <c r="K169" s="19"/>
      <c r="L169" s="19"/>
      <c r="M169" s="19"/>
      <c r="N169" s="19"/>
    </row>
    <row r="170" spans="1:14" x14ac:dyDescent="0.25">
      <c r="A170" s="57">
        <v>45606</v>
      </c>
      <c r="B170" s="1">
        <v>0.02</v>
      </c>
      <c r="C170" s="29">
        <f t="shared" si="21"/>
        <v>0.50800000000000001</v>
      </c>
      <c r="D170" s="47">
        <f t="shared" si="17"/>
        <v>6.079564705882353</v>
      </c>
      <c r="E170" s="47">
        <f t="shared" si="18"/>
        <v>11.026692894431044</v>
      </c>
      <c r="F170" s="47">
        <f t="shared" si="22"/>
        <v>-5.571564705882353</v>
      </c>
      <c r="G170" s="24">
        <f t="shared" si="23"/>
        <v>-0.50527975697012784</v>
      </c>
      <c r="H170">
        <v>-0.5</v>
      </c>
      <c r="I170" s="19"/>
      <c r="J170" s="19"/>
      <c r="K170" s="19"/>
      <c r="L170" s="19"/>
      <c r="M170" s="19"/>
      <c r="N170" s="19"/>
    </row>
    <row r="171" spans="1:14" x14ac:dyDescent="0.25">
      <c r="A171" s="57">
        <v>45636</v>
      </c>
      <c r="B171" s="1">
        <v>0.03</v>
      </c>
      <c r="C171" s="29">
        <f t="shared" si="21"/>
        <v>0.7619999999999999</v>
      </c>
      <c r="D171" s="47">
        <f t="shared" si="17"/>
        <v>6.079564705882353</v>
      </c>
      <c r="E171" s="47">
        <f t="shared" si="18"/>
        <v>11.026692894431044</v>
      </c>
      <c r="F171" s="47">
        <f t="shared" si="22"/>
        <v>-5.3175647058823534</v>
      </c>
      <c r="G171" s="24">
        <f t="shared" si="23"/>
        <v>-0.48224474525521188</v>
      </c>
      <c r="H171">
        <v>-0.5</v>
      </c>
      <c r="I171" s="19"/>
      <c r="J171" s="19"/>
      <c r="K171" s="19"/>
      <c r="L171" s="19"/>
      <c r="M171" s="19"/>
      <c r="N171" s="19"/>
    </row>
    <row r="172" spans="1:14" x14ac:dyDescent="0.25">
      <c r="A172" s="57">
        <v>45667</v>
      </c>
      <c r="B172" s="1">
        <v>0.4</v>
      </c>
      <c r="C172" s="29">
        <f t="shared" si="21"/>
        <v>10.16</v>
      </c>
      <c r="D172" s="47">
        <f t="shared" si="17"/>
        <v>6.079564705882353</v>
      </c>
      <c r="E172" s="47">
        <f t="shared" si="18"/>
        <v>11.026692894431044</v>
      </c>
      <c r="F172" s="47">
        <f t="shared" si="22"/>
        <v>4.0804352941176472</v>
      </c>
      <c r="G172" s="24">
        <f t="shared" si="23"/>
        <v>0.37005068819667986</v>
      </c>
      <c r="H172">
        <v>-0.5</v>
      </c>
      <c r="I172" s="19"/>
      <c r="J172" s="19"/>
      <c r="K172" s="19"/>
      <c r="L172" s="19"/>
      <c r="M172" s="19"/>
      <c r="N172" s="19"/>
    </row>
    <row r="173" spans="1:14" x14ac:dyDescent="0.25">
      <c r="A173" s="57">
        <v>45698</v>
      </c>
      <c r="B173" s="1">
        <v>0.28999999999999998</v>
      </c>
      <c r="C173" s="29">
        <f t="shared" si="21"/>
        <v>7.3659999999999988</v>
      </c>
      <c r="D173" s="47">
        <f t="shared" si="17"/>
        <v>6.079564705882353</v>
      </c>
      <c r="E173" s="47">
        <f t="shared" si="18"/>
        <v>11.026692894431044</v>
      </c>
      <c r="F173" s="47">
        <f t="shared" si="22"/>
        <v>1.2864352941176458</v>
      </c>
      <c r="G173" s="24">
        <f t="shared" si="23"/>
        <v>0.11666555933260381</v>
      </c>
      <c r="H173">
        <v>-0.5</v>
      </c>
      <c r="I173" s="19"/>
      <c r="J173" s="19"/>
      <c r="K173" s="19"/>
      <c r="L173" s="19"/>
      <c r="M173" s="19"/>
      <c r="N173" s="19"/>
    </row>
    <row r="174" spans="1:14" x14ac:dyDescent="0.25">
      <c r="A174" s="9">
        <v>45720</v>
      </c>
      <c r="B174" s="1">
        <v>0.53</v>
      </c>
      <c r="C174" s="29">
        <f t="shared" si="21"/>
        <v>13.462</v>
      </c>
      <c r="D174" s="47">
        <f t="shared" si="17"/>
        <v>6.079564705882353</v>
      </c>
      <c r="E174" s="47">
        <f t="shared" si="18"/>
        <v>11.026692894431044</v>
      </c>
      <c r="F174" s="47">
        <f t="shared" ref="F174" si="24">C174-D174</f>
        <v>7.3824352941176468</v>
      </c>
      <c r="G174" s="24">
        <f t="shared" ref="G174" si="25">F174/E174</f>
        <v>0.6695058404905877</v>
      </c>
      <c r="H174">
        <v>-0.5</v>
      </c>
      <c r="I174" s="19"/>
      <c r="J174" s="19"/>
      <c r="K174" s="19"/>
      <c r="L174" s="19"/>
      <c r="M174" s="19"/>
      <c r="N174" s="19"/>
    </row>
    <row r="175" spans="1:14" x14ac:dyDescent="0.25">
      <c r="H175">
        <v>-0.5</v>
      </c>
      <c r="I175" s="19"/>
      <c r="J175" s="19"/>
      <c r="K175" s="19"/>
      <c r="L175" s="19"/>
      <c r="M175" s="19"/>
      <c r="N175" s="19"/>
    </row>
    <row r="176" spans="1:14" x14ac:dyDescent="0.25">
      <c r="H176">
        <v>-0.5</v>
      </c>
      <c r="I176" s="19"/>
      <c r="J176" s="19"/>
      <c r="K176" s="19"/>
      <c r="L176" s="19"/>
      <c r="M176" s="19"/>
      <c r="N176" s="19"/>
    </row>
    <row r="177" spans="8:14" x14ac:dyDescent="0.25">
      <c r="H177">
        <v>-0.5</v>
      </c>
      <c r="I177" s="19"/>
      <c r="J177" s="19"/>
      <c r="K177" s="19"/>
      <c r="L177" s="19"/>
      <c r="M177" s="19"/>
      <c r="N177" s="19"/>
    </row>
  </sheetData>
  <mergeCells count="2">
    <mergeCell ref="A3:G3"/>
    <mergeCell ref="A2:G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C742-CD49-4D82-A03A-B372E9618CFD}">
  <dimension ref="A1:H175"/>
  <sheetViews>
    <sheetView topLeftCell="A36" zoomScale="85" zoomScaleNormal="85" workbookViewId="0">
      <selection activeCell="G5" sqref="G5:G175"/>
    </sheetView>
  </sheetViews>
  <sheetFormatPr defaultRowHeight="15" x14ac:dyDescent="0.25"/>
  <cols>
    <col min="1" max="1" width="15.5703125" style="58" customWidth="1"/>
    <col min="2" max="2" width="18.7109375" style="1" customWidth="1"/>
    <col min="3" max="3" width="19.5703125" style="1" customWidth="1"/>
    <col min="4" max="4" width="22.85546875" style="1" customWidth="1"/>
    <col min="5" max="5" width="16" style="1" customWidth="1"/>
    <col min="6" max="6" width="13.7109375" style="1" customWidth="1"/>
    <col min="7" max="7" width="21.5703125" style="15" bestFit="1" customWidth="1"/>
    <col min="8" max="8" width="12.28515625" customWidth="1"/>
  </cols>
  <sheetData>
    <row r="1" spans="1:8" x14ac:dyDescent="0.25">
      <c r="A1" s="60"/>
      <c r="B1" s="61"/>
      <c r="C1" s="61"/>
      <c r="D1" s="16">
        <v>25.4</v>
      </c>
      <c r="E1" s="61"/>
      <c r="F1" s="61"/>
      <c r="G1" s="62"/>
    </row>
    <row r="2" spans="1:8" ht="20.25" customHeight="1" x14ac:dyDescent="0.25">
      <c r="A2" s="72" t="s">
        <v>21</v>
      </c>
      <c r="B2" s="73"/>
      <c r="C2" s="73"/>
      <c r="D2" s="73"/>
      <c r="E2" s="73"/>
      <c r="F2" s="73"/>
      <c r="G2" s="73"/>
      <c r="H2" s="48"/>
    </row>
    <row r="3" spans="1:8" x14ac:dyDescent="0.25">
      <c r="A3" s="67" t="s">
        <v>1</v>
      </c>
      <c r="B3" s="68"/>
      <c r="C3" s="68"/>
      <c r="D3" s="68"/>
      <c r="E3" s="68"/>
      <c r="F3" s="68"/>
      <c r="G3" s="71"/>
    </row>
    <row r="4" spans="1:8" x14ac:dyDescent="0.25">
      <c r="A4" s="55" t="s">
        <v>16</v>
      </c>
      <c r="B4" s="7" t="s">
        <v>3</v>
      </c>
      <c r="C4" s="7" t="s">
        <v>1</v>
      </c>
      <c r="D4" s="8" t="s">
        <v>4</v>
      </c>
      <c r="E4" s="8" t="s">
        <v>5</v>
      </c>
      <c r="F4" s="7"/>
      <c r="G4" s="49" t="s">
        <v>23</v>
      </c>
      <c r="H4" t="s">
        <v>22</v>
      </c>
    </row>
    <row r="5" spans="1:8" x14ac:dyDescent="0.25">
      <c r="A5" s="56">
        <v>40565</v>
      </c>
      <c r="B5" s="29">
        <v>0.35</v>
      </c>
      <c r="C5" s="36">
        <f t="shared" ref="C5:C36" si="0">$D$1*B5</f>
        <v>8.8899999999999988</v>
      </c>
      <c r="D5" s="47">
        <f>AVERAGE($C$5:$C$174)</f>
        <v>5.5999529411764701</v>
      </c>
      <c r="E5" s="47">
        <f>_xlfn.STDEV.S($C$5:$C$174)</f>
        <v>9.846214244893936</v>
      </c>
      <c r="F5" s="47">
        <f>C5-D5</f>
        <v>3.2900470588235287</v>
      </c>
      <c r="G5" s="24">
        <f>F5/E5</f>
        <v>0.33414335469388001</v>
      </c>
      <c r="H5">
        <v>-0.5</v>
      </c>
    </row>
    <row r="6" spans="1:8" x14ac:dyDescent="0.25">
      <c r="A6" s="56">
        <v>40596</v>
      </c>
      <c r="B6" s="29">
        <v>7.0000000000000007E-2</v>
      </c>
      <c r="C6" s="36">
        <f t="shared" si="0"/>
        <v>1.778</v>
      </c>
      <c r="D6" s="47">
        <f t="shared" ref="D6:D69" si="1">AVERAGE($C$5:$C$174)</f>
        <v>5.5999529411764701</v>
      </c>
      <c r="E6" s="47">
        <f t="shared" ref="E6:E69" si="2">_xlfn.STDEV.S($C$5:$C$174)</f>
        <v>9.846214244893936</v>
      </c>
      <c r="F6" s="47">
        <f t="shared" ref="F6:F69" si="3">C6-D6</f>
        <v>-3.8219529411764701</v>
      </c>
      <c r="G6" s="24">
        <f t="shared" ref="G6:G69" si="4">F6/E6</f>
        <v>-0.38816471448998419</v>
      </c>
      <c r="H6">
        <v>-0.5</v>
      </c>
    </row>
    <row r="7" spans="1:8" x14ac:dyDescent="0.25">
      <c r="A7" s="56">
        <v>40624</v>
      </c>
      <c r="B7" s="29">
        <v>0.36</v>
      </c>
      <c r="C7" s="36">
        <f t="shared" si="0"/>
        <v>9.1439999999999984</v>
      </c>
      <c r="D7" s="47">
        <f t="shared" si="1"/>
        <v>5.5999529411764701</v>
      </c>
      <c r="E7" s="47">
        <f t="shared" si="2"/>
        <v>9.846214244893936</v>
      </c>
      <c r="F7" s="47">
        <f t="shared" si="3"/>
        <v>3.5440470588235282</v>
      </c>
      <c r="G7" s="24">
        <f t="shared" si="4"/>
        <v>0.3599400714504466</v>
      </c>
      <c r="H7">
        <v>-0.5</v>
      </c>
    </row>
    <row r="8" spans="1:8" x14ac:dyDescent="0.25">
      <c r="A8" s="56">
        <v>40655</v>
      </c>
      <c r="B8" s="29">
        <v>0.26</v>
      </c>
      <c r="C8" s="36">
        <f t="shared" si="0"/>
        <v>6.6040000000000001</v>
      </c>
      <c r="D8" s="47">
        <f t="shared" si="1"/>
        <v>5.5999529411764701</v>
      </c>
      <c r="E8" s="47">
        <f t="shared" si="2"/>
        <v>9.846214244893936</v>
      </c>
      <c r="F8" s="47">
        <f t="shared" si="3"/>
        <v>1.00404705882353</v>
      </c>
      <c r="G8" s="24">
        <f t="shared" si="4"/>
        <v>0.1019729038847809</v>
      </c>
      <c r="H8">
        <v>-0.5</v>
      </c>
    </row>
    <row r="9" spans="1:8" x14ac:dyDescent="0.25">
      <c r="A9" s="56">
        <v>40685</v>
      </c>
      <c r="B9" s="29">
        <v>0.12</v>
      </c>
      <c r="C9" s="36">
        <f t="shared" si="0"/>
        <v>3.0479999999999996</v>
      </c>
      <c r="D9" s="47">
        <f t="shared" si="1"/>
        <v>5.5999529411764701</v>
      </c>
      <c r="E9" s="47">
        <f t="shared" si="2"/>
        <v>9.846214244893936</v>
      </c>
      <c r="F9" s="47">
        <f t="shared" si="3"/>
        <v>-2.5519529411764705</v>
      </c>
      <c r="G9" s="24">
        <f t="shared" si="4"/>
        <v>-0.25918113070715132</v>
      </c>
      <c r="H9">
        <v>-0.5</v>
      </c>
    </row>
    <row r="10" spans="1:8" x14ac:dyDescent="0.25">
      <c r="A10" s="56">
        <v>40716</v>
      </c>
      <c r="B10" s="29">
        <v>0.17</v>
      </c>
      <c r="C10" s="36">
        <f t="shared" si="0"/>
        <v>4.3180000000000005</v>
      </c>
      <c r="D10" s="47">
        <f t="shared" si="1"/>
        <v>5.5999529411764701</v>
      </c>
      <c r="E10" s="47">
        <f t="shared" si="2"/>
        <v>9.846214244893936</v>
      </c>
      <c r="F10" s="47">
        <f t="shared" si="3"/>
        <v>-1.2819529411764696</v>
      </c>
      <c r="G10" s="24">
        <f t="shared" si="4"/>
        <v>-0.13019754692431831</v>
      </c>
      <c r="H10">
        <v>-0.5</v>
      </c>
    </row>
    <row r="11" spans="1:8" x14ac:dyDescent="0.25">
      <c r="A11" s="56">
        <v>40746</v>
      </c>
      <c r="B11" s="29">
        <v>0.14000000000000001</v>
      </c>
      <c r="C11" s="36">
        <f t="shared" si="0"/>
        <v>3.556</v>
      </c>
      <c r="D11" s="47">
        <f t="shared" si="1"/>
        <v>5.5999529411764701</v>
      </c>
      <c r="E11" s="47">
        <f t="shared" si="2"/>
        <v>9.846214244893936</v>
      </c>
      <c r="F11" s="47">
        <f t="shared" si="3"/>
        <v>-2.0439529411764701</v>
      </c>
      <c r="G11" s="24">
        <f t="shared" si="4"/>
        <v>-0.20758769719401812</v>
      </c>
      <c r="H11">
        <v>-0.5</v>
      </c>
    </row>
    <row r="12" spans="1:8" x14ac:dyDescent="0.25">
      <c r="A12" s="56">
        <v>40777</v>
      </c>
      <c r="B12" s="29">
        <v>0.12</v>
      </c>
      <c r="C12" s="36">
        <f t="shared" si="0"/>
        <v>3.0479999999999996</v>
      </c>
      <c r="D12" s="47">
        <f t="shared" si="1"/>
        <v>5.5999529411764701</v>
      </c>
      <c r="E12" s="47">
        <f t="shared" si="2"/>
        <v>9.846214244893936</v>
      </c>
      <c r="F12" s="47">
        <f t="shared" si="3"/>
        <v>-2.5519529411764705</v>
      </c>
      <c r="G12" s="24">
        <f t="shared" si="4"/>
        <v>-0.25918113070715132</v>
      </c>
      <c r="H12">
        <v>-0.5</v>
      </c>
    </row>
    <row r="13" spans="1:8" x14ac:dyDescent="0.25">
      <c r="A13" s="56">
        <v>40808</v>
      </c>
      <c r="B13" s="29">
        <v>0.05</v>
      </c>
      <c r="C13" s="36">
        <f t="shared" si="0"/>
        <v>1.27</v>
      </c>
      <c r="D13" s="47">
        <f t="shared" si="1"/>
        <v>5.5999529411764701</v>
      </c>
      <c r="E13" s="47">
        <f t="shared" si="2"/>
        <v>9.846214244893936</v>
      </c>
      <c r="F13" s="47">
        <f t="shared" si="3"/>
        <v>-4.3299529411764706</v>
      </c>
      <c r="G13" s="24">
        <f t="shared" si="4"/>
        <v>-0.43975814800311741</v>
      </c>
      <c r="H13">
        <v>-0.5</v>
      </c>
    </row>
    <row r="14" spans="1:8" x14ac:dyDescent="0.25">
      <c r="A14" s="56">
        <v>40838</v>
      </c>
      <c r="B14" s="29">
        <v>0.09</v>
      </c>
      <c r="C14" s="36">
        <f t="shared" si="0"/>
        <v>2.2859999999999996</v>
      </c>
      <c r="D14" s="47">
        <f t="shared" si="1"/>
        <v>5.5999529411764701</v>
      </c>
      <c r="E14" s="47">
        <f t="shared" si="2"/>
        <v>9.846214244893936</v>
      </c>
      <c r="F14" s="47">
        <f t="shared" si="3"/>
        <v>-3.3139529411764705</v>
      </c>
      <c r="G14" s="24">
        <f t="shared" si="4"/>
        <v>-0.33657128097685107</v>
      </c>
      <c r="H14">
        <v>-0.5</v>
      </c>
    </row>
    <row r="15" spans="1:8" x14ac:dyDescent="0.25">
      <c r="A15" s="56">
        <v>40869</v>
      </c>
      <c r="B15" s="29">
        <v>0.06</v>
      </c>
      <c r="C15" s="36">
        <f t="shared" si="0"/>
        <v>1.5239999999999998</v>
      </c>
      <c r="D15" s="47">
        <f t="shared" si="1"/>
        <v>5.5999529411764701</v>
      </c>
      <c r="E15" s="47">
        <f t="shared" si="2"/>
        <v>9.846214244893936</v>
      </c>
      <c r="F15" s="47">
        <f t="shared" si="3"/>
        <v>-4.0759529411764701</v>
      </c>
      <c r="G15" s="24">
        <f t="shared" si="4"/>
        <v>-0.41396143124655077</v>
      </c>
      <c r="H15">
        <v>-0.5</v>
      </c>
    </row>
    <row r="16" spans="1:8" x14ac:dyDescent="0.25">
      <c r="A16" s="56">
        <v>40899</v>
      </c>
      <c r="B16" s="29">
        <v>0.11</v>
      </c>
      <c r="C16" s="36">
        <f t="shared" si="0"/>
        <v>2.794</v>
      </c>
      <c r="D16" s="47">
        <f t="shared" si="1"/>
        <v>5.5999529411764701</v>
      </c>
      <c r="E16" s="47">
        <f t="shared" si="2"/>
        <v>9.846214244893936</v>
      </c>
      <c r="F16" s="47">
        <f t="shared" si="3"/>
        <v>-2.8059529411764701</v>
      </c>
      <c r="G16" s="24">
        <f t="shared" si="4"/>
        <v>-0.28497784746371785</v>
      </c>
      <c r="H16">
        <v>-0.5</v>
      </c>
    </row>
    <row r="17" spans="1:8" x14ac:dyDescent="0.25">
      <c r="A17" s="56">
        <v>40930</v>
      </c>
      <c r="B17" s="29">
        <v>0.49</v>
      </c>
      <c r="C17" s="36">
        <f t="shared" si="0"/>
        <v>12.446</v>
      </c>
      <c r="D17" s="47">
        <f t="shared" si="1"/>
        <v>5.5999529411764701</v>
      </c>
      <c r="E17" s="47">
        <f t="shared" si="2"/>
        <v>9.846214244893936</v>
      </c>
      <c r="F17" s="47">
        <f t="shared" si="3"/>
        <v>6.8460470588235296</v>
      </c>
      <c r="G17" s="24">
        <f t="shared" si="4"/>
        <v>0.69529738928581231</v>
      </c>
      <c r="H17">
        <v>-0.5</v>
      </c>
    </row>
    <row r="18" spans="1:8" x14ac:dyDescent="0.25">
      <c r="A18" s="56">
        <v>40961</v>
      </c>
      <c r="B18" s="29">
        <v>0.09</v>
      </c>
      <c r="C18" s="36">
        <f t="shared" si="0"/>
        <v>2.2859999999999996</v>
      </c>
      <c r="D18" s="47">
        <f t="shared" si="1"/>
        <v>5.5999529411764701</v>
      </c>
      <c r="E18" s="47">
        <f t="shared" si="2"/>
        <v>9.846214244893936</v>
      </c>
      <c r="F18" s="47">
        <f t="shared" si="3"/>
        <v>-3.3139529411764705</v>
      </c>
      <c r="G18" s="24">
        <f t="shared" si="4"/>
        <v>-0.33657128097685107</v>
      </c>
      <c r="H18">
        <v>-0.5</v>
      </c>
    </row>
    <row r="19" spans="1:8" x14ac:dyDescent="0.25">
      <c r="A19" s="56">
        <v>40990</v>
      </c>
      <c r="B19" s="29">
        <v>0.05</v>
      </c>
      <c r="C19" s="36">
        <f t="shared" si="0"/>
        <v>1.27</v>
      </c>
      <c r="D19" s="47">
        <f t="shared" si="1"/>
        <v>5.5999529411764701</v>
      </c>
      <c r="E19" s="47">
        <f t="shared" si="2"/>
        <v>9.846214244893936</v>
      </c>
      <c r="F19" s="47">
        <f t="shared" si="3"/>
        <v>-4.3299529411764706</v>
      </c>
      <c r="G19" s="24">
        <f t="shared" si="4"/>
        <v>-0.43975814800311741</v>
      </c>
      <c r="H19">
        <v>-0.5</v>
      </c>
    </row>
    <row r="20" spans="1:8" x14ac:dyDescent="0.25">
      <c r="A20" s="56">
        <v>41021</v>
      </c>
      <c r="B20" s="29">
        <v>0.09</v>
      </c>
      <c r="C20" s="36">
        <f t="shared" si="0"/>
        <v>2.2859999999999996</v>
      </c>
      <c r="D20" s="47">
        <f t="shared" si="1"/>
        <v>5.5999529411764701</v>
      </c>
      <c r="E20" s="47">
        <f t="shared" si="2"/>
        <v>9.846214244893936</v>
      </c>
      <c r="F20" s="47">
        <f t="shared" si="3"/>
        <v>-3.3139529411764705</v>
      </c>
      <c r="G20" s="24">
        <f t="shared" si="4"/>
        <v>-0.33657128097685107</v>
      </c>
      <c r="H20">
        <v>-0.5</v>
      </c>
    </row>
    <row r="21" spans="1:8" x14ac:dyDescent="0.25">
      <c r="A21" s="56">
        <v>41051</v>
      </c>
      <c r="B21" s="29">
        <v>0.03</v>
      </c>
      <c r="C21" s="36">
        <f t="shared" si="0"/>
        <v>0.7619999999999999</v>
      </c>
      <c r="D21" s="47">
        <f t="shared" si="1"/>
        <v>5.5999529411764701</v>
      </c>
      <c r="E21" s="47">
        <f t="shared" si="2"/>
        <v>9.846214244893936</v>
      </c>
      <c r="F21" s="47">
        <f t="shared" si="3"/>
        <v>-4.8379529411764706</v>
      </c>
      <c r="G21" s="24">
        <f t="shared" si="4"/>
        <v>-0.49135158151625058</v>
      </c>
      <c r="H21">
        <v>-0.5</v>
      </c>
    </row>
    <row r="22" spans="1:8" x14ac:dyDescent="0.25">
      <c r="A22" s="56">
        <v>41082</v>
      </c>
      <c r="B22" s="29">
        <v>0.03</v>
      </c>
      <c r="C22" s="36">
        <f t="shared" si="0"/>
        <v>0.7619999999999999</v>
      </c>
      <c r="D22" s="47">
        <f t="shared" si="1"/>
        <v>5.5999529411764701</v>
      </c>
      <c r="E22" s="47">
        <f t="shared" si="2"/>
        <v>9.846214244893936</v>
      </c>
      <c r="F22" s="47">
        <f t="shared" si="3"/>
        <v>-4.8379529411764706</v>
      </c>
      <c r="G22" s="24">
        <f t="shared" si="4"/>
        <v>-0.49135158151625058</v>
      </c>
      <c r="H22">
        <v>-0.5</v>
      </c>
    </row>
    <row r="23" spans="1:8" x14ac:dyDescent="0.25">
      <c r="A23" s="56">
        <v>41112</v>
      </c>
      <c r="B23" s="29">
        <v>0.02</v>
      </c>
      <c r="C23" s="36">
        <f t="shared" si="0"/>
        <v>0.50800000000000001</v>
      </c>
      <c r="D23" s="47">
        <f t="shared" si="1"/>
        <v>5.5999529411764701</v>
      </c>
      <c r="E23" s="47">
        <f t="shared" si="2"/>
        <v>9.846214244893936</v>
      </c>
      <c r="F23" s="47">
        <f t="shared" si="3"/>
        <v>-5.0919529411764701</v>
      </c>
      <c r="G23" s="24">
        <f t="shared" si="4"/>
        <v>-0.51714829827281716</v>
      </c>
      <c r="H23">
        <v>-0.5</v>
      </c>
    </row>
    <row r="24" spans="1:8" x14ac:dyDescent="0.25">
      <c r="A24" s="56">
        <v>41143</v>
      </c>
      <c r="B24" s="29">
        <v>0</v>
      </c>
      <c r="C24" s="36">
        <f t="shared" si="0"/>
        <v>0</v>
      </c>
      <c r="D24" s="47">
        <f t="shared" si="1"/>
        <v>5.5999529411764701</v>
      </c>
      <c r="E24" s="47">
        <f t="shared" si="2"/>
        <v>9.846214244893936</v>
      </c>
      <c r="F24" s="47">
        <f t="shared" si="3"/>
        <v>-5.5999529411764701</v>
      </c>
      <c r="G24" s="24">
        <f t="shared" si="4"/>
        <v>-0.56874173178595033</v>
      </c>
      <c r="H24">
        <v>-0.5</v>
      </c>
    </row>
    <row r="25" spans="1:8" x14ac:dyDescent="0.25">
      <c r="A25" s="56">
        <v>41174</v>
      </c>
      <c r="B25" s="29">
        <v>0.15</v>
      </c>
      <c r="C25" s="36">
        <f t="shared" si="0"/>
        <v>3.8099999999999996</v>
      </c>
      <c r="D25" s="47">
        <f t="shared" si="1"/>
        <v>5.5999529411764701</v>
      </c>
      <c r="E25" s="47">
        <f t="shared" si="2"/>
        <v>9.846214244893936</v>
      </c>
      <c r="F25" s="47">
        <f t="shared" si="3"/>
        <v>-1.7899529411764705</v>
      </c>
      <c r="G25" s="24">
        <f t="shared" si="4"/>
        <v>-0.18179098043745157</v>
      </c>
      <c r="H25">
        <v>-0.5</v>
      </c>
    </row>
    <row r="26" spans="1:8" x14ac:dyDescent="0.25">
      <c r="A26" s="56">
        <v>41204</v>
      </c>
      <c r="B26" s="29">
        <v>0.15</v>
      </c>
      <c r="C26" s="36">
        <f t="shared" si="0"/>
        <v>3.8099999999999996</v>
      </c>
      <c r="D26" s="47">
        <f t="shared" si="1"/>
        <v>5.5999529411764701</v>
      </c>
      <c r="E26" s="47">
        <f t="shared" si="2"/>
        <v>9.846214244893936</v>
      </c>
      <c r="F26" s="47">
        <f t="shared" si="3"/>
        <v>-1.7899529411764705</v>
      </c>
      <c r="G26" s="24">
        <f t="shared" si="4"/>
        <v>-0.18179098043745157</v>
      </c>
      <c r="H26">
        <v>-0.5</v>
      </c>
    </row>
    <row r="27" spans="1:8" x14ac:dyDescent="0.25">
      <c r="A27" s="56">
        <v>41235</v>
      </c>
      <c r="B27" s="29">
        <v>0.18</v>
      </c>
      <c r="C27" s="36">
        <f t="shared" si="0"/>
        <v>4.5719999999999992</v>
      </c>
      <c r="D27" s="47">
        <f t="shared" si="1"/>
        <v>5.5999529411764701</v>
      </c>
      <c r="E27" s="47">
        <f t="shared" si="2"/>
        <v>9.846214244893936</v>
      </c>
      <c r="F27" s="47">
        <f t="shared" si="3"/>
        <v>-1.027952941176471</v>
      </c>
      <c r="G27" s="24">
        <f t="shared" si="4"/>
        <v>-0.10440083016775187</v>
      </c>
      <c r="H27">
        <v>-0.5</v>
      </c>
    </row>
    <row r="28" spans="1:8" x14ac:dyDescent="0.25">
      <c r="A28" s="56">
        <v>41265</v>
      </c>
      <c r="B28" s="29">
        <v>0.37</v>
      </c>
      <c r="C28" s="36">
        <f t="shared" si="0"/>
        <v>9.3979999999999997</v>
      </c>
      <c r="D28" s="47">
        <f t="shared" si="1"/>
        <v>5.5999529411764701</v>
      </c>
      <c r="E28" s="47">
        <f t="shared" si="2"/>
        <v>9.846214244893936</v>
      </c>
      <c r="F28" s="47">
        <f t="shared" si="3"/>
        <v>3.7980470588235296</v>
      </c>
      <c r="G28" s="24">
        <f t="shared" si="4"/>
        <v>0.38573678820701329</v>
      </c>
      <c r="H28">
        <v>-0.5</v>
      </c>
    </row>
    <row r="29" spans="1:8" x14ac:dyDescent="0.25">
      <c r="A29" s="56">
        <v>41296</v>
      </c>
      <c r="B29" s="29">
        <v>0.61</v>
      </c>
      <c r="C29" s="36">
        <f t="shared" si="0"/>
        <v>15.493999999999998</v>
      </c>
      <c r="D29" s="47">
        <f t="shared" si="1"/>
        <v>5.5999529411764701</v>
      </c>
      <c r="E29" s="47">
        <f t="shared" si="2"/>
        <v>9.846214244893936</v>
      </c>
      <c r="F29" s="47">
        <f t="shared" si="3"/>
        <v>9.8940470588235279</v>
      </c>
      <c r="G29" s="24">
        <f t="shared" si="4"/>
        <v>1.0048579903646111</v>
      </c>
      <c r="H29">
        <v>-0.5</v>
      </c>
    </row>
    <row r="30" spans="1:8" x14ac:dyDescent="0.25">
      <c r="A30" s="56">
        <v>41327</v>
      </c>
      <c r="B30" s="29">
        <v>0.12</v>
      </c>
      <c r="C30" s="36">
        <f t="shared" si="0"/>
        <v>3.0479999999999996</v>
      </c>
      <c r="D30" s="47">
        <f t="shared" si="1"/>
        <v>5.5999529411764701</v>
      </c>
      <c r="E30" s="47">
        <f t="shared" si="2"/>
        <v>9.846214244893936</v>
      </c>
      <c r="F30" s="47">
        <f t="shared" si="3"/>
        <v>-2.5519529411764705</v>
      </c>
      <c r="G30" s="24">
        <f t="shared" si="4"/>
        <v>-0.25918113070715132</v>
      </c>
      <c r="H30">
        <v>-0.5</v>
      </c>
    </row>
    <row r="31" spans="1:8" x14ac:dyDescent="0.25">
      <c r="A31" s="56">
        <v>41355</v>
      </c>
      <c r="B31" s="29">
        <v>0.3</v>
      </c>
      <c r="C31" s="36">
        <f t="shared" si="0"/>
        <v>7.6199999999999992</v>
      </c>
      <c r="D31" s="47">
        <f t="shared" si="1"/>
        <v>5.5999529411764701</v>
      </c>
      <c r="E31" s="47">
        <f t="shared" si="2"/>
        <v>9.846214244893936</v>
      </c>
      <c r="F31" s="47">
        <f t="shared" si="3"/>
        <v>2.0200470588235291</v>
      </c>
      <c r="G31" s="24">
        <f t="shared" si="4"/>
        <v>0.20515977091104715</v>
      </c>
      <c r="H31">
        <v>-0.5</v>
      </c>
    </row>
    <row r="32" spans="1:8" x14ac:dyDescent="0.25">
      <c r="A32" s="56">
        <v>41386</v>
      </c>
      <c r="B32" s="29">
        <v>0.28000000000000003</v>
      </c>
      <c r="C32" s="36">
        <f t="shared" si="0"/>
        <v>7.1120000000000001</v>
      </c>
      <c r="D32" s="47">
        <f t="shared" si="1"/>
        <v>5.5999529411764701</v>
      </c>
      <c r="E32" s="47">
        <f t="shared" si="2"/>
        <v>9.846214244893936</v>
      </c>
      <c r="F32" s="47">
        <f t="shared" si="3"/>
        <v>1.51204705882353</v>
      </c>
      <c r="G32" s="24">
        <f t="shared" si="4"/>
        <v>0.15356633739791409</v>
      </c>
      <c r="H32">
        <v>-0.5</v>
      </c>
    </row>
    <row r="33" spans="1:8" x14ac:dyDescent="0.25">
      <c r="A33" s="56">
        <v>41416</v>
      </c>
      <c r="B33" s="29">
        <v>2.96</v>
      </c>
      <c r="C33" s="36">
        <f t="shared" si="0"/>
        <v>75.183999999999997</v>
      </c>
      <c r="D33" s="47">
        <f t="shared" si="1"/>
        <v>5.5999529411764701</v>
      </c>
      <c r="E33" s="47">
        <f t="shared" si="2"/>
        <v>9.846214244893936</v>
      </c>
      <c r="F33" s="47">
        <f t="shared" si="3"/>
        <v>69.584047058823529</v>
      </c>
      <c r="G33" s="24">
        <f t="shared" si="4"/>
        <v>7.0670864281577588</v>
      </c>
      <c r="H33">
        <v>-0.5</v>
      </c>
    </row>
    <row r="34" spans="1:8" x14ac:dyDescent="0.25">
      <c r="A34" s="56">
        <v>41447</v>
      </c>
      <c r="B34" s="29">
        <v>-0.54</v>
      </c>
      <c r="C34" s="36">
        <f t="shared" si="0"/>
        <v>-13.715999999999999</v>
      </c>
      <c r="D34" s="47">
        <f t="shared" si="1"/>
        <v>5.5999529411764701</v>
      </c>
      <c r="E34" s="47">
        <f t="shared" si="2"/>
        <v>9.846214244893936</v>
      </c>
      <c r="F34" s="47">
        <f t="shared" si="3"/>
        <v>-19.315952941176469</v>
      </c>
      <c r="G34" s="24">
        <f t="shared" si="4"/>
        <v>-1.9617644366405458</v>
      </c>
      <c r="H34">
        <v>-0.5</v>
      </c>
    </row>
    <row r="35" spans="1:8" x14ac:dyDescent="0.25">
      <c r="A35" s="56">
        <v>41477</v>
      </c>
      <c r="B35" s="29">
        <v>7.0000000000000007E-2</v>
      </c>
      <c r="C35" s="36">
        <f t="shared" si="0"/>
        <v>1.778</v>
      </c>
      <c r="D35" s="47">
        <f t="shared" si="1"/>
        <v>5.5999529411764701</v>
      </c>
      <c r="E35" s="47">
        <f t="shared" si="2"/>
        <v>9.846214244893936</v>
      </c>
      <c r="F35" s="47">
        <f t="shared" si="3"/>
        <v>-3.8219529411764701</v>
      </c>
      <c r="G35" s="24">
        <f t="shared" si="4"/>
        <v>-0.38816471448998419</v>
      </c>
      <c r="H35">
        <v>-0.5</v>
      </c>
    </row>
    <row r="36" spans="1:8" x14ac:dyDescent="0.25">
      <c r="A36" s="56">
        <v>41508</v>
      </c>
      <c r="B36" s="29">
        <v>0.08</v>
      </c>
      <c r="C36" s="36">
        <f t="shared" si="0"/>
        <v>2.032</v>
      </c>
      <c r="D36" s="47">
        <f t="shared" si="1"/>
        <v>5.5999529411764701</v>
      </c>
      <c r="E36" s="47">
        <f t="shared" si="2"/>
        <v>9.846214244893936</v>
      </c>
      <c r="F36" s="47">
        <f t="shared" si="3"/>
        <v>-3.5679529411764701</v>
      </c>
      <c r="G36" s="24">
        <f t="shared" si="4"/>
        <v>-0.3623679977334176</v>
      </c>
      <c r="H36">
        <v>-0.5</v>
      </c>
    </row>
    <row r="37" spans="1:8" x14ac:dyDescent="0.25">
      <c r="A37" s="56">
        <v>41539</v>
      </c>
      <c r="B37" s="29">
        <v>0.04</v>
      </c>
      <c r="C37" s="36">
        <f t="shared" ref="C37:C68" si="5">$D$1*B37</f>
        <v>1.016</v>
      </c>
      <c r="D37" s="47">
        <f t="shared" si="1"/>
        <v>5.5999529411764701</v>
      </c>
      <c r="E37" s="47">
        <f t="shared" si="2"/>
        <v>9.846214244893936</v>
      </c>
      <c r="F37" s="47">
        <f t="shared" si="3"/>
        <v>-4.5839529411764701</v>
      </c>
      <c r="G37" s="24">
        <f t="shared" si="4"/>
        <v>-0.46555486475968394</v>
      </c>
      <c r="H37">
        <v>-0.5</v>
      </c>
    </row>
    <row r="38" spans="1:8" x14ac:dyDescent="0.25">
      <c r="A38" s="56">
        <v>41569</v>
      </c>
      <c r="B38" s="29">
        <v>0.17</v>
      </c>
      <c r="C38" s="36">
        <f t="shared" si="5"/>
        <v>4.3180000000000005</v>
      </c>
      <c r="D38" s="47">
        <f t="shared" si="1"/>
        <v>5.5999529411764701</v>
      </c>
      <c r="E38" s="47">
        <f t="shared" si="2"/>
        <v>9.846214244893936</v>
      </c>
      <c r="F38" s="47">
        <f t="shared" si="3"/>
        <v>-1.2819529411764696</v>
      </c>
      <c r="G38" s="24">
        <f t="shared" si="4"/>
        <v>-0.13019754692431831</v>
      </c>
      <c r="H38">
        <v>-0.5</v>
      </c>
    </row>
    <row r="39" spans="1:8" x14ac:dyDescent="0.25">
      <c r="A39" s="56">
        <v>41600</v>
      </c>
      <c r="B39" s="29">
        <v>0.46</v>
      </c>
      <c r="C39" s="36">
        <f t="shared" si="5"/>
        <v>11.683999999999999</v>
      </c>
      <c r="D39" s="47">
        <f t="shared" si="1"/>
        <v>5.5999529411764701</v>
      </c>
      <c r="E39" s="47">
        <f t="shared" si="2"/>
        <v>9.846214244893936</v>
      </c>
      <c r="F39" s="47">
        <f t="shared" si="3"/>
        <v>6.0840470588235291</v>
      </c>
      <c r="G39" s="24">
        <f t="shared" si="4"/>
        <v>0.61790723901611255</v>
      </c>
      <c r="H39">
        <v>-0.5</v>
      </c>
    </row>
    <row r="40" spans="1:8" x14ac:dyDescent="0.25">
      <c r="A40" s="56">
        <v>41630</v>
      </c>
      <c r="B40" s="29">
        <v>0.54</v>
      </c>
      <c r="C40" s="36">
        <f t="shared" si="5"/>
        <v>13.715999999999999</v>
      </c>
      <c r="D40" s="47">
        <f t="shared" si="1"/>
        <v>5.5999529411764701</v>
      </c>
      <c r="E40" s="47">
        <f t="shared" si="2"/>
        <v>9.846214244893936</v>
      </c>
      <c r="F40" s="47">
        <f t="shared" si="3"/>
        <v>8.1160470588235292</v>
      </c>
      <c r="G40" s="24">
        <f t="shared" si="4"/>
        <v>0.82428097306864523</v>
      </c>
      <c r="H40">
        <v>-0.5</v>
      </c>
    </row>
    <row r="41" spans="1:8" x14ac:dyDescent="0.25">
      <c r="A41" s="56">
        <v>41661</v>
      </c>
      <c r="B41" s="29">
        <v>0.17</v>
      </c>
      <c r="C41" s="36">
        <f t="shared" si="5"/>
        <v>4.3180000000000005</v>
      </c>
      <c r="D41" s="47">
        <f t="shared" si="1"/>
        <v>5.5999529411764701</v>
      </c>
      <c r="E41" s="47">
        <f t="shared" si="2"/>
        <v>9.846214244893936</v>
      </c>
      <c r="F41" s="47">
        <f t="shared" si="3"/>
        <v>-1.2819529411764696</v>
      </c>
      <c r="G41" s="24">
        <f t="shared" si="4"/>
        <v>-0.13019754692431831</v>
      </c>
      <c r="H41">
        <v>-0.5</v>
      </c>
    </row>
    <row r="42" spans="1:8" x14ac:dyDescent="0.25">
      <c r="A42" s="56">
        <v>41692</v>
      </c>
      <c r="B42" s="29">
        <v>0.13</v>
      </c>
      <c r="C42" s="36">
        <f t="shared" si="5"/>
        <v>3.302</v>
      </c>
      <c r="D42" s="47">
        <f t="shared" si="1"/>
        <v>5.5999529411764701</v>
      </c>
      <c r="E42" s="47">
        <f t="shared" si="2"/>
        <v>9.846214244893936</v>
      </c>
      <c r="F42" s="47">
        <f t="shared" si="3"/>
        <v>-2.2979529411764701</v>
      </c>
      <c r="G42" s="24">
        <f t="shared" si="4"/>
        <v>-0.23338441395058471</v>
      </c>
      <c r="H42">
        <v>-0.5</v>
      </c>
    </row>
    <row r="43" spans="1:8" x14ac:dyDescent="0.25">
      <c r="A43" s="56">
        <v>41720</v>
      </c>
      <c r="B43" s="29">
        <v>1.51</v>
      </c>
      <c r="C43" s="36">
        <f t="shared" si="5"/>
        <v>38.353999999999999</v>
      </c>
      <c r="D43" s="47">
        <f t="shared" si="1"/>
        <v>5.5999529411764701</v>
      </c>
      <c r="E43" s="47">
        <f t="shared" si="2"/>
        <v>9.846214244893936</v>
      </c>
      <c r="F43" s="47">
        <f t="shared" si="3"/>
        <v>32.754047058823531</v>
      </c>
      <c r="G43" s="24">
        <f t="shared" si="4"/>
        <v>3.3265624984556039</v>
      </c>
      <c r="H43">
        <v>-0.5</v>
      </c>
    </row>
    <row r="44" spans="1:8" x14ac:dyDescent="0.25">
      <c r="A44" s="56">
        <v>41751</v>
      </c>
      <c r="B44" s="29">
        <v>0</v>
      </c>
      <c r="C44" s="36">
        <f t="shared" si="5"/>
        <v>0</v>
      </c>
      <c r="D44" s="47">
        <f t="shared" si="1"/>
        <v>5.5999529411764701</v>
      </c>
      <c r="E44" s="47">
        <f t="shared" si="2"/>
        <v>9.846214244893936</v>
      </c>
      <c r="F44" s="47">
        <f t="shared" si="3"/>
        <v>-5.5999529411764701</v>
      </c>
      <c r="G44" s="24">
        <f t="shared" si="4"/>
        <v>-0.56874173178595033</v>
      </c>
      <c r="H44">
        <v>-0.5</v>
      </c>
    </row>
    <row r="45" spans="1:8" x14ac:dyDescent="0.25">
      <c r="A45" s="56">
        <v>41781</v>
      </c>
      <c r="B45" s="29">
        <v>0.13</v>
      </c>
      <c r="C45" s="36">
        <f t="shared" si="5"/>
        <v>3.302</v>
      </c>
      <c r="D45" s="47">
        <f t="shared" si="1"/>
        <v>5.5999529411764701</v>
      </c>
      <c r="E45" s="47">
        <f t="shared" si="2"/>
        <v>9.846214244893936</v>
      </c>
      <c r="F45" s="47">
        <f t="shared" si="3"/>
        <v>-2.2979529411764701</v>
      </c>
      <c r="G45" s="24">
        <f t="shared" si="4"/>
        <v>-0.23338441395058471</v>
      </c>
      <c r="H45">
        <v>-0.5</v>
      </c>
    </row>
    <row r="46" spans="1:8" x14ac:dyDescent="0.25">
      <c r="A46" s="56">
        <v>41812</v>
      </c>
      <c r="B46" s="29">
        <v>0.16</v>
      </c>
      <c r="C46" s="36">
        <f t="shared" si="5"/>
        <v>4.0640000000000001</v>
      </c>
      <c r="D46" s="47">
        <f t="shared" si="1"/>
        <v>5.5999529411764701</v>
      </c>
      <c r="E46" s="47">
        <f t="shared" si="2"/>
        <v>9.846214244893936</v>
      </c>
      <c r="F46" s="47">
        <f t="shared" si="3"/>
        <v>-1.5359529411764701</v>
      </c>
      <c r="G46" s="24">
        <f t="shared" si="4"/>
        <v>-0.15599426368088495</v>
      </c>
      <c r="H46">
        <v>-0.5</v>
      </c>
    </row>
    <row r="47" spans="1:8" x14ac:dyDescent="0.25">
      <c r="A47" s="56">
        <v>41842</v>
      </c>
      <c r="B47" s="29">
        <v>0.1</v>
      </c>
      <c r="C47" s="36">
        <f t="shared" si="5"/>
        <v>2.54</v>
      </c>
      <c r="D47" s="47">
        <f t="shared" si="1"/>
        <v>5.5999529411764701</v>
      </c>
      <c r="E47" s="47">
        <f t="shared" si="2"/>
        <v>9.846214244893936</v>
      </c>
      <c r="F47" s="47">
        <f t="shared" si="3"/>
        <v>-3.0599529411764701</v>
      </c>
      <c r="G47" s="24">
        <f t="shared" si="4"/>
        <v>-0.31077456422028443</v>
      </c>
      <c r="H47">
        <v>-0.5</v>
      </c>
    </row>
    <row r="48" spans="1:8" x14ac:dyDescent="0.25">
      <c r="A48" s="56">
        <v>41873</v>
      </c>
      <c r="B48" s="29">
        <v>0.06</v>
      </c>
      <c r="C48" s="36">
        <f t="shared" si="5"/>
        <v>1.5239999999999998</v>
      </c>
      <c r="D48" s="47">
        <f t="shared" si="1"/>
        <v>5.5999529411764701</v>
      </c>
      <c r="E48" s="47">
        <f t="shared" si="2"/>
        <v>9.846214244893936</v>
      </c>
      <c r="F48" s="47">
        <f t="shared" si="3"/>
        <v>-4.0759529411764701</v>
      </c>
      <c r="G48" s="24">
        <f t="shared" si="4"/>
        <v>-0.41396143124655077</v>
      </c>
      <c r="H48">
        <v>-0.5</v>
      </c>
    </row>
    <row r="49" spans="1:8" x14ac:dyDescent="0.25">
      <c r="A49" s="56">
        <v>41904</v>
      </c>
      <c r="B49" s="29">
        <v>0.08</v>
      </c>
      <c r="C49" s="36">
        <f t="shared" si="5"/>
        <v>2.032</v>
      </c>
      <c r="D49" s="47">
        <f t="shared" si="1"/>
        <v>5.5999529411764701</v>
      </c>
      <c r="E49" s="47">
        <f t="shared" si="2"/>
        <v>9.846214244893936</v>
      </c>
      <c r="F49" s="47">
        <f t="shared" si="3"/>
        <v>-3.5679529411764701</v>
      </c>
      <c r="G49" s="24">
        <f t="shared" si="4"/>
        <v>-0.3623679977334176</v>
      </c>
      <c r="H49">
        <v>-0.5</v>
      </c>
    </row>
    <row r="50" spans="1:8" x14ac:dyDescent="0.25">
      <c r="A50" s="56">
        <v>41934</v>
      </c>
      <c r="B50" s="29">
        <v>0.08</v>
      </c>
      <c r="C50" s="36">
        <f t="shared" si="5"/>
        <v>2.032</v>
      </c>
      <c r="D50" s="47">
        <f t="shared" si="1"/>
        <v>5.5999529411764701</v>
      </c>
      <c r="E50" s="47">
        <f t="shared" si="2"/>
        <v>9.846214244893936</v>
      </c>
      <c r="F50" s="47">
        <f t="shared" si="3"/>
        <v>-3.5679529411764701</v>
      </c>
      <c r="G50" s="24">
        <f t="shared" si="4"/>
        <v>-0.3623679977334176</v>
      </c>
      <c r="H50">
        <v>-0.5</v>
      </c>
    </row>
    <row r="51" spans="1:8" x14ac:dyDescent="0.25">
      <c r="A51" s="56">
        <v>41965</v>
      </c>
      <c r="B51" s="29">
        <v>0.08</v>
      </c>
      <c r="C51" s="36">
        <f t="shared" si="5"/>
        <v>2.032</v>
      </c>
      <c r="D51" s="47">
        <f t="shared" si="1"/>
        <v>5.5999529411764701</v>
      </c>
      <c r="E51" s="47">
        <f t="shared" si="2"/>
        <v>9.846214244893936</v>
      </c>
      <c r="F51" s="47">
        <f t="shared" si="3"/>
        <v>-3.5679529411764701</v>
      </c>
      <c r="G51" s="24">
        <f t="shared" si="4"/>
        <v>-0.3623679977334176</v>
      </c>
      <c r="H51">
        <v>-0.5</v>
      </c>
    </row>
    <row r="52" spans="1:8" x14ac:dyDescent="0.25">
      <c r="A52" s="56">
        <v>41995</v>
      </c>
      <c r="B52" s="29">
        <v>0.54</v>
      </c>
      <c r="C52" s="36">
        <f t="shared" si="5"/>
        <v>13.715999999999999</v>
      </c>
      <c r="D52" s="47">
        <f t="shared" si="1"/>
        <v>5.5999529411764701</v>
      </c>
      <c r="E52" s="47">
        <f t="shared" si="2"/>
        <v>9.846214244893936</v>
      </c>
      <c r="F52" s="47">
        <f t="shared" si="3"/>
        <v>8.1160470588235292</v>
      </c>
      <c r="G52" s="24">
        <f t="shared" si="4"/>
        <v>0.82428097306864523</v>
      </c>
      <c r="H52">
        <v>-0.5</v>
      </c>
    </row>
    <row r="53" spans="1:8" x14ac:dyDescent="0.25">
      <c r="A53" s="56">
        <v>42026</v>
      </c>
      <c r="B53" s="29">
        <v>0.16</v>
      </c>
      <c r="C53" s="36">
        <f t="shared" si="5"/>
        <v>4.0640000000000001</v>
      </c>
      <c r="D53" s="47">
        <f t="shared" si="1"/>
        <v>5.5999529411764701</v>
      </c>
      <c r="E53" s="47">
        <f t="shared" si="2"/>
        <v>9.846214244893936</v>
      </c>
      <c r="F53" s="47">
        <f t="shared" si="3"/>
        <v>-1.5359529411764701</v>
      </c>
      <c r="G53" s="24">
        <f t="shared" si="4"/>
        <v>-0.15599426368088495</v>
      </c>
      <c r="H53">
        <v>-0.5</v>
      </c>
    </row>
    <row r="54" spans="1:8" x14ac:dyDescent="0.25">
      <c r="A54" s="56">
        <v>42057</v>
      </c>
      <c r="B54" s="29">
        <v>0.11</v>
      </c>
      <c r="C54" s="36">
        <f t="shared" si="5"/>
        <v>2.794</v>
      </c>
      <c r="D54" s="47">
        <f t="shared" si="1"/>
        <v>5.5999529411764701</v>
      </c>
      <c r="E54" s="47">
        <f t="shared" si="2"/>
        <v>9.846214244893936</v>
      </c>
      <c r="F54" s="47">
        <f t="shared" si="3"/>
        <v>-2.8059529411764701</v>
      </c>
      <c r="G54" s="24">
        <f t="shared" si="4"/>
        <v>-0.28497784746371785</v>
      </c>
      <c r="H54">
        <v>-0.5</v>
      </c>
    </row>
    <row r="55" spans="1:8" x14ac:dyDescent="0.25">
      <c r="A55" s="56">
        <v>42085</v>
      </c>
      <c r="B55" s="29">
        <v>0.04</v>
      </c>
      <c r="C55" s="36">
        <f t="shared" si="5"/>
        <v>1.016</v>
      </c>
      <c r="D55" s="47">
        <f t="shared" si="1"/>
        <v>5.5999529411764701</v>
      </c>
      <c r="E55" s="47">
        <f t="shared" si="2"/>
        <v>9.846214244893936</v>
      </c>
      <c r="F55" s="47">
        <f t="shared" si="3"/>
        <v>-4.5839529411764701</v>
      </c>
      <c r="G55" s="24">
        <f t="shared" si="4"/>
        <v>-0.46555486475968394</v>
      </c>
      <c r="H55">
        <v>-0.5</v>
      </c>
    </row>
    <row r="56" spans="1:8" x14ac:dyDescent="0.25">
      <c r="A56" s="56">
        <v>42116</v>
      </c>
      <c r="B56" s="29">
        <v>7.0000000000000007E-2</v>
      </c>
      <c r="C56" s="36">
        <f t="shared" si="5"/>
        <v>1.778</v>
      </c>
      <c r="D56" s="47">
        <f t="shared" si="1"/>
        <v>5.5999529411764701</v>
      </c>
      <c r="E56" s="47">
        <f t="shared" si="2"/>
        <v>9.846214244893936</v>
      </c>
      <c r="F56" s="47">
        <f t="shared" si="3"/>
        <v>-3.8219529411764701</v>
      </c>
      <c r="G56" s="24">
        <f t="shared" si="4"/>
        <v>-0.38816471448998419</v>
      </c>
      <c r="H56">
        <v>-0.5</v>
      </c>
    </row>
    <row r="57" spans="1:8" x14ac:dyDescent="0.25">
      <c r="A57" s="56">
        <v>42146</v>
      </c>
      <c r="B57" s="29">
        <v>0.04</v>
      </c>
      <c r="C57" s="36">
        <f t="shared" si="5"/>
        <v>1.016</v>
      </c>
      <c r="D57" s="47">
        <f t="shared" si="1"/>
        <v>5.5999529411764701</v>
      </c>
      <c r="E57" s="47">
        <f t="shared" si="2"/>
        <v>9.846214244893936</v>
      </c>
      <c r="F57" s="47">
        <f t="shared" si="3"/>
        <v>-4.5839529411764701</v>
      </c>
      <c r="G57" s="24">
        <f t="shared" si="4"/>
        <v>-0.46555486475968394</v>
      </c>
      <c r="H57">
        <v>-0.5</v>
      </c>
    </row>
    <row r="58" spans="1:8" x14ac:dyDescent="0.25">
      <c r="A58" s="56">
        <v>42177</v>
      </c>
      <c r="B58" s="29">
        <v>0.04</v>
      </c>
      <c r="C58" s="36">
        <f t="shared" si="5"/>
        <v>1.016</v>
      </c>
      <c r="D58" s="47">
        <f t="shared" si="1"/>
        <v>5.5999529411764701</v>
      </c>
      <c r="E58" s="47">
        <f t="shared" si="2"/>
        <v>9.846214244893936</v>
      </c>
      <c r="F58" s="47">
        <f t="shared" si="3"/>
        <v>-4.5839529411764701</v>
      </c>
      <c r="G58" s="24">
        <f t="shared" si="4"/>
        <v>-0.46555486475968394</v>
      </c>
      <c r="H58">
        <v>-0.5</v>
      </c>
    </row>
    <row r="59" spans="1:8" x14ac:dyDescent="0.25">
      <c r="A59" s="56">
        <v>42207</v>
      </c>
      <c r="B59" s="29">
        <v>0.06</v>
      </c>
      <c r="C59" s="36">
        <f t="shared" si="5"/>
        <v>1.5239999999999998</v>
      </c>
      <c r="D59" s="47">
        <f t="shared" si="1"/>
        <v>5.5999529411764701</v>
      </c>
      <c r="E59" s="47">
        <f t="shared" si="2"/>
        <v>9.846214244893936</v>
      </c>
      <c r="F59" s="47">
        <f t="shared" si="3"/>
        <v>-4.0759529411764701</v>
      </c>
      <c r="G59" s="24">
        <f t="shared" si="4"/>
        <v>-0.41396143124655077</v>
      </c>
      <c r="H59">
        <v>-0.5</v>
      </c>
    </row>
    <row r="60" spans="1:8" x14ac:dyDescent="0.25">
      <c r="A60" s="56">
        <v>42238</v>
      </c>
      <c r="B60" s="29">
        <v>0.04</v>
      </c>
      <c r="C60" s="36">
        <f t="shared" si="5"/>
        <v>1.016</v>
      </c>
      <c r="D60" s="47">
        <f t="shared" si="1"/>
        <v>5.5999529411764701</v>
      </c>
      <c r="E60" s="47">
        <f t="shared" si="2"/>
        <v>9.846214244893936</v>
      </c>
      <c r="F60" s="47">
        <f t="shared" si="3"/>
        <v>-4.5839529411764701</v>
      </c>
      <c r="G60" s="24">
        <f t="shared" si="4"/>
        <v>-0.46555486475968394</v>
      </c>
      <c r="H60">
        <v>-0.5</v>
      </c>
    </row>
    <row r="61" spans="1:8" x14ac:dyDescent="0.25">
      <c r="A61" s="56">
        <v>42269</v>
      </c>
      <c r="B61" s="29">
        <v>0.04</v>
      </c>
      <c r="C61" s="36">
        <f t="shared" si="5"/>
        <v>1.016</v>
      </c>
      <c r="D61" s="47">
        <f t="shared" si="1"/>
        <v>5.5999529411764701</v>
      </c>
      <c r="E61" s="47">
        <f t="shared" si="2"/>
        <v>9.846214244893936</v>
      </c>
      <c r="F61" s="47">
        <f t="shared" si="3"/>
        <v>-4.5839529411764701</v>
      </c>
      <c r="G61" s="24">
        <f t="shared" si="4"/>
        <v>-0.46555486475968394</v>
      </c>
      <c r="H61">
        <v>-0.5</v>
      </c>
    </row>
    <row r="62" spans="1:8" x14ac:dyDescent="0.25">
      <c r="A62" s="56">
        <v>42299</v>
      </c>
      <c r="B62" s="29">
        <v>0.04</v>
      </c>
      <c r="C62" s="36">
        <f t="shared" si="5"/>
        <v>1.016</v>
      </c>
      <c r="D62" s="47">
        <f t="shared" si="1"/>
        <v>5.5999529411764701</v>
      </c>
      <c r="E62" s="47">
        <f t="shared" si="2"/>
        <v>9.846214244893936</v>
      </c>
      <c r="F62" s="47">
        <f t="shared" si="3"/>
        <v>-4.5839529411764701</v>
      </c>
      <c r="G62" s="24">
        <f t="shared" si="4"/>
        <v>-0.46555486475968394</v>
      </c>
      <c r="H62">
        <v>-0.5</v>
      </c>
    </row>
    <row r="63" spans="1:8" x14ac:dyDescent="0.25">
      <c r="A63" s="56">
        <v>42330</v>
      </c>
      <c r="B63" s="29">
        <v>0.02</v>
      </c>
      <c r="C63" s="36">
        <f t="shared" si="5"/>
        <v>0.50800000000000001</v>
      </c>
      <c r="D63" s="47">
        <f t="shared" si="1"/>
        <v>5.5999529411764701</v>
      </c>
      <c r="E63" s="47">
        <f t="shared" si="2"/>
        <v>9.846214244893936</v>
      </c>
      <c r="F63" s="47">
        <f t="shared" si="3"/>
        <v>-5.0919529411764701</v>
      </c>
      <c r="G63" s="24">
        <f t="shared" si="4"/>
        <v>-0.51714829827281716</v>
      </c>
      <c r="H63">
        <v>-0.5</v>
      </c>
    </row>
    <row r="64" spans="1:8" x14ac:dyDescent="0.25">
      <c r="A64" s="56">
        <v>42360</v>
      </c>
      <c r="B64" s="29">
        <v>0.09</v>
      </c>
      <c r="C64" s="36">
        <f t="shared" si="5"/>
        <v>2.2859999999999996</v>
      </c>
      <c r="D64" s="47">
        <f t="shared" si="1"/>
        <v>5.5999529411764701</v>
      </c>
      <c r="E64" s="47">
        <f t="shared" si="2"/>
        <v>9.846214244893936</v>
      </c>
      <c r="F64" s="47">
        <f t="shared" si="3"/>
        <v>-3.3139529411764705</v>
      </c>
      <c r="G64" s="24">
        <f t="shared" si="4"/>
        <v>-0.33657128097685107</v>
      </c>
      <c r="H64">
        <v>-0.5</v>
      </c>
    </row>
    <row r="65" spans="1:8" x14ac:dyDescent="0.25">
      <c r="A65" s="56">
        <v>42391</v>
      </c>
      <c r="B65" s="29">
        <v>0.06</v>
      </c>
      <c r="C65" s="36">
        <f t="shared" si="5"/>
        <v>1.5239999999999998</v>
      </c>
      <c r="D65" s="47">
        <f t="shared" si="1"/>
        <v>5.5999529411764701</v>
      </c>
      <c r="E65" s="47">
        <f t="shared" si="2"/>
        <v>9.846214244893936</v>
      </c>
      <c r="F65" s="47">
        <f t="shared" si="3"/>
        <v>-4.0759529411764701</v>
      </c>
      <c r="G65" s="24">
        <f t="shared" si="4"/>
        <v>-0.41396143124655077</v>
      </c>
      <c r="H65">
        <v>-0.5</v>
      </c>
    </row>
    <row r="66" spans="1:8" x14ac:dyDescent="0.25">
      <c r="A66" s="56">
        <v>42422</v>
      </c>
      <c r="B66" s="29">
        <v>0.05</v>
      </c>
      <c r="C66" s="36">
        <f t="shared" si="5"/>
        <v>1.27</v>
      </c>
      <c r="D66" s="47">
        <f t="shared" si="1"/>
        <v>5.5999529411764701</v>
      </c>
      <c r="E66" s="47">
        <f t="shared" si="2"/>
        <v>9.846214244893936</v>
      </c>
      <c r="F66" s="47">
        <f t="shared" si="3"/>
        <v>-4.3299529411764706</v>
      </c>
      <c r="G66" s="24">
        <f t="shared" si="4"/>
        <v>-0.43975814800311741</v>
      </c>
      <c r="H66">
        <v>-0.5</v>
      </c>
    </row>
    <row r="67" spans="1:8" x14ac:dyDescent="0.25">
      <c r="A67" s="56">
        <v>42451</v>
      </c>
      <c r="B67" s="29">
        <v>0.14000000000000001</v>
      </c>
      <c r="C67" s="36">
        <f t="shared" si="5"/>
        <v>3.556</v>
      </c>
      <c r="D67" s="47">
        <f t="shared" si="1"/>
        <v>5.5999529411764701</v>
      </c>
      <c r="E67" s="47">
        <f t="shared" si="2"/>
        <v>9.846214244893936</v>
      </c>
      <c r="F67" s="47">
        <f t="shared" si="3"/>
        <v>-2.0439529411764701</v>
      </c>
      <c r="G67" s="24">
        <f t="shared" si="4"/>
        <v>-0.20758769719401812</v>
      </c>
      <c r="H67">
        <v>-0.5</v>
      </c>
    </row>
    <row r="68" spans="1:8" x14ac:dyDescent="0.25">
      <c r="A68" s="56">
        <v>42482</v>
      </c>
      <c r="B68" s="29">
        <v>0.03</v>
      </c>
      <c r="C68" s="36">
        <f t="shared" si="5"/>
        <v>0.7619999999999999</v>
      </c>
      <c r="D68" s="47">
        <f t="shared" si="1"/>
        <v>5.5999529411764701</v>
      </c>
      <c r="E68" s="47">
        <f t="shared" si="2"/>
        <v>9.846214244893936</v>
      </c>
      <c r="F68" s="47">
        <f t="shared" si="3"/>
        <v>-4.8379529411764706</v>
      </c>
      <c r="G68" s="24">
        <f t="shared" si="4"/>
        <v>-0.49135158151625058</v>
      </c>
      <c r="H68">
        <v>-0.5</v>
      </c>
    </row>
    <row r="69" spans="1:8" x14ac:dyDescent="0.25">
      <c r="A69" s="56">
        <v>42512</v>
      </c>
      <c r="B69" s="29">
        <v>0.05</v>
      </c>
      <c r="C69" s="36">
        <f t="shared" ref="C69:C100" si="6">$D$1*B69</f>
        <v>1.27</v>
      </c>
      <c r="D69" s="47">
        <f t="shared" si="1"/>
        <v>5.5999529411764701</v>
      </c>
      <c r="E69" s="47">
        <f t="shared" si="2"/>
        <v>9.846214244893936</v>
      </c>
      <c r="F69" s="47">
        <f t="shared" si="3"/>
        <v>-4.3299529411764706</v>
      </c>
      <c r="G69" s="24">
        <f t="shared" si="4"/>
        <v>-0.43975814800311741</v>
      </c>
      <c r="H69">
        <v>-0.5</v>
      </c>
    </row>
    <row r="70" spans="1:8" x14ac:dyDescent="0.25">
      <c r="A70" s="56">
        <v>42543</v>
      </c>
      <c r="B70" s="29">
        <v>0.03</v>
      </c>
      <c r="C70" s="36">
        <f t="shared" si="6"/>
        <v>0.7619999999999999</v>
      </c>
      <c r="D70" s="47">
        <f t="shared" ref="D70:D133" si="7">AVERAGE($C$5:$C$174)</f>
        <v>5.5999529411764701</v>
      </c>
      <c r="E70" s="47">
        <f t="shared" ref="E70:E133" si="8">_xlfn.STDEV.S($C$5:$C$174)</f>
        <v>9.846214244893936</v>
      </c>
      <c r="F70" s="47">
        <f t="shared" ref="F70:F133" si="9">C70-D70</f>
        <v>-4.8379529411764706</v>
      </c>
      <c r="G70" s="24">
        <f t="shared" ref="G70:G133" si="10">F70/E70</f>
        <v>-0.49135158151625058</v>
      </c>
      <c r="H70">
        <v>-0.5</v>
      </c>
    </row>
    <row r="71" spans="1:8" x14ac:dyDescent="0.25">
      <c r="A71" s="56">
        <v>42573</v>
      </c>
      <c r="B71" s="29">
        <v>0.05</v>
      </c>
      <c r="C71" s="36">
        <f t="shared" si="6"/>
        <v>1.27</v>
      </c>
      <c r="D71" s="47">
        <f t="shared" si="7"/>
        <v>5.5999529411764701</v>
      </c>
      <c r="E71" s="47">
        <f t="shared" si="8"/>
        <v>9.846214244893936</v>
      </c>
      <c r="F71" s="47">
        <f t="shared" si="9"/>
        <v>-4.3299529411764706</v>
      </c>
      <c r="G71" s="24">
        <f t="shared" si="10"/>
        <v>-0.43975814800311741</v>
      </c>
      <c r="H71">
        <v>-0.5</v>
      </c>
    </row>
    <row r="72" spans="1:8" x14ac:dyDescent="0.25">
      <c r="A72" s="56">
        <v>42604</v>
      </c>
      <c r="B72" s="29">
        <v>0.04</v>
      </c>
      <c r="C72" s="36">
        <f t="shared" si="6"/>
        <v>1.016</v>
      </c>
      <c r="D72" s="47">
        <f t="shared" si="7"/>
        <v>5.5999529411764701</v>
      </c>
      <c r="E72" s="47">
        <f t="shared" si="8"/>
        <v>9.846214244893936</v>
      </c>
      <c r="F72" s="47">
        <f t="shared" si="9"/>
        <v>-4.5839529411764701</v>
      </c>
      <c r="G72" s="24">
        <f t="shared" si="10"/>
        <v>-0.46555486475968394</v>
      </c>
      <c r="H72">
        <v>-0.5</v>
      </c>
    </row>
    <row r="73" spans="1:8" x14ac:dyDescent="0.25">
      <c r="A73" s="56">
        <v>42635</v>
      </c>
      <c r="B73" s="29">
        <v>0.03</v>
      </c>
      <c r="C73" s="36">
        <f t="shared" si="6"/>
        <v>0.7619999999999999</v>
      </c>
      <c r="D73" s="47">
        <f t="shared" si="7"/>
        <v>5.5999529411764701</v>
      </c>
      <c r="E73" s="47">
        <f t="shared" si="8"/>
        <v>9.846214244893936</v>
      </c>
      <c r="F73" s="47">
        <f t="shared" si="9"/>
        <v>-4.8379529411764706</v>
      </c>
      <c r="G73" s="24">
        <f t="shared" si="10"/>
        <v>-0.49135158151625058</v>
      </c>
      <c r="H73">
        <v>-0.5</v>
      </c>
    </row>
    <row r="74" spans="1:8" x14ac:dyDescent="0.25">
      <c r="A74" s="56">
        <v>42665</v>
      </c>
      <c r="B74" s="29">
        <v>0.04</v>
      </c>
      <c r="C74" s="36">
        <f t="shared" si="6"/>
        <v>1.016</v>
      </c>
      <c r="D74" s="47">
        <f t="shared" si="7"/>
        <v>5.5999529411764701</v>
      </c>
      <c r="E74" s="47">
        <f t="shared" si="8"/>
        <v>9.846214244893936</v>
      </c>
      <c r="F74" s="47">
        <f t="shared" si="9"/>
        <v>-4.5839529411764701</v>
      </c>
      <c r="G74" s="24">
        <f t="shared" si="10"/>
        <v>-0.46555486475968394</v>
      </c>
      <c r="H74">
        <v>-0.5</v>
      </c>
    </row>
    <row r="75" spans="1:8" x14ac:dyDescent="0.25">
      <c r="A75" s="56">
        <v>42696</v>
      </c>
      <c r="B75" s="29">
        <v>0.22</v>
      </c>
      <c r="C75" s="36">
        <f t="shared" si="6"/>
        <v>5.5880000000000001</v>
      </c>
      <c r="D75" s="47">
        <f t="shared" si="7"/>
        <v>5.5999529411764701</v>
      </c>
      <c r="E75" s="47">
        <f t="shared" si="8"/>
        <v>9.846214244893936</v>
      </c>
      <c r="F75" s="47">
        <f t="shared" si="9"/>
        <v>-1.1952941176470055E-2</v>
      </c>
      <c r="G75" s="24">
        <f t="shared" si="10"/>
        <v>-1.2139631414854323E-3</v>
      </c>
      <c r="H75">
        <v>-0.5</v>
      </c>
    </row>
    <row r="76" spans="1:8" x14ac:dyDescent="0.25">
      <c r="A76" s="56">
        <v>42726</v>
      </c>
      <c r="B76" s="29">
        <v>0.14000000000000001</v>
      </c>
      <c r="C76" s="36">
        <f t="shared" si="6"/>
        <v>3.556</v>
      </c>
      <c r="D76" s="47">
        <f t="shared" si="7"/>
        <v>5.5999529411764701</v>
      </c>
      <c r="E76" s="47">
        <f t="shared" si="8"/>
        <v>9.846214244893936</v>
      </c>
      <c r="F76" s="47">
        <f t="shared" si="9"/>
        <v>-2.0439529411764701</v>
      </c>
      <c r="G76" s="24">
        <f t="shared" si="10"/>
        <v>-0.20758769719401812</v>
      </c>
      <c r="H76">
        <v>-0.5</v>
      </c>
    </row>
    <row r="77" spans="1:8" x14ac:dyDescent="0.25">
      <c r="A77" s="56">
        <v>42757</v>
      </c>
      <c r="B77" s="29">
        <v>0.17</v>
      </c>
      <c r="C77" s="36">
        <f t="shared" si="6"/>
        <v>4.3180000000000005</v>
      </c>
      <c r="D77" s="47">
        <f t="shared" si="7"/>
        <v>5.5999529411764701</v>
      </c>
      <c r="E77" s="47">
        <f t="shared" si="8"/>
        <v>9.846214244893936</v>
      </c>
      <c r="F77" s="47">
        <f t="shared" si="9"/>
        <v>-1.2819529411764696</v>
      </c>
      <c r="G77" s="24">
        <f t="shared" si="10"/>
        <v>-0.13019754692431831</v>
      </c>
      <c r="H77">
        <v>-0.5</v>
      </c>
    </row>
    <row r="78" spans="1:8" x14ac:dyDescent="0.25">
      <c r="A78" s="56">
        <v>42788</v>
      </c>
      <c r="B78" s="29">
        <v>0.33</v>
      </c>
      <c r="C78" s="36">
        <f t="shared" si="6"/>
        <v>8.3819999999999997</v>
      </c>
      <c r="D78" s="47">
        <f t="shared" si="7"/>
        <v>5.5999529411764701</v>
      </c>
      <c r="E78" s="47">
        <f t="shared" si="8"/>
        <v>9.846214244893936</v>
      </c>
      <c r="F78" s="47">
        <f t="shared" si="9"/>
        <v>2.7820470588235295</v>
      </c>
      <c r="G78" s="24">
        <f t="shared" si="10"/>
        <v>0.28254992118074695</v>
      </c>
      <c r="H78">
        <v>-0.5</v>
      </c>
    </row>
    <row r="79" spans="1:8" x14ac:dyDescent="0.25">
      <c r="A79" s="56">
        <v>42816</v>
      </c>
      <c r="B79" s="29">
        <v>0.09</v>
      </c>
      <c r="C79" s="36">
        <f t="shared" si="6"/>
        <v>2.2859999999999996</v>
      </c>
      <c r="D79" s="47">
        <f t="shared" si="7"/>
        <v>5.5999529411764701</v>
      </c>
      <c r="E79" s="47">
        <f t="shared" si="8"/>
        <v>9.846214244893936</v>
      </c>
      <c r="F79" s="47">
        <f t="shared" si="9"/>
        <v>-3.3139529411764705</v>
      </c>
      <c r="G79" s="24">
        <f t="shared" si="10"/>
        <v>-0.33657128097685107</v>
      </c>
      <c r="H79">
        <v>-0.5</v>
      </c>
    </row>
    <row r="80" spans="1:8" x14ac:dyDescent="0.25">
      <c r="A80" s="56">
        <v>42847</v>
      </c>
      <c r="B80" s="29">
        <v>0.08</v>
      </c>
      <c r="C80" s="36">
        <f t="shared" si="6"/>
        <v>2.032</v>
      </c>
      <c r="D80" s="47">
        <f t="shared" si="7"/>
        <v>5.5999529411764701</v>
      </c>
      <c r="E80" s="47">
        <f t="shared" si="8"/>
        <v>9.846214244893936</v>
      </c>
      <c r="F80" s="47">
        <f t="shared" si="9"/>
        <v>-3.5679529411764701</v>
      </c>
      <c r="G80" s="24">
        <f t="shared" si="10"/>
        <v>-0.3623679977334176</v>
      </c>
      <c r="H80">
        <v>-0.5</v>
      </c>
    </row>
    <row r="81" spans="1:8" x14ac:dyDescent="0.25">
      <c r="A81" s="56">
        <v>42877</v>
      </c>
      <c r="B81" s="29">
        <v>0.08</v>
      </c>
      <c r="C81" s="36">
        <f t="shared" si="6"/>
        <v>2.032</v>
      </c>
      <c r="D81" s="47">
        <f t="shared" si="7"/>
        <v>5.5999529411764701</v>
      </c>
      <c r="E81" s="47">
        <f t="shared" si="8"/>
        <v>9.846214244893936</v>
      </c>
      <c r="F81" s="47">
        <f t="shared" si="9"/>
        <v>-3.5679529411764701</v>
      </c>
      <c r="G81" s="24">
        <f t="shared" si="10"/>
        <v>-0.3623679977334176</v>
      </c>
      <c r="H81">
        <v>-0.5</v>
      </c>
    </row>
    <row r="82" spans="1:8" x14ac:dyDescent="0.25">
      <c r="A82" s="56">
        <v>42908</v>
      </c>
      <c r="B82" s="29">
        <v>0.05</v>
      </c>
      <c r="C82" s="36">
        <f t="shared" si="6"/>
        <v>1.27</v>
      </c>
      <c r="D82" s="47">
        <f t="shared" si="7"/>
        <v>5.5999529411764701</v>
      </c>
      <c r="E82" s="47">
        <f t="shared" si="8"/>
        <v>9.846214244893936</v>
      </c>
      <c r="F82" s="47">
        <f t="shared" si="9"/>
        <v>-4.3299529411764706</v>
      </c>
      <c r="G82" s="24">
        <f t="shared" si="10"/>
        <v>-0.43975814800311741</v>
      </c>
      <c r="H82">
        <v>-0.5</v>
      </c>
    </row>
    <row r="83" spans="1:8" x14ac:dyDescent="0.25">
      <c r="A83" s="56">
        <v>42938</v>
      </c>
      <c r="B83" s="29">
        <v>0.03</v>
      </c>
      <c r="C83" s="36">
        <f t="shared" si="6"/>
        <v>0.7619999999999999</v>
      </c>
      <c r="D83" s="47">
        <f t="shared" si="7"/>
        <v>5.5999529411764701</v>
      </c>
      <c r="E83" s="47">
        <f t="shared" si="8"/>
        <v>9.846214244893936</v>
      </c>
      <c r="F83" s="47">
        <f t="shared" si="9"/>
        <v>-4.8379529411764706</v>
      </c>
      <c r="G83" s="24">
        <f t="shared" si="10"/>
        <v>-0.49135158151625058</v>
      </c>
      <c r="H83">
        <v>-0.5</v>
      </c>
    </row>
    <row r="84" spans="1:8" x14ac:dyDescent="0.25">
      <c r="A84" s="56">
        <v>42969</v>
      </c>
      <c r="B84" s="29">
        <v>0.04</v>
      </c>
      <c r="C84" s="36">
        <f t="shared" si="6"/>
        <v>1.016</v>
      </c>
      <c r="D84" s="47">
        <f t="shared" si="7"/>
        <v>5.5999529411764701</v>
      </c>
      <c r="E84" s="47">
        <f t="shared" si="8"/>
        <v>9.846214244893936</v>
      </c>
      <c r="F84" s="47">
        <f t="shared" si="9"/>
        <v>-4.5839529411764701</v>
      </c>
      <c r="G84" s="24">
        <f t="shared" si="10"/>
        <v>-0.46555486475968394</v>
      </c>
      <c r="H84">
        <v>-0.5</v>
      </c>
    </row>
    <row r="85" spans="1:8" x14ac:dyDescent="0.25">
      <c r="A85" s="56">
        <v>43000</v>
      </c>
      <c r="B85" s="29">
        <v>0.04</v>
      </c>
      <c r="C85" s="36">
        <f t="shared" si="6"/>
        <v>1.016</v>
      </c>
      <c r="D85" s="47">
        <f t="shared" si="7"/>
        <v>5.5999529411764701</v>
      </c>
      <c r="E85" s="47">
        <f t="shared" si="8"/>
        <v>9.846214244893936</v>
      </c>
      <c r="F85" s="47">
        <f t="shared" si="9"/>
        <v>-4.5839529411764701</v>
      </c>
      <c r="G85" s="24">
        <f t="shared" si="10"/>
        <v>-0.46555486475968394</v>
      </c>
      <c r="H85">
        <v>-0.5</v>
      </c>
    </row>
    <row r="86" spans="1:8" x14ac:dyDescent="0.25">
      <c r="A86" s="56">
        <v>43030</v>
      </c>
      <c r="B86" s="29">
        <v>7.0000000000000007E-2</v>
      </c>
      <c r="C86" s="36">
        <f t="shared" si="6"/>
        <v>1.778</v>
      </c>
      <c r="D86" s="47">
        <f t="shared" si="7"/>
        <v>5.5999529411764701</v>
      </c>
      <c r="E86" s="47">
        <f t="shared" si="8"/>
        <v>9.846214244893936</v>
      </c>
      <c r="F86" s="47">
        <f t="shared" si="9"/>
        <v>-3.8219529411764701</v>
      </c>
      <c r="G86" s="24">
        <f t="shared" si="10"/>
        <v>-0.38816471448998419</v>
      </c>
      <c r="H86">
        <v>-0.5</v>
      </c>
    </row>
    <row r="87" spans="1:8" x14ac:dyDescent="0.25">
      <c r="A87" s="56">
        <v>43061</v>
      </c>
      <c r="B87" s="29">
        <v>0.12</v>
      </c>
      <c r="C87" s="36">
        <f t="shared" si="6"/>
        <v>3.0479999999999996</v>
      </c>
      <c r="D87" s="47">
        <f t="shared" si="7"/>
        <v>5.5999529411764701</v>
      </c>
      <c r="E87" s="47">
        <f t="shared" si="8"/>
        <v>9.846214244893936</v>
      </c>
      <c r="F87" s="47">
        <f t="shared" si="9"/>
        <v>-2.5519529411764705</v>
      </c>
      <c r="G87" s="24">
        <f t="shared" si="10"/>
        <v>-0.25918113070715132</v>
      </c>
      <c r="H87">
        <v>-0.5</v>
      </c>
    </row>
    <row r="88" spans="1:8" x14ac:dyDescent="0.25">
      <c r="A88" s="56">
        <v>43091</v>
      </c>
      <c r="B88" s="29">
        <v>0.86</v>
      </c>
      <c r="C88" s="36">
        <f t="shared" si="6"/>
        <v>21.843999999999998</v>
      </c>
      <c r="D88" s="47">
        <f t="shared" si="7"/>
        <v>5.5999529411764701</v>
      </c>
      <c r="E88" s="47">
        <f t="shared" si="8"/>
        <v>9.846214244893936</v>
      </c>
      <c r="F88" s="47">
        <f t="shared" si="9"/>
        <v>16.244047058823526</v>
      </c>
      <c r="G88" s="24">
        <f t="shared" si="10"/>
        <v>1.6497759092787756</v>
      </c>
      <c r="H88">
        <v>-0.5</v>
      </c>
    </row>
    <row r="89" spans="1:8" x14ac:dyDescent="0.25">
      <c r="A89" s="56">
        <v>43122</v>
      </c>
      <c r="B89" s="29">
        <v>-0.05</v>
      </c>
      <c r="C89" s="36">
        <f t="shared" si="6"/>
        <v>-1.27</v>
      </c>
      <c r="D89" s="47">
        <f t="shared" si="7"/>
        <v>5.5999529411764701</v>
      </c>
      <c r="E89" s="47">
        <f t="shared" si="8"/>
        <v>9.846214244893936</v>
      </c>
      <c r="F89" s="47">
        <f t="shared" si="9"/>
        <v>-6.8699529411764697</v>
      </c>
      <c r="G89" s="24">
        <f t="shared" si="10"/>
        <v>-0.69772531556878314</v>
      </c>
      <c r="H89">
        <v>-0.5</v>
      </c>
    </row>
    <row r="90" spans="1:8" x14ac:dyDescent="0.25">
      <c r="A90" s="56">
        <v>43153</v>
      </c>
      <c r="B90" s="29">
        <v>0.16</v>
      </c>
      <c r="C90" s="36">
        <f t="shared" si="6"/>
        <v>4.0640000000000001</v>
      </c>
      <c r="D90" s="47">
        <f t="shared" si="7"/>
        <v>5.5999529411764701</v>
      </c>
      <c r="E90" s="47">
        <f t="shared" si="8"/>
        <v>9.846214244893936</v>
      </c>
      <c r="F90" s="47">
        <f t="shared" si="9"/>
        <v>-1.5359529411764701</v>
      </c>
      <c r="G90" s="24">
        <f t="shared" si="10"/>
        <v>-0.15599426368088495</v>
      </c>
      <c r="H90">
        <v>-0.5</v>
      </c>
    </row>
    <row r="91" spans="1:8" x14ac:dyDescent="0.25">
      <c r="A91" s="56">
        <v>43181</v>
      </c>
      <c r="B91" s="29">
        <v>0.25</v>
      </c>
      <c r="C91" s="36">
        <f t="shared" si="6"/>
        <v>6.35</v>
      </c>
      <c r="D91" s="47">
        <f t="shared" si="7"/>
        <v>5.5999529411764701</v>
      </c>
      <c r="E91" s="47">
        <f t="shared" si="8"/>
        <v>9.846214244893936</v>
      </c>
      <c r="F91" s="47">
        <f t="shared" si="9"/>
        <v>0.75004705882352951</v>
      </c>
      <c r="G91" s="24">
        <f t="shared" si="10"/>
        <v>7.6176187128214279E-2</v>
      </c>
      <c r="H91">
        <v>-0.5</v>
      </c>
    </row>
    <row r="92" spans="1:8" x14ac:dyDescent="0.25">
      <c r="A92" s="56">
        <v>43212</v>
      </c>
      <c r="B92" s="29">
        <v>0.32</v>
      </c>
      <c r="C92" s="36">
        <f t="shared" si="6"/>
        <v>8.1280000000000001</v>
      </c>
      <c r="D92" s="47">
        <f t="shared" si="7"/>
        <v>5.5999529411764701</v>
      </c>
      <c r="E92" s="47">
        <f t="shared" si="8"/>
        <v>9.846214244893936</v>
      </c>
      <c r="F92" s="47">
        <f t="shared" si="9"/>
        <v>2.52804705882353</v>
      </c>
      <c r="G92" s="24">
        <f t="shared" si="10"/>
        <v>0.25675320442418043</v>
      </c>
      <c r="H92">
        <v>-0.5</v>
      </c>
    </row>
    <row r="93" spans="1:8" x14ac:dyDescent="0.25">
      <c r="A93" s="56">
        <v>43242</v>
      </c>
      <c r="B93" s="29">
        <v>0.09</v>
      </c>
      <c r="C93" s="36">
        <f t="shared" si="6"/>
        <v>2.2859999999999996</v>
      </c>
      <c r="D93" s="47">
        <f t="shared" si="7"/>
        <v>5.5999529411764701</v>
      </c>
      <c r="E93" s="47">
        <f t="shared" si="8"/>
        <v>9.846214244893936</v>
      </c>
      <c r="F93" s="47">
        <f t="shared" si="9"/>
        <v>-3.3139529411764705</v>
      </c>
      <c r="G93" s="24">
        <f t="shared" si="10"/>
        <v>-0.33657128097685107</v>
      </c>
      <c r="H93">
        <v>-0.5</v>
      </c>
    </row>
    <row r="94" spans="1:8" x14ac:dyDescent="0.25">
      <c r="A94" s="56">
        <v>43273</v>
      </c>
      <c r="B94" s="29">
        <v>0.09</v>
      </c>
      <c r="C94" s="36">
        <f t="shared" si="6"/>
        <v>2.2859999999999996</v>
      </c>
      <c r="D94" s="47">
        <f t="shared" si="7"/>
        <v>5.5999529411764701</v>
      </c>
      <c r="E94" s="47">
        <f t="shared" si="8"/>
        <v>9.846214244893936</v>
      </c>
      <c r="F94" s="47">
        <f t="shared" si="9"/>
        <v>-3.3139529411764705</v>
      </c>
      <c r="G94" s="24">
        <f t="shared" si="10"/>
        <v>-0.33657128097685107</v>
      </c>
      <c r="H94">
        <v>-0.5</v>
      </c>
    </row>
    <row r="95" spans="1:8" x14ac:dyDescent="0.25">
      <c r="A95" s="56">
        <v>43303</v>
      </c>
      <c r="B95" s="29">
        <v>0.08</v>
      </c>
      <c r="C95" s="36">
        <f t="shared" si="6"/>
        <v>2.032</v>
      </c>
      <c r="D95" s="47">
        <f t="shared" si="7"/>
        <v>5.5999529411764701</v>
      </c>
      <c r="E95" s="47">
        <f t="shared" si="8"/>
        <v>9.846214244893936</v>
      </c>
      <c r="F95" s="47">
        <f t="shared" si="9"/>
        <v>-3.5679529411764701</v>
      </c>
      <c r="G95" s="24">
        <f t="shared" si="10"/>
        <v>-0.3623679977334176</v>
      </c>
      <c r="H95">
        <v>-0.5</v>
      </c>
    </row>
    <row r="96" spans="1:8" x14ac:dyDescent="0.25">
      <c r="A96" s="56">
        <v>43334</v>
      </c>
      <c r="B96" s="29">
        <v>7.0000000000000007E-2</v>
      </c>
      <c r="C96" s="36">
        <f t="shared" si="6"/>
        <v>1.778</v>
      </c>
      <c r="D96" s="47">
        <f t="shared" si="7"/>
        <v>5.5999529411764701</v>
      </c>
      <c r="E96" s="47">
        <f t="shared" si="8"/>
        <v>9.846214244893936</v>
      </c>
      <c r="F96" s="47">
        <f t="shared" si="9"/>
        <v>-3.8219529411764701</v>
      </c>
      <c r="G96" s="24">
        <f t="shared" si="10"/>
        <v>-0.38816471448998419</v>
      </c>
      <c r="H96">
        <v>-0.5</v>
      </c>
    </row>
    <row r="97" spans="1:8" x14ac:dyDescent="0.25">
      <c r="A97" s="56">
        <v>43365</v>
      </c>
      <c r="B97" s="29">
        <v>7.0000000000000007E-2</v>
      </c>
      <c r="C97" s="36">
        <f t="shared" si="6"/>
        <v>1.778</v>
      </c>
      <c r="D97" s="47">
        <f t="shared" si="7"/>
        <v>5.5999529411764701</v>
      </c>
      <c r="E97" s="47">
        <f t="shared" si="8"/>
        <v>9.846214244893936</v>
      </c>
      <c r="F97" s="47">
        <f t="shared" si="9"/>
        <v>-3.8219529411764701</v>
      </c>
      <c r="G97" s="24">
        <f t="shared" si="10"/>
        <v>-0.38816471448998419</v>
      </c>
      <c r="H97">
        <v>-0.5</v>
      </c>
    </row>
    <row r="98" spans="1:8" x14ac:dyDescent="0.25">
      <c r="A98" s="56">
        <v>43395</v>
      </c>
      <c r="B98" s="29">
        <v>0.08</v>
      </c>
      <c r="C98" s="36">
        <f t="shared" si="6"/>
        <v>2.032</v>
      </c>
      <c r="D98" s="47">
        <f t="shared" si="7"/>
        <v>5.5999529411764701</v>
      </c>
      <c r="E98" s="47">
        <f t="shared" si="8"/>
        <v>9.846214244893936</v>
      </c>
      <c r="F98" s="47">
        <f t="shared" si="9"/>
        <v>-3.5679529411764701</v>
      </c>
      <c r="G98" s="24">
        <f t="shared" si="10"/>
        <v>-0.3623679977334176</v>
      </c>
      <c r="H98">
        <v>-0.5</v>
      </c>
    </row>
    <row r="99" spans="1:8" x14ac:dyDescent="0.25">
      <c r="A99" s="56">
        <v>43426</v>
      </c>
      <c r="B99" s="29">
        <v>0.13</v>
      </c>
      <c r="C99" s="36">
        <f t="shared" si="6"/>
        <v>3.302</v>
      </c>
      <c r="D99" s="47">
        <f t="shared" si="7"/>
        <v>5.5999529411764701</v>
      </c>
      <c r="E99" s="47">
        <f t="shared" si="8"/>
        <v>9.846214244893936</v>
      </c>
      <c r="F99" s="47">
        <f t="shared" si="9"/>
        <v>-2.2979529411764701</v>
      </c>
      <c r="G99" s="24">
        <f t="shared" si="10"/>
        <v>-0.23338441395058471</v>
      </c>
      <c r="H99">
        <v>-0.5</v>
      </c>
    </row>
    <row r="100" spans="1:8" x14ac:dyDescent="0.25">
      <c r="A100" s="56">
        <v>43456</v>
      </c>
      <c r="B100" s="29">
        <v>0.09</v>
      </c>
      <c r="C100" s="36">
        <f t="shared" si="6"/>
        <v>2.2859999999999996</v>
      </c>
      <c r="D100" s="47">
        <f t="shared" si="7"/>
        <v>5.5999529411764701</v>
      </c>
      <c r="E100" s="47">
        <f t="shared" si="8"/>
        <v>9.846214244893936</v>
      </c>
      <c r="F100" s="47">
        <f t="shared" si="9"/>
        <v>-3.3139529411764705</v>
      </c>
      <c r="G100" s="24">
        <f t="shared" si="10"/>
        <v>-0.33657128097685107</v>
      </c>
      <c r="H100">
        <v>-0.5</v>
      </c>
    </row>
    <row r="101" spans="1:8" x14ac:dyDescent="0.25">
      <c r="A101" s="56">
        <v>43487</v>
      </c>
      <c r="B101" s="29">
        <v>0.4</v>
      </c>
      <c r="C101" s="36">
        <f t="shared" ref="C101:C132" si="11">$D$1*B101</f>
        <v>10.16</v>
      </c>
      <c r="D101" s="47">
        <f t="shared" si="7"/>
        <v>5.5999529411764701</v>
      </c>
      <c r="E101" s="47">
        <f t="shared" si="8"/>
        <v>9.846214244893936</v>
      </c>
      <c r="F101" s="47">
        <f t="shared" si="9"/>
        <v>4.56004705882353</v>
      </c>
      <c r="G101" s="24">
        <f t="shared" si="10"/>
        <v>0.4631269384767131</v>
      </c>
      <c r="H101">
        <v>-0.5</v>
      </c>
    </row>
    <row r="102" spans="1:8" x14ac:dyDescent="0.25">
      <c r="A102" s="56">
        <v>43518</v>
      </c>
      <c r="B102" s="29">
        <v>0.95</v>
      </c>
      <c r="C102" s="36">
        <f t="shared" si="11"/>
        <v>24.13</v>
      </c>
      <c r="D102" s="47">
        <f t="shared" si="7"/>
        <v>5.5999529411764701</v>
      </c>
      <c r="E102" s="47">
        <f t="shared" si="8"/>
        <v>9.846214244893936</v>
      </c>
      <c r="F102" s="47">
        <f t="shared" si="9"/>
        <v>18.530047058823527</v>
      </c>
      <c r="G102" s="24">
        <f t="shared" si="10"/>
        <v>1.881946360087875</v>
      </c>
      <c r="H102">
        <v>-0.5</v>
      </c>
    </row>
    <row r="103" spans="1:8" x14ac:dyDescent="0.25">
      <c r="A103" s="56">
        <v>43546</v>
      </c>
      <c r="B103" s="29">
        <v>0.11</v>
      </c>
      <c r="C103" s="36">
        <f t="shared" si="11"/>
        <v>2.794</v>
      </c>
      <c r="D103" s="47">
        <f t="shared" si="7"/>
        <v>5.5999529411764701</v>
      </c>
      <c r="E103" s="47">
        <f t="shared" si="8"/>
        <v>9.846214244893936</v>
      </c>
      <c r="F103" s="47">
        <f t="shared" si="9"/>
        <v>-2.8059529411764701</v>
      </c>
      <c r="G103" s="24">
        <f t="shared" si="10"/>
        <v>-0.28497784746371785</v>
      </c>
      <c r="H103">
        <v>-0.5</v>
      </c>
    </row>
    <row r="104" spans="1:8" x14ac:dyDescent="0.25">
      <c r="A104" s="56">
        <v>43577</v>
      </c>
      <c r="B104" s="29">
        <v>0.32</v>
      </c>
      <c r="C104" s="36">
        <f t="shared" si="11"/>
        <v>8.1280000000000001</v>
      </c>
      <c r="D104" s="47">
        <f t="shared" si="7"/>
        <v>5.5999529411764701</v>
      </c>
      <c r="E104" s="47">
        <f t="shared" si="8"/>
        <v>9.846214244893936</v>
      </c>
      <c r="F104" s="47">
        <f t="shared" si="9"/>
        <v>2.52804705882353</v>
      </c>
      <c r="G104" s="24">
        <f t="shared" si="10"/>
        <v>0.25675320442418043</v>
      </c>
      <c r="H104">
        <v>-0.5</v>
      </c>
    </row>
    <row r="105" spans="1:8" x14ac:dyDescent="0.25">
      <c r="A105" s="56">
        <v>43607</v>
      </c>
      <c r="B105" s="29">
        <v>0.11</v>
      </c>
      <c r="C105" s="36">
        <f t="shared" si="11"/>
        <v>2.794</v>
      </c>
      <c r="D105" s="47">
        <f t="shared" si="7"/>
        <v>5.5999529411764701</v>
      </c>
      <c r="E105" s="47">
        <f t="shared" si="8"/>
        <v>9.846214244893936</v>
      </c>
      <c r="F105" s="47">
        <f t="shared" si="9"/>
        <v>-2.8059529411764701</v>
      </c>
      <c r="G105" s="24">
        <f t="shared" si="10"/>
        <v>-0.28497784746371785</v>
      </c>
      <c r="H105">
        <v>-0.5</v>
      </c>
    </row>
    <row r="106" spans="1:8" x14ac:dyDescent="0.25">
      <c r="A106" s="56">
        <v>43638</v>
      </c>
      <c r="B106" s="29">
        <v>0.09</v>
      </c>
      <c r="C106" s="36">
        <f t="shared" si="11"/>
        <v>2.2859999999999996</v>
      </c>
      <c r="D106" s="47">
        <f t="shared" si="7"/>
        <v>5.5999529411764701</v>
      </c>
      <c r="E106" s="47">
        <f t="shared" si="8"/>
        <v>9.846214244893936</v>
      </c>
      <c r="F106" s="47">
        <f t="shared" si="9"/>
        <v>-3.3139529411764705</v>
      </c>
      <c r="G106" s="24">
        <f t="shared" si="10"/>
        <v>-0.33657128097685107</v>
      </c>
      <c r="H106">
        <v>-0.5</v>
      </c>
    </row>
    <row r="107" spans="1:8" x14ac:dyDescent="0.25">
      <c r="A107" s="56">
        <v>43668</v>
      </c>
      <c r="B107" s="29">
        <v>0.06</v>
      </c>
      <c r="C107" s="36">
        <f t="shared" si="11"/>
        <v>1.5239999999999998</v>
      </c>
      <c r="D107" s="47">
        <f t="shared" si="7"/>
        <v>5.5999529411764701</v>
      </c>
      <c r="E107" s="47">
        <f t="shared" si="8"/>
        <v>9.846214244893936</v>
      </c>
      <c r="F107" s="47">
        <f t="shared" si="9"/>
        <v>-4.0759529411764701</v>
      </c>
      <c r="G107" s="24">
        <f t="shared" si="10"/>
        <v>-0.41396143124655077</v>
      </c>
      <c r="H107">
        <v>-0.5</v>
      </c>
    </row>
    <row r="108" spans="1:8" x14ac:dyDescent="0.25">
      <c r="A108" s="56">
        <v>43699</v>
      </c>
      <c r="B108" s="29">
        <v>7.0000000000000007E-2</v>
      </c>
      <c r="C108" s="36">
        <f t="shared" si="11"/>
        <v>1.778</v>
      </c>
      <c r="D108" s="47">
        <f t="shared" si="7"/>
        <v>5.5999529411764701</v>
      </c>
      <c r="E108" s="47">
        <f t="shared" si="8"/>
        <v>9.846214244893936</v>
      </c>
      <c r="F108" s="47">
        <f t="shared" si="9"/>
        <v>-3.8219529411764701</v>
      </c>
      <c r="G108" s="24">
        <f t="shared" si="10"/>
        <v>-0.38816471448998419</v>
      </c>
      <c r="H108">
        <v>-0.5</v>
      </c>
    </row>
    <row r="109" spans="1:8" x14ac:dyDescent="0.25">
      <c r="A109" s="56">
        <v>43730</v>
      </c>
      <c r="B109" s="29">
        <v>0.05</v>
      </c>
      <c r="C109" s="36">
        <f t="shared" si="11"/>
        <v>1.27</v>
      </c>
      <c r="D109" s="47">
        <f t="shared" si="7"/>
        <v>5.5999529411764701</v>
      </c>
      <c r="E109" s="47">
        <f t="shared" si="8"/>
        <v>9.846214244893936</v>
      </c>
      <c r="F109" s="47">
        <f t="shared" si="9"/>
        <v>-4.3299529411764706</v>
      </c>
      <c r="G109" s="24">
        <f t="shared" si="10"/>
        <v>-0.43975814800311741</v>
      </c>
      <c r="H109">
        <v>-0.5</v>
      </c>
    </row>
    <row r="110" spans="1:8" x14ac:dyDescent="0.25">
      <c r="A110" s="56">
        <v>43760</v>
      </c>
      <c r="B110" s="29">
        <v>0.03</v>
      </c>
      <c r="C110" s="36">
        <f t="shared" si="11"/>
        <v>0.7619999999999999</v>
      </c>
      <c r="D110" s="47">
        <f t="shared" si="7"/>
        <v>5.5999529411764701</v>
      </c>
      <c r="E110" s="47">
        <f t="shared" si="8"/>
        <v>9.846214244893936</v>
      </c>
      <c r="F110" s="47">
        <f t="shared" si="9"/>
        <v>-4.8379529411764706</v>
      </c>
      <c r="G110" s="24">
        <f t="shared" si="10"/>
        <v>-0.49135158151625058</v>
      </c>
      <c r="H110">
        <v>-0.5</v>
      </c>
    </row>
    <row r="111" spans="1:8" x14ac:dyDescent="0.25">
      <c r="A111" s="56">
        <v>43791</v>
      </c>
      <c r="B111" s="29">
        <v>0.04</v>
      </c>
      <c r="C111" s="36">
        <f t="shared" si="11"/>
        <v>1.016</v>
      </c>
      <c r="D111" s="47">
        <f t="shared" si="7"/>
        <v>5.5999529411764701</v>
      </c>
      <c r="E111" s="47">
        <f t="shared" si="8"/>
        <v>9.846214244893936</v>
      </c>
      <c r="F111" s="47">
        <f t="shared" si="9"/>
        <v>-4.5839529411764701</v>
      </c>
      <c r="G111" s="24">
        <f t="shared" si="10"/>
        <v>-0.46555486475968394</v>
      </c>
      <c r="H111">
        <v>-0.5</v>
      </c>
    </row>
    <row r="112" spans="1:8" x14ac:dyDescent="0.25">
      <c r="A112" s="56">
        <v>43821</v>
      </c>
      <c r="B112" s="29">
        <v>0.2</v>
      </c>
      <c r="C112" s="36">
        <f t="shared" si="11"/>
        <v>5.08</v>
      </c>
      <c r="D112" s="47">
        <f t="shared" si="7"/>
        <v>5.5999529411764701</v>
      </c>
      <c r="E112" s="47">
        <f t="shared" si="8"/>
        <v>9.846214244893936</v>
      </c>
      <c r="F112" s="47">
        <f t="shared" si="9"/>
        <v>-0.51995294117647006</v>
      </c>
      <c r="G112" s="24">
        <f t="shared" si="10"/>
        <v>-5.2807396654618602E-2</v>
      </c>
      <c r="H112">
        <v>-0.5</v>
      </c>
    </row>
    <row r="113" spans="1:8" x14ac:dyDescent="0.25">
      <c r="A113" s="56">
        <v>43852</v>
      </c>
      <c r="B113" s="29">
        <v>0.28000000000000003</v>
      </c>
      <c r="C113" s="36">
        <f t="shared" si="11"/>
        <v>7.1120000000000001</v>
      </c>
      <c r="D113" s="47">
        <f t="shared" si="7"/>
        <v>5.5999529411764701</v>
      </c>
      <c r="E113" s="47">
        <f t="shared" si="8"/>
        <v>9.846214244893936</v>
      </c>
      <c r="F113" s="47">
        <f t="shared" si="9"/>
        <v>1.51204705882353</v>
      </c>
      <c r="G113" s="24">
        <f t="shared" si="10"/>
        <v>0.15356633739791409</v>
      </c>
      <c r="H113">
        <v>-0.5</v>
      </c>
    </row>
    <row r="114" spans="1:8" x14ac:dyDescent="0.25">
      <c r="A114" s="56">
        <v>43883</v>
      </c>
      <c r="B114" s="29">
        <v>0.1</v>
      </c>
      <c r="C114" s="36">
        <f t="shared" si="11"/>
        <v>2.54</v>
      </c>
      <c r="D114" s="47">
        <f t="shared" si="7"/>
        <v>5.5999529411764701</v>
      </c>
      <c r="E114" s="47">
        <f t="shared" si="8"/>
        <v>9.846214244893936</v>
      </c>
      <c r="F114" s="47">
        <f t="shared" si="9"/>
        <v>-3.0599529411764701</v>
      </c>
      <c r="G114" s="24">
        <f t="shared" si="10"/>
        <v>-0.31077456422028443</v>
      </c>
      <c r="H114">
        <v>-0.5</v>
      </c>
    </row>
    <row r="115" spans="1:8" x14ac:dyDescent="0.25">
      <c r="A115" s="56">
        <v>43912</v>
      </c>
      <c r="B115" s="29">
        <v>0.09</v>
      </c>
      <c r="C115" s="36">
        <f t="shared" si="11"/>
        <v>2.2859999999999996</v>
      </c>
      <c r="D115" s="47">
        <f t="shared" si="7"/>
        <v>5.5999529411764701</v>
      </c>
      <c r="E115" s="47">
        <f t="shared" si="8"/>
        <v>9.846214244893936</v>
      </c>
      <c r="F115" s="47">
        <f t="shared" si="9"/>
        <v>-3.3139529411764705</v>
      </c>
      <c r="G115" s="24">
        <f t="shared" si="10"/>
        <v>-0.33657128097685107</v>
      </c>
      <c r="H115">
        <v>-0.5</v>
      </c>
    </row>
    <row r="116" spans="1:8" x14ac:dyDescent="0.25">
      <c r="A116" s="56">
        <v>43943</v>
      </c>
      <c r="B116" s="29">
        <v>0.11</v>
      </c>
      <c r="C116" s="36">
        <f t="shared" si="11"/>
        <v>2.794</v>
      </c>
      <c r="D116" s="47">
        <f t="shared" si="7"/>
        <v>5.5999529411764701</v>
      </c>
      <c r="E116" s="47">
        <f t="shared" si="8"/>
        <v>9.846214244893936</v>
      </c>
      <c r="F116" s="47">
        <f t="shared" si="9"/>
        <v>-2.8059529411764701</v>
      </c>
      <c r="G116" s="24">
        <f t="shared" si="10"/>
        <v>-0.28497784746371785</v>
      </c>
      <c r="H116">
        <v>-0.5</v>
      </c>
    </row>
    <row r="117" spans="1:8" x14ac:dyDescent="0.25">
      <c r="A117" s="56">
        <v>43973</v>
      </c>
      <c r="B117" s="29">
        <v>0.01</v>
      </c>
      <c r="C117" s="36">
        <f t="shared" si="11"/>
        <v>0.254</v>
      </c>
      <c r="D117" s="47">
        <f t="shared" si="7"/>
        <v>5.5999529411764701</v>
      </c>
      <c r="E117" s="47">
        <f t="shared" si="8"/>
        <v>9.846214244893936</v>
      </c>
      <c r="F117" s="47">
        <f t="shared" si="9"/>
        <v>-5.3459529411764706</v>
      </c>
      <c r="G117" s="24">
        <f t="shared" si="10"/>
        <v>-0.54294501502938375</v>
      </c>
      <c r="H117">
        <v>-0.5</v>
      </c>
    </row>
    <row r="118" spans="1:8" x14ac:dyDescent="0.25">
      <c r="A118" s="56">
        <v>44004</v>
      </c>
      <c r="B118" s="29">
        <v>0.05</v>
      </c>
      <c r="C118" s="36">
        <f t="shared" si="11"/>
        <v>1.27</v>
      </c>
      <c r="D118" s="47">
        <f t="shared" si="7"/>
        <v>5.5999529411764701</v>
      </c>
      <c r="E118" s="47">
        <f t="shared" si="8"/>
        <v>9.846214244893936</v>
      </c>
      <c r="F118" s="47">
        <f t="shared" si="9"/>
        <v>-4.3299529411764706</v>
      </c>
      <c r="G118" s="24">
        <f t="shared" si="10"/>
        <v>-0.43975814800311741</v>
      </c>
      <c r="H118">
        <v>-0.5</v>
      </c>
    </row>
    <row r="119" spans="1:8" x14ac:dyDescent="0.25">
      <c r="A119" s="56">
        <v>44034</v>
      </c>
      <c r="B119" s="29">
        <v>0.04</v>
      </c>
      <c r="C119" s="36">
        <f t="shared" si="11"/>
        <v>1.016</v>
      </c>
      <c r="D119" s="47">
        <f t="shared" si="7"/>
        <v>5.5999529411764701</v>
      </c>
      <c r="E119" s="47">
        <f t="shared" si="8"/>
        <v>9.846214244893936</v>
      </c>
      <c r="F119" s="47">
        <f t="shared" si="9"/>
        <v>-4.5839529411764701</v>
      </c>
      <c r="G119" s="24">
        <f t="shared" si="10"/>
        <v>-0.46555486475968394</v>
      </c>
      <c r="H119">
        <v>-0.5</v>
      </c>
    </row>
    <row r="120" spans="1:8" x14ac:dyDescent="0.25">
      <c r="A120" s="56">
        <v>44065</v>
      </c>
      <c r="B120" s="29">
        <v>0</v>
      </c>
      <c r="C120" s="36">
        <f t="shared" si="11"/>
        <v>0</v>
      </c>
      <c r="D120" s="47">
        <f t="shared" si="7"/>
        <v>5.5999529411764701</v>
      </c>
      <c r="E120" s="47">
        <f t="shared" si="8"/>
        <v>9.846214244893936</v>
      </c>
      <c r="F120" s="47">
        <f t="shared" si="9"/>
        <v>-5.5999529411764701</v>
      </c>
      <c r="G120" s="24">
        <f t="shared" si="10"/>
        <v>-0.56874173178595033</v>
      </c>
      <c r="H120">
        <v>-0.5</v>
      </c>
    </row>
    <row r="121" spans="1:8" x14ac:dyDescent="0.25">
      <c r="A121" s="56">
        <v>44096</v>
      </c>
      <c r="B121" s="29">
        <v>0.05</v>
      </c>
      <c r="C121" s="36">
        <f t="shared" si="11"/>
        <v>1.27</v>
      </c>
      <c r="D121" s="47">
        <f t="shared" si="7"/>
        <v>5.5999529411764701</v>
      </c>
      <c r="E121" s="47">
        <f t="shared" si="8"/>
        <v>9.846214244893936</v>
      </c>
      <c r="F121" s="47">
        <f t="shared" si="9"/>
        <v>-4.3299529411764706</v>
      </c>
      <c r="G121" s="24">
        <f t="shared" si="10"/>
        <v>-0.43975814800311741</v>
      </c>
      <c r="H121">
        <v>-0.5</v>
      </c>
    </row>
    <row r="122" spans="1:8" x14ac:dyDescent="0.25">
      <c r="A122" s="56">
        <v>44126</v>
      </c>
      <c r="B122" s="29">
        <v>0.04</v>
      </c>
      <c r="C122" s="36">
        <f t="shared" si="11"/>
        <v>1.016</v>
      </c>
      <c r="D122" s="47">
        <f t="shared" si="7"/>
        <v>5.5999529411764701</v>
      </c>
      <c r="E122" s="47">
        <f t="shared" si="8"/>
        <v>9.846214244893936</v>
      </c>
      <c r="F122" s="47">
        <f t="shared" si="9"/>
        <v>-4.5839529411764701</v>
      </c>
      <c r="G122" s="24">
        <f t="shared" si="10"/>
        <v>-0.46555486475968394</v>
      </c>
      <c r="H122">
        <v>-0.5</v>
      </c>
    </row>
    <row r="123" spans="1:8" x14ac:dyDescent="0.25">
      <c r="A123" s="56">
        <v>44157</v>
      </c>
      <c r="B123" s="29">
        <v>0.04</v>
      </c>
      <c r="C123" s="36">
        <f t="shared" si="11"/>
        <v>1.016</v>
      </c>
      <c r="D123" s="47">
        <f t="shared" si="7"/>
        <v>5.5999529411764701</v>
      </c>
      <c r="E123" s="47">
        <f t="shared" si="8"/>
        <v>9.846214244893936</v>
      </c>
      <c r="F123" s="47">
        <f t="shared" si="9"/>
        <v>-4.5839529411764701</v>
      </c>
      <c r="G123" s="24">
        <f t="shared" si="10"/>
        <v>-0.46555486475968394</v>
      </c>
      <c r="H123">
        <v>-0.5</v>
      </c>
    </row>
    <row r="124" spans="1:8" x14ac:dyDescent="0.25">
      <c r="A124" s="56">
        <v>44187</v>
      </c>
      <c r="B124" s="29">
        <v>0.08</v>
      </c>
      <c r="C124" s="36">
        <f t="shared" si="11"/>
        <v>2.032</v>
      </c>
      <c r="D124" s="47">
        <f t="shared" si="7"/>
        <v>5.5999529411764701</v>
      </c>
      <c r="E124" s="47">
        <f t="shared" si="8"/>
        <v>9.846214244893936</v>
      </c>
      <c r="F124" s="47">
        <f t="shared" si="9"/>
        <v>-3.5679529411764701</v>
      </c>
      <c r="G124" s="24">
        <f t="shared" si="10"/>
        <v>-0.3623679977334176</v>
      </c>
      <c r="H124">
        <v>-0.5</v>
      </c>
    </row>
    <row r="125" spans="1:8" x14ac:dyDescent="0.25">
      <c r="A125" s="56">
        <v>44218</v>
      </c>
      <c r="B125" s="29">
        <v>0.34</v>
      </c>
      <c r="C125" s="36">
        <f t="shared" si="11"/>
        <v>8.636000000000001</v>
      </c>
      <c r="D125" s="47">
        <f t="shared" si="7"/>
        <v>5.5999529411764701</v>
      </c>
      <c r="E125" s="47">
        <f t="shared" si="8"/>
        <v>9.846214244893936</v>
      </c>
      <c r="F125" s="47">
        <f t="shared" si="9"/>
        <v>3.0360470588235309</v>
      </c>
      <c r="G125" s="24">
        <f t="shared" si="10"/>
        <v>0.30834663793731365</v>
      </c>
      <c r="H125">
        <v>-0.5</v>
      </c>
    </row>
    <row r="126" spans="1:8" x14ac:dyDescent="0.25">
      <c r="A126" s="56">
        <v>44249</v>
      </c>
      <c r="B126" s="29">
        <v>1.88</v>
      </c>
      <c r="C126" s="36">
        <f t="shared" si="11"/>
        <v>47.751999999999995</v>
      </c>
      <c r="D126" s="47">
        <f t="shared" si="7"/>
        <v>5.5999529411764701</v>
      </c>
      <c r="E126" s="47">
        <f t="shared" si="8"/>
        <v>9.846214244893936</v>
      </c>
      <c r="F126" s="47">
        <f t="shared" si="9"/>
        <v>42.152047058823527</v>
      </c>
      <c r="G126" s="24">
        <f t="shared" si="10"/>
        <v>4.2810410184485672</v>
      </c>
      <c r="H126">
        <v>-0.5</v>
      </c>
    </row>
    <row r="127" spans="1:8" x14ac:dyDescent="0.25">
      <c r="A127" s="56">
        <v>44277</v>
      </c>
      <c r="B127" s="29">
        <v>0.08</v>
      </c>
      <c r="C127" s="36">
        <f t="shared" si="11"/>
        <v>2.032</v>
      </c>
      <c r="D127" s="47">
        <f t="shared" si="7"/>
        <v>5.5999529411764701</v>
      </c>
      <c r="E127" s="47">
        <f t="shared" si="8"/>
        <v>9.846214244893936</v>
      </c>
      <c r="F127" s="47">
        <f t="shared" si="9"/>
        <v>-3.5679529411764701</v>
      </c>
      <c r="G127" s="24">
        <f t="shared" si="10"/>
        <v>-0.3623679977334176</v>
      </c>
      <c r="H127">
        <v>-0.5</v>
      </c>
    </row>
    <row r="128" spans="1:8" x14ac:dyDescent="0.25">
      <c r="A128" s="56">
        <v>44308</v>
      </c>
      <c r="B128" s="29">
        <v>0.03</v>
      </c>
      <c r="C128" s="36">
        <f t="shared" si="11"/>
        <v>0.7619999999999999</v>
      </c>
      <c r="D128" s="47">
        <f t="shared" si="7"/>
        <v>5.5999529411764701</v>
      </c>
      <c r="E128" s="47">
        <f t="shared" si="8"/>
        <v>9.846214244893936</v>
      </c>
      <c r="F128" s="47">
        <f t="shared" si="9"/>
        <v>-4.8379529411764706</v>
      </c>
      <c r="G128" s="24">
        <f t="shared" si="10"/>
        <v>-0.49135158151625058</v>
      </c>
      <c r="H128">
        <v>-0.5</v>
      </c>
    </row>
    <row r="129" spans="1:8" x14ac:dyDescent="0.25">
      <c r="A129" s="56">
        <v>44338</v>
      </c>
      <c r="B129" s="29">
        <v>0.09</v>
      </c>
      <c r="C129" s="36">
        <f t="shared" si="11"/>
        <v>2.2859999999999996</v>
      </c>
      <c r="D129" s="47">
        <f t="shared" si="7"/>
        <v>5.5999529411764701</v>
      </c>
      <c r="E129" s="47">
        <f t="shared" si="8"/>
        <v>9.846214244893936</v>
      </c>
      <c r="F129" s="47">
        <f t="shared" si="9"/>
        <v>-3.3139529411764705</v>
      </c>
      <c r="G129" s="24">
        <f t="shared" si="10"/>
        <v>-0.33657128097685107</v>
      </c>
      <c r="H129">
        <v>-0.5</v>
      </c>
    </row>
    <row r="130" spans="1:8" x14ac:dyDescent="0.25">
      <c r="A130" s="56">
        <v>44369</v>
      </c>
      <c r="B130" s="29">
        <v>0.08</v>
      </c>
      <c r="C130" s="36">
        <f t="shared" si="11"/>
        <v>2.032</v>
      </c>
      <c r="D130" s="47">
        <f t="shared" si="7"/>
        <v>5.5999529411764701</v>
      </c>
      <c r="E130" s="47">
        <f t="shared" si="8"/>
        <v>9.846214244893936</v>
      </c>
      <c r="F130" s="47">
        <f t="shared" si="9"/>
        <v>-3.5679529411764701</v>
      </c>
      <c r="G130" s="24">
        <f t="shared" si="10"/>
        <v>-0.3623679977334176</v>
      </c>
      <c r="H130">
        <v>-0.5</v>
      </c>
    </row>
    <row r="131" spans="1:8" x14ac:dyDescent="0.25">
      <c r="A131" s="56">
        <v>44399</v>
      </c>
      <c r="B131" s="29">
        <v>0.08</v>
      </c>
      <c r="C131" s="36">
        <f t="shared" si="11"/>
        <v>2.032</v>
      </c>
      <c r="D131" s="47">
        <f t="shared" si="7"/>
        <v>5.5999529411764701</v>
      </c>
      <c r="E131" s="47">
        <f t="shared" si="8"/>
        <v>9.846214244893936</v>
      </c>
      <c r="F131" s="47">
        <f t="shared" si="9"/>
        <v>-3.5679529411764701</v>
      </c>
      <c r="G131" s="24">
        <f t="shared" si="10"/>
        <v>-0.3623679977334176</v>
      </c>
      <c r="H131">
        <v>-0.5</v>
      </c>
    </row>
    <row r="132" spans="1:8" x14ac:dyDescent="0.25">
      <c r="A132" s="56">
        <v>44430</v>
      </c>
      <c r="B132" s="29">
        <v>0.06</v>
      </c>
      <c r="C132" s="36">
        <f t="shared" si="11"/>
        <v>1.5239999999999998</v>
      </c>
      <c r="D132" s="47">
        <f t="shared" si="7"/>
        <v>5.5999529411764701</v>
      </c>
      <c r="E132" s="47">
        <f t="shared" si="8"/>
        <v>9.846214244893936</v>
      </c>
      <c r="F132" s="47">
        <f t="shared" si="9"/>
        <v>-4.0759529411764701</v>
      </c>
      <c r="G132" s="24">
        <f t="shared" si="10"/>
        <v>-0.41396143124655077</v>
      </c>
      <c r="H132">
        <v>-0.5</v>
      </c>
    </row>
    <row r="133" spans="1:8" x14ac:dyDescent="0.25">
      <c r="A133" s="56">
        <v>44461</v>
      </c>
      <c r="B133" s="29">
        <v>0.11</v>
      </c>
      <c r="C133" s="36">
        <f t="shared" ref="C133:C164" si="12">$D$1*B133</f>
        <v>2.794</v>
      </c>
      <c r="D133" s="47">
        <f t="shared" si="7"/>
        <v>5.5999529411764701</v>
      </c>
      <c r="E133" s="47">
        <f t="shared" si="8"/>
        <v>9.846214244893936</v>
      </c>
      <c r="F133" s="47">
        <f t="shared" si="9"/>
        <v>-2.8059529411764701</v>
      </c>
      <c r="G133" s="24">
        <f t="shared" si="10"/>
        <v>-0.28497784746371785</v>
      </c>
      <c r="H133">
        <v>-0.5</v>
      </c>
    </row>
    <row r="134" spans="1:8" x14ac:dyDescent="0.25">
      <c r="A134" s="56">
        <v>44491</v>
      </c>
      <c r="B134" s="29">
        <v>0.04</v>
      </c>
      <c r="C134" s="36">
        <f t="shared" si="12"/>
        <v>1.016</v>
      </c>
      <c r="D134" s="47">
        <f t="shared" ref="D134:D175" si="13">AVERAGE($C$5:$C$174)</f>
        <v>5.5999529411764701</v>
      </c>
      <c r="E134" s="47">
        <f t="shared" ref="E134:E175" si="14">_xlfn.STDEV.S($C$5:$C$174)</f>
        <v>9.846214244893936</v>
      </c>
      <c r="F134" s="47">
        <f t="shared" ref="F134:F174" si="15">C134-D134</f>
        <v>-4.5839529411764701</v>
      </c>
      <c r="G134" s="24">
        <f t="shared" ref="G134:G144" si="16">F134/E134</f>
        <v>-0.46555486475968394</v>
      </c>
      <c r="H134">
        <v>-0.5</v>
      </c>
    </row>
    <row r="135" spans="1:8" x14ac:dyDescent="0.25">
      <c r="A135" s="56">
        <v>44522</v>
      </c>
      <c r="B135" s="29">
        <v>0.1</v>
      </c>
      <c r="C135" s="36">
        <f t="shared" si="12"/>
        <v>2.54</v>
      </c>
      <c r="D135" s="47">
        <f t="shared" si="13"/>
        <v>5.5999529411764701</v>
      </c>
      <c r="E135" s="47">
        <f t="shared" si="14"/>
        <v>9.846214244893936</v>
      </c>
      <c r="F135" s="47">
        <f t="shared" si="15"/>
        <v>-3.0599529411764701</v>
      </c>
      <c r="G135" s="24">
        <f t="shared" si="16"/>
        <v>-0.31077456422028443</v>
      </c>
      <c r="H135">
        <v>-0.5</v>
      </c>
    </row>
    <row r="136" spans="1:8" x14ac:dyDescent="0.25">
      <c r="A136" s="56">
        <v>44552</v>
      </c>
      <c r="B136" s="29">
        <v>0.71</v>
      </c>
      <c r="C136" s="36">
        <f t="shared" si="12"/>
        <v>18.033999999999999</v>
      </c>
      <c r="D136" s="47">
        <f t="shared" si="13"/>
        <v>5.5999529411764701</v>
      </c>
      <c r="E136" s="47">
        <f t="shared" si="14"/>
        <v>9.846214244893936</v>
      </c>
      <c r="F136" s="47">
        <f t="shared" si="15"/>
        <v>12.434047058823529</v>
      </c>
      <c r="G136" s="24">
        <f t="shared" si="16"/>
        <v>1.2628251579302772</v>
      </c>
      <c r="H136">
        <v>-0.5</v>
      </c>
    </row>
    <row r="137" spans="1:8" x14ac:dyDescent="0.25">
      <c r="A137" s="56">
        <v>44583</v>
      </c>
      <c r="B137" s="29">
        <v>0.95</v>
      </c>
      <c r="C137" s="36">
        <f t="shared" si="12"/>
        <v>24.13</v>
      </c>
      <c r="D137" s="47">
        <f t="shared" si="13"/>
        <v>5.5999529411764701</v>
      </c>
      <c r="E137" s="47">
        <f t="shared" si="14"/>
        <v>9.846214244893936</v>
      </c>
      <c r="F137" s="47">
        <f t="shared" si="15"/>
        <v>18.530047058823527</v>
      </c>
      <c r="G137" s="24">
        <f t="shared" si="16"/>
        <v>1.881946360087875</v>
      </c>
      <c r="H137">
        <v>-0.5</v>
      </c>
    </row>
    <row r="138" spans="1:8" x14ac:dyDescent="0.25">
      <c r="A138" s="56">
        <v>44614</v>
      </c>
      <c r="B138" s="29">
        <v>0.14000000000000001</v>
      </c>
      <c r="C138" s="36">
        <f t="shared" si="12"/>
        <v>3.556</v>
      </c>
      <c r="D138" s="47">
        <f t="shared" si="13"/>
        <v>5.5999529411764701</v>
      </c>
      <c r="E138" s="47">
        <f t="shared" si="14"/>
        <v>9.846214244893936</v>
      </c>
      <c r="F138" s="47">
        <f t="shared" si="15"/>
        <v>-2.0439529411764701</v>
      </c>
      <c r="G138" s="24">
        <f t="shared" si="16"/>
        <v>-0.20758769719401812</v>
      </c>
      <c r="H138">
        <v>-0.5</v>
      </c>
    </row>
    <row r="139" spans="1:8" x14ac:dyDescent="0.25">
      <c r="A139" s="56">
        <v>44642</v>
      </c>
      <c r="B139" s="29">
        <v>0.6</v>
      </c>
      <c r="C139" s="36">
        <f t="shared" si="12"/>
        <v>15.239999999999998</v>
      </c>
      <c r="D139" s="47">
        <f t="shared" si="13"/>
        <v>5.5999529411764701</v>
      </c>
      <c r="E139" s="47">
        <f t="shared" si="14"/>
        <v>9.846214244893936</v>
      </c>
      <c r="F139" s="47">
        <f t="shared" si="15"/>
        <v>9.6400470588235283</v>
      </c>
      <c r="G139" s="24">
        <f t="shared" si="16"/>
        <v>0.97906127360804462</v>
      </c>
      <c r="H139">
        <v>-0.5</v>
      </c>
    </row>
    <row r="140" spans="1:8" x14ac:dyDescent="0.25">
      <c r="A140" s="56">
        <v>44673</v>
      </c>
      <c r="B140" s="29">
        <v>0.76</v>
      </c>
      <c r="C140" s="36">
        <f t="shared" si="12"/>
        <v>19.303999999999998</v>
      </c>
      <c r="D140" s="47">
        <f t="shared" si="13"/>
        <v>5.5999529411764701</v>
      </c>
      <c r="E140" s="47">
        <f t="shared" si="14"/>
        <v>9.846214244893936</v>
      </c>
      <c r="F140" s="47">
        <f t="shared" si="15"/>
        <v>13.704047058823528</v>
      </c>
      <c r="G140" s="24">
        <f t="shared" si="16"/>
        <v>1.39180874171311</v>
      </c>
      <c r="H140">
        <v>-0.5</v>
      </c>
    </row>
    <row r="141" spans="1:8" x14ac:dyDescent="0.25">
      <c r="A141" s="56">
        <v>44703</v>
      </c>
      <c r="B141" s="29">
        <v>0.31</v>
      </c>
      <c r="C141" s="36">
        <f t="shared" si="12"/>
        <v>7.8739999999999997</v>
      </c>
      <c r="D141" s="47">
        <f t="shared" si="13"/>
        <v>5.5999529411764701</v>
      </c>
      <c r="E141" s="47">
        <f t="shared" si="14"/>
        <v>9.846214244893936</v>
      </c>
      <c r="F141" s="47">
        <f t="shared" si="15"/>
        <v>2.2740470588235295</v>
      </c>
      <c r="G141" s="24">
        <f t="shared" si="16"/>
        <v>0.23095648766761379</v>
      </c>
      <c r="H141">
        <v>-0.5</v>
      </c>
    </row>
    <row r="142" spans="1:8" x14ac:dyDescent="0.25">
      <c r="A142" s="56">
        <v>44734</v>
      </c>
      <c r="B142" s="29">
        <v>0.27</v>
      </c>
      <c r="C142" s="36">
        <f t="shared" si="12"/>
        <v>6.8579999999999997</v>
      </c>
      <c r="D142" s="47">
        <f t="shared" si="13"/>
        <v>5.5999529411764701</v>
      </c>
      <c r="E142" s="47">
        <f t="shared" si="14"/>
        <v>9.846214244893936</v>
      </c>
      <c r="F142" s="47">
        <f t="shared" si="15"/>
        <v>1.2580470588235295</v>
      </c>
      <c r="G142" s="24">
        <f t="shared" si="16"/>
        <v>0.12776962064134745</v>
      </c>
      <c r="H142">
        <v>-0.5</v>
      </c>
    </row>
    <row r="143" spans="1:8" x14ac:dyDescent="0.25">
      <c r="A143" s="56">
        <v>44764</v>
      </c>
      <c r="B143" s="29">
        <v>0.16</v>
      </c>
      <c r="C143" s="36">
        <f t="shared" si="12"/>
        <v>4.0640000000000001</v>
      </c>
      <c r="D143" s="47">
        <f t="shared" si="13"/>
        <v>5.5999529411764701</v>
      </c>
      <c r="E143" s="47">
        <f t="shared" si="14"/>
        <v>9.846214244893936</v>
      </c>
      <c r="F143" s="47">
        <f t="shared" si="15"/>
        <v>-1.5359529411764701</v>
      </c>
      <c r="G143" s="24">
        <f t="shared" si="16"/>
        <v>-0.15599426368088495</v>
      </c>
      <c r="H143">
        <v>-0.5</v>
      </c>
    </row>
    <row r="144" spans="1:8" x14ac:dyDescent="0.25">
      <c r="A144" s="56">
        <v>44795</v>
      </c>
      <c r="B144" s="29">
        <v>0.08</v>
      </c>
      <c r="C144" s="36">
        <f t="shared" si="12"/>
        <v>2.032</v>
      </c>
      <c r="D144" s="47">
        <f t="shared" si="13"/>
        <v>5.5999529411764701</v>
      </c>
      <c r="E144" s="47">
        <f t="shared" si="14"/>
        <v>9.846214244893936</v>
      </c>
      <c r="F144" s="47">
        <f t="shared" si="15"/>
        <v>-3.5679529411764701</v>
      </c>
      <c r="G144" s="24">
        <f t="shared" si="16"/>
        <v>-0.3623679977334176</v>
      </c>
      <c r="H144">
        <v>-0.5</v>
      </c>
    </row>
    <row r="145" spans="1:8" x14ac:dyDescent="0.25">
      <c r="A145" s="56">
        <v>44826</v>
      </c>
      <c r="B145" s="29">
        <v>0.14000000000000001</v>
      </c>
      <c r="C145" s="36">
        <f t="shared" si="12"/>
        <v>3.556</v>
      </c>
      <c r="D145" s="47">
        <f t="shared" si="13"/>
        <v>5.5999529411764701</v>
      </c>
      <c r="E145" s="47">
        <f t="shared" si="14"/>
        <v>9.846214244893936</v>
      </c>
      <c r="F145" s="47">
        <f t="shared" si="15"/>
        <v>-2.0439529411764701</v>
      </c>
      <c r="G145" s="24">
        <f>F145/E145</f>
        <v>-0.20758769719401812</v>
      </c>
      <c r="H145">
        <v>-0.5</v>
      </c>
    </row>
    <row r="146" spans="1:8" x14ac:dyDescent="0.25">
      <c r="A146" s="56">
        <v>44856</v>
      </c>
      <c r="B146" s="29">
        <v>0.08</v>
      </c>
      <c r="C146" s="36">
        <f t="shared" si="12"/>
        <v>2.032</v>
      </c>
      <c r="D146" s="47">
        <f t="shared" si="13"/>
        <v>5.5999529411764701</v>
      </c>
      <c r="E146" s="47">
        <f t="shared" si="14"/>
        <v>9.846214244893936</v>
      </c>
      <c r="F146" s="47">
        <f t="shared" si="15"/>
        <v>-3.5679529411764701</v>
      </c>
      <c r="G146" s="24">
        <f t="shared" ref="G146:G174" si="17">F146/E146</f>
        <v>-0.3623679977334176</v>
      </c>
      <c r="H146">
        <v>-0.5</v>
      </c>
    </row>
    <row r="147" spans="1:8" x14ac:dyDescent="0.25">
      <c r="A147" s="56">
        <v>44887</v>
      </c>
      <c r="B147" s="29">
        <v>0.71</v>
      </c>
      <c r="C147" s="36">
        <f t="shared" si="12"/>
        <v>18.033999999999999</v>
      </c>
      <c r="D147" s="47">
        <f t="shared" si="13"/>
        <v>5.5999529411764701</v>
      </c>
      <c r="E147" s="47">
        <f t="shared" si="14"/>
        <v>9.846214244893936</v>
      </c>
      <c r="F147" s="47">
        <f t="shared" si="15"/>
        <v>12.434047058823529</v>
      </c>
      <c r="G147" s="24">
        <f t="shared" si="17"/>
        <v>1.2628251579302772</v>
      </c>
      <c r="H147">
        <v>-0.5</v>
      </c>
    </row>
    <row r="148" spans="1:8" x14ac:dyDescent="0.25">
      <c r="A148" s="56">
        <v>44917</v>
      </c>
      <c r="B148" s="29">
        <v>1.58</v>
      </c>
      <c r="C148" s="36">
        <f t="shared" si="12"/>
        <v>40.131999999999998</v>
      </c>
      <c r="D148" s="47">
        <f t="shared" si="13"/>
        <v>5.5999529411764701</v>
      </c>
      <c r="E148" s="47">
        <f t="shared" si="14"/>
        <v>9.846214244893936</v>
      </c>
      <c r="F148" s="47">
        <f t="shared" si="15"/>
        <v>34.53204705882353</v>
      </c>
      <c r="G148" s="24">
        <f t="shared" si="17"/>
        <v>3.5071395157515699</v>
      </c>
      <c r="H148">
        <v>-0.5</v>
      </c>
    </row>
    <row r="149" spans="1:8" x14ac:dyDescent="0.25">
      <c r="A149" s="56">
        <v>44948</v>
      </c>
      <c r="B149" s="29">
        <v>-0.08</v>
      </c>
      <c r="C149" s="36">
        <f t="shared" si="12"/>
        <v>-2.032</v>
      </c>
      <c r="D149" s="47">
        <f t="shared" si="13"/>
        <v>5.5999529411764701</v>
      </c>
      <c r="E149" s="47">
        <f t="shared" si="14"/>
        <v>9.846214244893936</v>
      </c>
      <c r="F149" s="47">
        <f t="shared" si="15"/>
        <v>-7.6319529411764702</v>
      </c>
      <c r="G149" s="24">
        <f t="shared" si="17"/>
        <v>-0.77511546583848301</v>
      </c>
      <c r="H149">
        <v>-0.5</v>
      </c>
    </row>
    <row r="150" spans="1:8" x14ac:dyDescent="0.25">
      <c r="A150" s="56">
        <v>44979</v>
      </c>
      <c r="B150" s="29">
        <v>1.74</v>
      </c>
      <c r="C150" s="36">
        <f t="shared" si="12"/>
        <v>44.195999999999998</v>
      </c>
      <c r="D150" s="47">
        <f t="shared" si="13"/>
        <v>5.5999529411764701</v>
      </c>
      <c r="E150" s="47">
        <f t="shared" si="14"/>
        <v>9.846214244893936</v>
      </c>
      <c r="F150" s="47">
        <f t="shared" si="15"/>
        <v>38.59604705882353</v>
      </c>
      <c r="G150" s="24">
        <f t="shared" si="17"/>
        <v>3.9198869838566353</v>
      </c>
      <c r="H150">
        <v>-0.5</v>
      </c>
    </row>
    <row r="151" spans="1:8" x14ac:dyDescent="0.25">
      <c r="A151" s="56">
        <v>45007</v>
      </c>
      <c r="B151" s="29">
        <v>0.25</v>
      </c>
      <c r="C151" s="36">
        <f t="shared" si="12"/>
        <v>6.35</v>
      </c>
      <c r="D151" s="47">
        <f t="shared" si="13"/>
        <v>5.5999529411764701</v>
      </c>
      <c r="E151" s="47">
        <f t="shared" si="14"/>
        <v>9.846214244893936</v>
      </c>
      <c r="F151" s="47">
        <f t="shared" si="15"/>
        <v>0.75004705882352951</v>
      </c>
      <c r="G151" s="24">
        <f t="shared" si="17"/>
        <v>7.6176187128214279E-2</v>
      </c>
      <c r="H151">
        <v>-0.5</v>
      </c>
    </row>
    <row r="152" spans="1:8" x14ac:dyDescent="0.25">
      <c r="A152" s="56">
        <v>45038</v>
      </c>
      <c r="B152" s="29">
        <v>0.11</v>
      </c>
      <c r="C152" s="36">
        <f t="shared" si="12"/>
        <v>2.794</v>
      </c>
      <c r="D152" s="47">
        <f t="shared" si="13"/>
        <v>5.5999529411764701</v>
      </c>
      <c r="E152" s="47">
        <f t="shared" si="14"/>
        <v>9.846214244893936</v>
      </c>
      <c r="F152" s="47">
        <f t="shared" si="15"/>
        <v>-2.8059529411764701</v>
      </c>
      <c r="G152" s="24">
        <f t="shared" si="17"/>
        <v>-0.28497784746371785</v>
      </c>
      <c r="H152">
        <v>-0.5</v>
      </c>
    </row>
    <row r="153" spans="1:8" x14ac:dyDescent="0.25">
      <c r="A153" s="56">
        <v>45068</v>
      </c>
      <c r="B153" s="29">
        <v>0.21</v>
      </c>
      <c r="C153" s="36">
        <f t="shared" si="12"/>
        <v>5.3339999999999996</v>
      </c>
      <c r="D153" s="47">
        <f t="shared" si="13"/>
        <v>5.5999529411764701</v>
      </c>
      <c r="E153" s="47">
        <f t="shared" si="14"/>
        <v>9.846214244893936</v>
      </c>
      <c r="F153" s="47">
        <f t="shared" si="15"/>
        <v>-0.2659529411764705</v>
      </c>
      <c r="G153" s="24">
        <f t="shared" si="17"/>
        <v>-2.7010679898052063E-2</v>
      </c>
      <c r="H153">
        <v>-0.5</v>
      </c>
    </row>
    <row r="154" spans="1:8" x14ac:dyDescent="0.25">
      <c r="A154" s="56">
        <v>45099</v>
      </c>
      <c r="B154" s="29">
        <v>0.19</v>
      </c>
      <c r="C154" s="36">
        <f t="shared" si="12"/>
        <v>4.8259999999999996</v>
      </c>
      <c r="D154" s="47">
        <f t="shared" si="13"/>
        <v>5.5999529411764701</v>
      </c>
      <c r="E154" s="47">
        <f t="shared" si="14"/>
        <v>9.846214244893936</v>
      </c>
      <c r="F154" s="47">
        <f t="shared" si="15"/>
        <v>-0.77395294117647051</v>
      </c>
      <c r="G154" s="24">
        <f t="shared" si="17"/>
        <v>-7.8604113411185228E-2</v>
      </c>
      <c r="H154">
        <v>-0.5</v>
      </c>
    </row>
    <row r="155" spans="1:8" x14ac:dyDescent="0.25">
      <c r="A155" s="56">
        <v>45129</v>
      </c>
      <c r="B155" s="29">
        <v>0.13</v>
      </c>
      <c r="C155" s="36">
        <f t="shared" si="12"/>
        <v>3.302</v>
      </c>
      <c r="D155" s="47">
        <f t="shared" si="13"/>
        <v>5.5999529411764701</v>
      </c>
      <c r="E155" s="47">
        <f t="shared" si="14"/>
        <v>9.846214244893936</v>
      </c>
      <c r="F155" s="47">
        <f t="shared" si="15"/>
        <v>-2.2979529411764701</v>
      </c>
      <c r="G155" s="24">
        <f t="shared" si="17"/>
        <v>-0.23338441395058471</v>
      </c>
      <c r="H155">
        <v>-0.5</v>
      </c>
    </row>
    <row r="156" spans="1:8" x14ac:dyDescent="0.25">
      <c r="A156" s="56">
        <v>45160</v>
      </c>
      <c r="B156" s="29">
        <v>0.14000000000000001</v>
      </c>
      <c r="C156" s="36">
        <f t="shared" si="12"/>
        <v>3.556</v>
      </c>
      <c r="D156" s="47">
        <f t="shared" si="13"/>
        <v>5.5999529411764701</v>
      </c>
      <c r="E156" s="47">
        <f t="shared" si="14"/>
        <v>9.846214244893936</v>
      </c>
      <c r="F156" s="47">
        <f t="shared" si="15"/>
        <v>-2.0439529411764701</v>
      </c>
      <c r="G156" s="24">
        <f t="shared" si="17"/>
        <v>-0.20758769719401812</v>
      </c>
      <c r="H156">
        <v>-0.5</v>
      </c>
    </row>
    <row r="157" spans="1:8" x14ac:dyDescent="0.25">
      <c r="A157" s="56">
        <v>45191</v>
      </c>
      <c r="B157" s="29">
        <v>0.09</v>
      </c>
      <c r="C157" s="36">
        <f t="shared" si="12"/>
        <v>2.2859999999999996</v>
      </c>
      <c r="D157" s="47">
        <f t="shared" si="13"/>
        <v>5.5999529411764701</v>
      </c>
      <c r="E157" s="47">
        <f t="shared" si="14"/>
        <v>9.846214244893936</v>
      </c>
      <c r="F157" s="47">
        <f t="shared" si="15"/>
        <v>-3.3139529411764705</v>
      </c>
      <c r="G157" s="24">
        <f t="shared" si="17"/>
        <v>-0.33657128097685107</v>
      </c>
      <c r="H157">
        <v>-0.5</v>
      </c>
    </row>
    <row r="158" spans="1:8" x14ac:dyDescent="0.25">
      <c r="A158" s="56">
        <v>45221</v>
      </c>
      <c r="B158" s="29">
        <v>0.26</v>
      </c>
      <c r="C158" s="36">
        <f t="shared" si="12"/>
        <v>6.6040000000000001</v>
      </c>
      <c r="D158" s="47">
        <f t="shared" si="13"/>
        <v>5.5999529411764701</v>
      </c>
      <c r="E158" s="47">
        <f t="shared" si="14"/>
        <v>9.846214244893936</v>
      </c>
      <c r="F158" s="47">
        <f t="shared" si="15"/>
        <v>1.00404705882353</v>
      </c>
      <c r="G158" s="24">
        <f t="shared" si="17"/>
        <v>0.1019729038847809</v>
      </c>
      <c r="H158">
        <v>-0.5</v>
      </c>
    </row>
    <row r="159" spans="1:8" x14ac:dyDescent="0.25">
      <c r="A159" s="56">
        <v>45252</v>
      </c>
      <c r="B159" s="29">
        <v>0.19</v>
      </c>
      <c r="C159" s="36">
        <f t="shared" si="12"/>
        <v>4.8259999999999996</v>
      </c>
      <c r="D159" s="47">
        <f t="shared" si="13"/>
        <v>5.5999529411764701</v>
      </c>
      <c r="E159" s="47">
        <f t="shared" si="14"/>
        <v>9.846214244893936</v>
      </c>
      <c r="F159" s="47">
        <f t="shared" si="15"/>
        <v>-0.77395294117647051</v>
      </c>
      <c r="G159" s="24">
        <f t="shared" si="17"/>
        <v>-7.8604113411185228E-2</v>
      </c>
      <c r="H159">
        <v>-0.5</v>
      </c>
    </row>
    <row r="160" spans="1:8" x14ac:dyDescent="0.25">
      <c r="A160" s="56">
        <v>45282</v>
      </c>
      <c r="B160" s="36">
        <v>1.08</v>
      </c>
      <c r="C160" s="36">
        <f t="shared" si="12"/>
        <v>27.431999999999999</v>
      </c>
      <c r="D160" s="47">
        <f t="shared" si="13"/>
        <v>5.5999529411764701</v>
      </c>
      <c r="E160" s="47">
        <f t="shared" si="14"/>
        <v>9.846214244893936</v>
      </c>
      <c r="F160" s="47">
        <f t="shared" si="15"/>
        <v>21.832047058823527</v>
      </c>
      <c r="G160" s="24">
        <f t="shared" si="17"/>
        <v>2.2173036779232405</v>
      </c>
      <c r="H160">
        <v>-0.5</v>
      </c>
    </row>
    <row r="161" spans="1:8" x14ac:dyDescent="0.25">
      <c r="A161" s="56">
        <v>45313</v>
      </c>
      <c r="B161" s="36">
        <v>0.36</v>
      </c>
      <c r="C161" s="36">
        <f t="shared" si="12"/>
        <v>9.1439999999999984</v>
      </c>
      <c r="D161" s="47">
        <f t="shared" si="13"/>
        <v>5.5999529411764701</v>
      </c>
      <c r="E161" s="47">
        <f t="shared" si="14"/>
        <v>9.846214244893936</v>
      </c>
      <c r="F161" s="47">
        <f t="shared" si="15"/>
        <v>3.5440470588235282</v>
      </c>
      <c r="G161" s="24">
        <f t="shared" si="17"/>
        <v>0.3599400714504466</v>
      </c>
      <c r="H161">
        <v>-0.5</v>
      </c>
    </row>
    <row r="162" spans="1:8" x14ac:dyDescent="0.25">
      <c r="A162" s="56">
        <v>45344</v>
      </c>
      <c r="B162" s="36">
        <v>0.02</v>
      </c>
      <c r="C162" s="36">
        <f t="shared" si="12"/>
        <v>0.50800000000000001</v>
      </c>
      <c r="D162" s="47">
        <f t="shared" si="13"/>
        <v>5.5999529411764701</v>
      </c>
      <c r="E162" s="47">
        <f t="shared" si="14"/>
        <v>9.846214244893936</v>
      </c>
      <c r="F162" s="47">
        <f t="shared" si="15"/>
        <v>-5.0919529411764701</v>
      </c>
      <c r="G162" s="24">
        <f t="shared" si="17"/>
        <v>-0.51714829827281716</v>
      </c>
      <c r="H162">
        <v>-0.5</v>
      </c>
    </row>
    <row r="163" spans="1:8" x14ac:dyDescent="0.25">
      <c r="A163" s="56">
        <v>45373</v>
      </c>
      <c r="B163" s="36">
        <v>0.23</v>
      </c>
      <c r="C163" s="36">
        <f t="shared" si="12"/>
        <v>5.8419999999999996</v>
      </c>
      <c r="D163" s="47">
        <f t="shared" si="13"/>
        <v>5.5999529411764701</v>
      </c>
      <c r="E163" s="47">
        <f t="shared" si="14"/>
        <v>9.846214244893936</v>
      </c>
      <c r="F163" s="47">
        <f t="shared" si="15"/>
        <v>0.2420470588235295</v>
      </c>
      <c r="G163" s="24">
        <f t="shared" si="17"/>
        <v>2.4582753615081106E-2</v>
      </c>
      <c r="H163">
        <v>-0.5</v>
      </c>
    </row>
    <row r="164" spans="1:8" x14ac:dyDescent="0.25">
      <c r="A164" s="56">
        <v>45404</v>
      </c>
      <c r="B164" s="36">
        <v>0.21</v>
      </c>
      <c r="C164" s="36">
        <f t="shared" si="12"/>
        <v>5.3339999999999996</v>
      </c>
      <c r="D164" s="47">
        <f t="shared" si="13"/>
        <v>5.5999529411764701</v>
      </c>
      <c r="E164" s="47">
        <f t="shared" si="14"/>
        <v>9.846214244893936</v>
      </c>
      <c r="F164" s="47">
        <f t="shared" si="15"/>
        <v>-0.2659529411764705</v>
      </c>
      <c r="G164" s="24">
        <f t="shared" si="17"/>
        <v>-2.7010679898052063E-2</v>
      </c>
      <c r="H164">
        <v>-0.5</v>
      </c>
    </row>
    <row r="165" spans="1:8" x14ac:dyDescent="0.25">
      <c r="A165" s="56">
        <v>45434</v>
      </c>
      <c r="B165" s="29">
        <v>0.11</v>
      </c>
      <c r="C165" s="36">
        <f t="shared" ref="C165:C175" si="18">$D$1*B165</f>
        <v>2.794</v>
      </c>
      <c r="D165" s="47">
        <f t="shared" si="13"/>
        <v>5.5999529411764701</v>
      </c>
      <c r="E165" s="47">
        <f t="shared" si="14"/>
        <v>9.846214244893936</v>
      </c>
      <c r="F165" s="47">
        <f t="shared" si="15"/>
        <v>-2.8059529411764701</v>
      </c>
      <c r="G165" s="24">
        <f t="shared" si="17"/>
        <v>-0.28497784746371785</v>
      </c>
      <c r="H165">
        <v>-0.5</v>
      </c>
    </row>
    <row r="166" spans="1:8" x14ac:dyDescent="0.25">
      <c r="A166" s="56">
        <v>45465</v>
      </c>
      <c r="B166" s="1">
        <v>0.09</v>
      </c>
      <c r="C166" s="29">
        <f t="shared" si="18"/>
        <v>2.2859999999999996</v>
      </c>
      <c r="D166" s="47">
        <f t="shared" si="13"/>
        <v>5.5999529411764701</v>
      </c>
      <c r="E166" s="47">
        <f t="shared" si="14"/>
        <v>9.846214244893936</v>
      </c>
      <c r="F166" s="47">
        <f t="shared" si="15"/>
        <v>-3.3139529411764705</v>
      </c>
      <c r="G166" s="24">
        <f t="shared" si="17"/>
        <v>-0.33657128097685107</v>
      </c>
      <c r="H166">
        <v>-0.5</v>
      </c>
    </row>
    <row r="167" spans="1:8" x14ac:dyDescent="0.25">
      <c r="A167" s="56">
        <v>45495</v>
      </c>
      <c r="B167" s="1">
        <v>0.09</v>
      </c>
      <c r="C167" s="29">
        <f t="shared" si="18"/>
        <v>2.2859999999999996</v>
      </c>
      <c r="D167" s="47">
        <f t="shared" si="13"/>
        <v>5.5999529411764701</v>
      </c>
      <c r="E167" s="47">
        <f t="shared" si="14"/>
        <v>9.846214244893936</v>
      </c>
      <c r="F167" s="47">
        <f t="shared" si="15"/>
        <v>-3.3139529411764705</v>
      </c>
      <c r="G167" s="24">
        <f t="shared" si="17"/>
        <v>-0.33657128097685107</v>
      </c>
      <c r="H167">
        <v>-0.5</v>
      </c>
    </row>
    <row r="168" spans="1:8" x14ac:dyDescent="0.25">
      <c r="A168" s="56">
        <v>45526</v>
      </c>
      <c r="B168" s="1">
        <v>0.06</v>
      </c>
      <c r="C168" s="29">
        <f t="shared" si="18"/>
        <v>1.5239999999999998</v>
      </c>
      <c r="D168" s="47">
        <f t="shared" si="13"/>
        <v>5.5999529411764701</v>
      </c>
      <c r="E168" s="47">
        <f t="shared" si="14"/>
        <v>9.846214244893936</v>
      </c>
      <c r="F168" s="47">
        <f t="shared" si="15"/>
        <v>-4.0759529411764701</v>
      </c>
      <c r="G168" s="24">
        <f t="shared" si="17"/>
        <v>-0.41396143124655077</v>
      </c>
      <c r="H168">
        <v>-0.5</v>
      </c>
    </row>
    <row r="169" spans="1:8" x14ac:dyDescent="0.25">
      <c r="A169" s="56">
        <v>45557</v>
      </c>
      <c r="B169" s="1">
        <v>0.05</v>
      </c>
      <c r="C169" s="29">
        <f t="shared" si="18"/>
        <v>1.27</v>
      </c>
      <c r="D169" s="47">
        <f t="shared" si="13"/>
        <v>5.5999529411764701</v>
      </c>
      <c r="E169" s="47">
        <f t="shared" si="14"/>
        <v>9.846214244893936</v>
      </c>
      <c r="F169" s="47">
        <f t="shared" si="15"/>
        <v>-4.3299529411764706</v>
      </c>
      <c r="G169" s="24">
        <f t="shared" si="17"/>
        <v>-0.43975814800311741</v>
      </c>
      <c r="H169">
        <v>-0.5</v>
      </c>
    </row>
    <row r="170" spans="1:8" x14ac:dyDescent="0.25">
      <c r="A170" s="56">
        <v>45587</v>
      </c>
      <c r="B170" s="1">
        <v>0.15</v>
      </c>
      <c r="C170" s="29">
        <f t="shared" si="18"/>
        <v>3.8099999999999996</v>
      </c>
      <c r="D170" s="47">
        <f t="shared" si="13"/>
        <v>5.5999529411764701</v>
      </c>
      <c r="E170" s="47">
        <f t="shared" si="14"/>
        <v>9.846214244893936</v>
      </c>
      <c r="F170" s="47">
        <f t="shared" si="15"/>
        <v>-1.7899529411764705</v>
      </c>
      <c r="G170" s="24">
        <f t="shared" si="17"/>
        <v>-0.18179098043745157</v>
      </c>
      <c r="H170">
        <v>-0.5</v>
      </c>
    </row>
    <row r="171" spans="1:8" x14ac:dyDescent="0.25">
      <c r="A171" s="56">
        <v>45618</v>
      </c>
      <c r="B171" s="1">
        <v>0.15</v>
      </c>
      <c r="C171" s="29">
        <f t="shared" si="18"/>
        <v>3.8099999999999996</v>
      </c>
      <c r="D171" s="47">
        <f t="shared" si="13"/>
        <v>5.5999529411764701</v>
      </c>
      <c r="E171" s="47">
        <f t="shared" si="14"/>
        <v>9.846214244893936</v>
      </c>
      <c r="F171" s="47">
        <f t="shared" si="15"/>
        <v>-1.7899529411764705</v>
      </c>
      <c r="G171" s="24">
        <f t="shared" si="17"/>
        <v>-0.18179098043745157</v>
      </c>
      <c r="H171">
        <v>-0.5</v>
      </c>
    </row>
    <row r="172" spans="1:8" x14ac:dyDescent="0.25">
      <c r="A172" s="56">
        <v>45648</v>
      </c>
      <c r="B172" s="1">
        <v>0.36</v>
      </c>
      <c r="C172" s="29">
        <f t="shared" si="18"/>
        <v>9.1439999999999984</v>
      </c>
      <c r="D172" s="47">
        <f t="shared" si="13"/>
        <v>5.5999529411764701</v>
      </c>
      <c r="E172" s="47">
        <f t="shared" si="14"/>
        <v>9.846214244893936</v>
      </c>
      <c r="F172" s="47">
        <f t="shared" si="15"/>
        <v>3.5440470588235282</v>
      </c>
      <c r="G172" s="24">
        <f t="shared" si="17"/>
        <v>0.3599400714504466</v>
      </c>
      <c r="H172">
        <v>-0.5</v>
      </c>
    </row>
    <row r="173" spans="1:8" x14ac:dyDescent="0.25">
      <c r="A173" s="56">
        <v>45679</v>
      </c>
      <c r="B173" s="1">
        <v>1.7</v>
      </c>
      <c r="C173" s="29">
        <f t="shared" si="18"/>
        <v>43.18</v>
      </c>
      <c r="D173" s="47">
        <f t="shared" si="13"/>
        <v>5.5999529411764701</v>
      </c>
      <c r="E173" s="47">
        <f t="shared" si="14"/>
        <v>9.846214244893936</v>
      </c>
      <c r="F173" s="47">
        <f t="shared" si="15"/>
        <v>37.580047058823531</v>
      </c>
      <c r="G173" s="24">
        <f t="shared" si="17"/>
        <v>3.8167001168303694</v>
      </c>
      <c r="H173">
        <v>-0.5</v>
      </c>
    </row>
    <row r="174" spans="1:8" x14ac:dyDescent="0.25">
      <c r="A174" s="56">
        <v>45710</v>
      </c>
      <c r="B174" s="1">
        <v>0.24</v>
      </c>
      <c r="C174" s="29">
        <f t="shared" si="18"/>
        <v>6.0959999999999992</v>
      </c>
      <c r="D174" s="47">
        <f t="shared" si="13"/>
        <v>5.5999529411764701</v>
      </c>
      <c r="E174" s="47">
        <f t="shared" si="14"/>
        <v>9.846214244893936</v>
      </c>
      <c r="F174" s="47">
        <f t="shared" si="15"/>
        <v>0.49604705882352906</v>
      </c>
      <c r="G174" s="24">
        <f t="shared" si="17"/>
        <v>5.0379470371647646E-2</v>
      </c>
      <c r="H174">
        <v>-0.5</v>
      </c>
    </row>
    <row r="175" spans="1:8" x14ac:dyDescent="0.25">
      <c r="A175" s="56">
        <v>45739</v>
      </c>
      <c r="B175" s="1">
        <v>0.3</v>
      </c>
      <c r="C175" s="29">
        <f t="shared" si="18"/>
        <v>7.6199999999999992</v>
      </c>
      <c r="D175" s="47">
        <f t="shared" si="13"/>
        <v>5.5999529411764701</v>
      </c>
      <c r="E175" s="47">
        <f t="shared" si="14"/>
        <v>9.846214244893936</v>
      </c>
      <c r="F175" s="47">
        <f t="shared" ref="F175" si="19">C175-D175</f>
        <v>2.0200470588235291</v>
      </c>
      <c r="G175" s="24">
        <f t="shared" ref="G175" si="20">F175/E175</f>
        <v>0.20515977091104715</v>
      </c>
      <c r="H175">
        <v>-0.5</v>
      </c>
    </row>
  </sheetData>
  <mergeCells count="2">
    <mergeCell ref="A2:G2"/>
    <mergeCell ref="A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3BD1-BFAF-4267-A811-E340E3B931D3}">
  <dimension ref="A1:H175"/>
  <sheetViews>
    <sheetView zoomScale="85" zoomScaleNormal="85" workbookViewId="0">
      <selection activeCell="H1" sqref="H1:H1048576"/>
    </sheetView>
  </sheetViews>
  <sheetFormatPr defaultRowHeight="15" x14ac:dyDescent="0.25"/>
  <cols>
    <col min="1" max="1" width="15.5703125" style="58" customWidth="1"/>
    <col min="2" max="2" width="18.7109375" style="1" customWidth="1"/>
    <col min="3" max="3" width="19.5703125" style="1" customWidth="1"/>
    <col min="4" max="4" width="22.85546875" style="1" customWidth="1"/>
    <col min="5" max="5" width="16" style="1" customWidth="1"/>
    <col min="6" max="6" width="13.7109375" style="1" customWidth="1"/>
    <col min="7" max="7" width="21.5703125" style="15" bestFit="1" customWidth="1"/>
    <col min="8" max="8" width="12.28515625" customWidth="1"/>
  </cols>
  <sheetData>
    <row r="1" spans="1:8" x14ac:dyDescent="0.25">
      <c r="A1" s="60"/>
      <c r="B1" s="61"/>
      <c r="C1" s="61"/>
      <c r="D1" s="16">
        <v>25.4</v>
      </c>
      <c r="E1" s="61"/>
      <c r="F1" s="61"/>
      <c r="G1" s="62"/>
    </row>
    <row r="2" spans="1:8" ht="20.25" customHeight="1" x14ac:dyDescent="0.25">
      <c r="A2" s="72" t="s">
        <v>21</v>
      </c>
      <c r="B2" s="73"/>
      <c r="C2" s="73"/>
      <c r="D2" s="73"/>
      <c r="E2" s="73"/>
      <c r="F2" s="73"/>
      <c r="G2" s="73"/>
      <c r="H2" s="48"/>
    </row>
    <row r="3" spans="1:8" x14ac:dyDescent="0.25">
      <c r="A3" s="67" t="s">
        <v>1</v>
      </c>
      <c r="B3" s="68"/>
      <c r="C3" s="68"/>
      <c r="D3" s="68"/>
      <c r="E3" s="68"/>
      <c r="F3" s="68"/>
      <c r="G3" s="71"/>
    </row>
    <row r="4" spans="1:8" x14ac:dyDescent="0.25">
      <c r="A4" s="55" t="s">
        <v>16</v>
      </c>
      <c r="B4" s="7" t="s">
        <v>3</v>
      </c>
      <c r="C4" s="7" t="s">
        <v>1</v>
      </c>
      <c r="D4" s="8" t="s">
        <v>4</v>
      </c>
      <c r="E4" s="8" t="s">
        <v>5</v>
      </c>
      <c r="F4" s="7"/>
      <c r="G4" s="49" t="s">
        <v>6</v>
      </c>
    </row>
    <row r="5" spans="1:8" x14ac:dyDescent="0.25">
      <c r="A5" s="56">
        <v>40565</v>
      </c>
      <c r="B5" s="29">
        <v>0.41</v>
      </c>
      <c r="C5" s="36">
        <f t="shared" ref="C5:C36" si="0">$D$1*B5</f>
        <v>10.413999999999998</v>
      </c>
      <c r="D5" s="47">
        <f>AVERAGE($C$5:$C$174)</f>
        <v>3.4260117647058843</v>
      </c>
      <c r="E5" s="47">
        <f>_xlfn.STDEV.S($C$5:$C$174)</f>
        <v>6.4362692545464979</v>
      </c>
      <c r="F5" s="47">
        <f>C5-D5</f>
        <v>6.9879882352941136</v>
      </c>
      <c r="G5" s="24">
        <f>F5/E5</f>
        <v>1.0857203076701443</v>
      </c>
    </row>
    <row r="6" spans="1:8" x14ac:dyDescent="0.25">
      <c r="A6" s="56">
        <v>40596</v>
      </c>
      <c r="B6" s="29">
        <v>0.17</v>
      </c>
      <c r="C6" s="36">
        <f t="shared" si="0"/>
        <v>4.3180000000000005</v>
      </c>
      <c r="D6" s="47">
        <f t="shared" ref="D6:D69" si="1">AVERAGE($C$5:$C$174)</f>
        <v>3.4260117647058843</v>
      </c>
      <c r="E6" s="47">
        <f t="shared" ref="E6:E69" si="2">_xlfn.STDEV.S($C$5:$C$174)</f>
        <v>6.4362692545464979</v>
      </c>
      <c r="F6" s="47">
        <f t="shared" ref="F6:F69" si="3">C6-D6</f>
        <v>0.89198823529411619</v>
      </c>
      <c r="G6" s="24">
        <f t="shared" ref="G6:G69" si="4">F6/E6</f>
        <v>0.13858777500087138</v>
      </c>
    </row>
    <row r="7" spans="1:8" x14ac:dyDescent="0.25">
      <c r="A7" s="56">
        <v>40624</v>
      </c>
      <c r="B7" s="29">
        <v>0.23</v>
      </c>
      <c r="C7" s="36">
        <f t="shared" si="0"/>
        <v>5.8419999999999996</v>
      </c>
      <c r="D7" s="47">
        <f t="shared" si="1"/>
        <v>3.4260117647058843</v>
      </c>
      <c r="E7" s="47">
        <f t="shared" si="2"/>
        <v>6.4362692545464979</v>
      </c>
      <c r="F7" s="47">
        <f t="shared" si="3"/>
        <v>2.4159882352941153</v>
      </c>
      <c r="G7" s="24">
        <f t="shared" si="4"/>
        <v>0.37537090816818958</v>
      </c>
    </row>
    <row r="8" spans="1:8" x14ac:dyDescent="0.25">
      <c r="A8" s="56">
        <v>40655</v>
      </c>
      <c r="B8" s="29">
        <v>0.38</v>
      </c>
      <c r="C8" s="36">
        <f t="shared" si="0"/>
        <v>9.6519999999999992</v>
      </c>
      <c r="D8" s="47">
        <f t="shared" si="1"/>
        <v>3.4260117647058843</v>
      </c>
      <c r="E8" s="47">
        <f t="shared" si="2"/>
        <v>6.4362692545464979</v>
      </c>
      <c r="F8" s="47">
        <f t="shared" si="3"/>
        <v>6.2259882352941149</v>
      </c>
      <c r="G8" s="24">
        <f t="shared" si="4"/>
        <v>0.96732874108648526</v>
      </c>
    </row>
    <row r="9" spans="1:8" x14ac:dyDescent="0.25">
      <c r="A9" s="56">
        <v>40685</v>
      </c>
      <c r="B9" s="29">
        <v>0.16</v>
      </c>
      <c r="C9" s="36">
        <f t="shared" si="0"/>
        <v>4.0640000000000001</v>
      </c>
      <c r="D9" s="47">
        <f t="shared" si="1"/>
        <v>3.4260117647058843</v>
      </c>
      <c r="E9" s="47">
        <f t="shared" si="2"/>
        <v>6.4362692545464979</v>
      </c>
      <c r="F9" s="47">
        <f t="shared" si="3"/>
        <v>0.63798823529411575</v>
      </c>
      <c r="G9" s="24">
        <f t="shared" si="4"/>
        <v>9.912391947298492E-2</v>
      </c>
    </row>
    <row r="10" spans="1:8" x14ac:dyDescent="0.25">
      <c r="A10" s="56">
        <v>40716</v>
      </c>
      <c r="B10" s="29">
        <v>0.09</v>
      </c>
      <c r="C10" s="36">
        <f t="shared" si="0"/>
        <v>2.2859999999999996</v>
      </c>
      <c r="D10" s="47">
        <f t="shared" si="1"/>
        <v>3.4260117647058843</v>
      </c>
      <c r="E10" s="47">
        <f t="shared" si="2"/>
        <v>6.4362692545464979</v>
      </c>
      <c r="F10" s="47">
        <f t="shared" si="3"/>
        <v>-1.1400117647058847</v>
      </c>
      <c r="G10" s="24">
        <f t="shared" si="4"/>
        <v>-0.17712306922221985</v>
      </c>
    </row>
    <row r="11" spans="1:8" x14ac:dyDescent="0.25">
      <c r="A11" s="56">
        <v>40746</v>
      </c>
      <c r="B11" s="29">
        <v>0.06</v>
      </c>
      <c r="C11" s="36">
        <f t="shared" si="0"/>
        <v>1.5239999999999998</v>
      </c>
      <c r="D11" s="47">
        <f t="shared" si="1"/>
        <v>3.4260117647058843</v>
      </c>
      <c r="E11" s="47">
        <f t="shared" si="2"/>
        <v>6.4362692545464979</v>
      </c>
      <c r="F11" s="47">
        <f t="shared" si="3"/>
        <v>-1.9020117647058845</v>
      </c>
      <c r="G11" s="24">
        <f t="shared" si="4"/>
        <v>-0.295514635805879</v>
      </c>
    </row>
    <row r="12" spans="1:8" x14ac:dyDescent="0.25">
      <c r="A12" s="56">
        <v>40777</v>
      </c>
      <c r="B12" s="29">
        <v>0.04</v>
      </c>
      <c r="C12" s="36">
        <f t="shared" si="0"/>
        <v>1.016</v>
      </c>
      <c r="D12" s="47">
        <f t="shared" si="1"/>
        <v>3.4260117647058843</v>
      </c>
      <c r="E12" s="47">
        <f t="shared" si="2"/>
        <v>6.4362692545464979</v>
      </c>
      <c r="F12" s="47">
        <f t="shared" si="3"/>
        <v>-2.4100117647058843</v>
      </c>
      <c r="G12" s="24">
        <f t="shared" si="4"/>
        <v>-0.37444234686165173</v>
      </c>
    </row>
    <row r="13" spans="1:8" x14ac:dyDescent="0.25">
      <c r="A13" s="56">
        <v>40808</v>
      </c>
      <c r="B13" s="29">
        <v>0.01</v>
      </c>
      <c r="C13" s="36">
        <f t="shared" si="0"/>
        <v>0.254</v>
      </c>
      <c r="D13" s="47">
        <f t="shared" si="1"/>
        <v>3.4260117647058843</v>
      </c>
      <c r="E13" s="47">
        <f t="shared" si="2"/>
        <v>6.4362692545464979</v>
      </c>
      <c r="F13" s="47">
        <f t="shared" si="3"/>
        <v>-3.1720117647058843</v>
      </c>
      <c r="G13" s="24">
        <f t="shared" si="4"/>
        <v>-0.49283391344531086</v>
      </c>
    </row>
    <row r="14" spans="1:8" x14ac:dyDescent="0.25">
      <c r="A14" s="56">
        <v>40838</v>
      </c>
      <c r="B14" s="29">
        <v>0.03</v>
      </c>
      <c r="C14" s="36">
        <f t="shared" si="0"/>
        <v>0.7619999999999999</v>
      </c>
      <c r="D14" s="47">
        <f t="shared" si="1"/>
        <v>3.4260117647058843</v>
      </c>
      <c r="E14" s="47">
        <f t="shared" si="2"/>
        <v>6.4362692545464979</v>
      </c>
      <c r="F14" s="47">
        <f t="shared" si="3"/>
        <v>-2.6640117647058843</v>
      </c>
      <c r="G14" s="24">
        <f t="shared" si="4"/>
        <v>-0.41390620238953812</v>
      </c>
    </row>
    <row r="15" spans="1:8" x14ac:dyDescent="0.25">
      <c r="A15" s="56">
        <v>40869</v>
      </c>
      <c r="B15" s="29">
        <v>7.0000000000000007E-2</v>
      </c>
      <c r="C15" s="36">
        <f t="shared" si="0"/>
        <v>1.778</v>
      </c>
      <c r="D15" s="47">
        <f t="shared" si="1"/>
        <v>3.4260117647058843</v>
      </c>
      <c r="E15" s="47">
        <f t="shared" si="2"/>
        <v>6.4362692545464979</v>
      </c>
      <c r="F15" s="47">
        <f t="shared" si="3"/>
        <v>-1.6480117647058843</v>
      </c>
      <c r="G15" s="24">
        <f t="shared" si="4"/>
        <v>-0.25605078027799255</v>
      </c>
    </row>
    <row r="16" spans="1:8" x14ac:dyDescent="0.25">
      <c r="A16" s="56">
        <v>40899</v>
      </c>
      <c r="B16" s="29">
        <v>0.12</v>
      </c>
      <c r="C16" s="36">
        <f t="shared" si="0"/>
        <v>3.0479999999999996</v>
      </c>
      <c r="D16" s="47">
        <f t="shared" si="1"/>
        <v>3.4260117647058843</v>
      </c>
      <c r="E16" s="47">
        <f t="shared" si="2"/>
        <v>6.4362692545464979</v>
      </c>
      <c r="F16" s="47">
        <f t="shared" si="3"/>
        <v>-0.37801176470588471</v>
      </c>
      <c r="G16" s="24">
        <f t="shared" si="4"/>
        <v>-5.8731502638560695E-2</v>
      </c>
    </row>
    <row r="17" spans="1:7" x14ac:dyDescent="0.25">
      <c r="A17" s="56">
        <v>40930</v>
      </c>
      <c r="B17" s="29">
        <v>0.75</v>
      </c>
      <c r="C17" s="36">
        <f t="shared" si="0"/>
        <v>19.049999999999997</v>
      </c>
      <c r="D17" s="47">
        <f t="shared" si="1"/>
        <v>3.4260117647058843</v>
      </c>
      <c r="E17" s="47">
        <f t="shared" si="2"/>
        <v>6.4362692545464979</v>
      </c>
      <c r="F17" s="47">
        <f t="shared" si="3"/>
        <v>15.623988235294114</v>
      </c>
      <c r="G17" s="24">
        <f t="shared" si="4"/>
        <v>2.4274913956182815</v>
      </c>
    </row>
    <row r="18" spans="1:7" x14ac:dyDescent="0.25">
      <c r="A18" s="56">
        <v>40961</v>
      </c>
      <c r="B18" s="29">
        <v>0.2</v>
      </c>
      <c r="C18" s="36">
        <f t="shared" si="0"/>
        <v>5.08</v>
      </c>
      <c r="D18" s="47">
        <f t="shared" si="1"/>
        <v>3.4260117647058843</v>
      </c>
      <c r="E18" s="47">
        <f t="shared" si="2"/>
        <v>6.4362692545464979</v>
      </c>
      <c r="F18" s="47">
        <f t="shared" si="3"/>
        <v>1.6539882352941158</v>
      </c>
      <c r="G18" s="24">
        <f t="shared" si="4"/>
        <v>0.25697934158453045</v>
      </c>
    </row>
    <row r="19" spans="1:7" x14ac:dyDescent="0.25">
      <c r="A19" s="56">
        <v>40990</v>
      </c>
      <c r="B19" s="29">
        <v>0.02</v>
      </c>
      <c r="C19" s="36">
        <f t="shared" si="0"/>
        <v>0.50800000000000001</v>
      </c>
      <c r="D19" s="47">
        <f t="shared" si="1"/>
        <v>3.4260117647058843</v>
      </c>
      <c r="E19" s="47">
        <f t="shared" si="2"/>
        <v>6.4362692545464979</v>
      </c>
      <c r="F19" s="47">
        <f t="shared" si="3"/>
        <v>-2.9180117647058843</v>
      </c>
      <c r="G19" s="24">
        <f t="shared" si="4"/>
        <v>-0.45337005791742452</v>
      </c>
    </row>
    <row r="20" spans="1:7" x14ac:dyDescent="0.25">
      <c r="A20" s="56">
        <v>41021</v>
      </c>
      <c r="B20" s="29">
        <v>7.0000000000000007E-2</v>
      </c>
      <c r="C20" s="36">
        <f t="shared" si="0"/>
        <v>1.778</v>
      </c>
      <c r="D20" s="47">
        <f t="shared" si="1"/>
        <v>3.4260117647058843</v>
      </c>
      <c r="E20" s="47">
        <f t="shared" si="2"/>
        <v>6.4362692545464979</v>
      </c>
      <c r="F20" s="47">
        <f t="shared" si="3"/>
        <v>-1.6480117647058843</v>
      </c>
      <c r="G20" s="24">
        <f t="shared" si="4"/>
        <v>-0.25605078027799255</v>
      </c>
    </row>
    <row r="21" spans="1:7" x14ac:dyDescent="0.25">
      <c r="A21" s="56">
        <v>41051</v>
      </c>
      <c r="B21" s="29">
        <v>0.01</v>
      </c>
      <c r="C21" s="36">
        <f t="shared" si="0"/>
        <v>0.254</v>
      </c>
      <c r="D21" s="47">
        <f t="shared" si="1"/>
        <v>3.4260117647058843</v>
      </c>
      <c r="E21" s="47">
        <f t="shared" si="2"/>
        <v>6.4362692545464979</v>
      </c>
      <c r="F21" s="47">
        <f t="shared" si="3"/>
        <v>-3.1720117647058843</v>
      </c>
      <c r="G21" s="24">
        <f t="shared" si="4"/>
        <v>-0.49283391344531086</v>
      </c>
    </row>
    <row r="22" spans="1:7" x14ac:dyDescent="0.25">
      <c r="A22" s="56">
        <v>41082</v>
      </c>
      <c r="B22" s="29">
        <v>0.02</v>
      </c>
      <c r="C22" s="36">
        <f t="shared" si="0"/>
        <v>0.50800000000000001</v>
      </c>
      <c r="D22" s="47">
        <f t="shared" si="1"/>
        <v>3.4260117647058843</v>
      </c>
      <c r="E22" s="47">
        <f t="shared" si="2"/>
        <v>6.4362692545464979</v>
      </c>
      <c r="F22" s="47">
        <f t="shared" si="3"/>
        <v>-2.9180117647058843</v>
      </c>
      <c r="G22" s="24">
        <f t="shared" si="4"/>
        <v>-0.45337005791742452</v>
      </c>
    </row>
    <row r="23" spans="1:7" x14ac:dyDescent="0.25">
      <c r="A23" s="56">
        <v>41112</v>
      </c>
      <c r="B23" s="29">
        <v>0.01</v>
      </c>
      <c r="C23" s="36">
        <f t="shared" si="0"/>
        <v>0.254</v>
      </c>
      <c r="D23" s="47">
        <f t="shared" si="1"/>
        <v>3.4260117647058843</v>
      </c>
      <c r="E23" s="47">
        <f t="shared" si="2"/>
        <v>6.4362692545464979</v>
      </c>
      <c r="F23" s="47">
        <f t="shared" si="3"/>
        <v>-3.1720117647058843</v>
      </c>
      <c r="G23" s="24">
        <f t="shared" si="4"/>
        <v>-0.49283391344531086</v>
      </c>
    </row>
    <row r="24" spans="1:7" x14ac:dyDescent="0.25">
      <c r="A24" s="56">
        <v>41143</v>
      </c>
      <c r="B24" s="29">
        <v>0</v>
      </c>
      <c r="C24" s="36">
        <f t="shared" si="0"/>
        <v>0</v>
      </c>
      <c r="D24" s="47">
        <f t="shared" si="1"/>
        <v>3.4260117647058843</v>
      </c>
      <c r="E24" s="47">
        <f t="shared" si="2"/>
        <v>6.4362692545464979</v>
      </c>
      <c r="F24" s="47">
        <f t="shared" si="3"/>
        <v>-3.4260117647058843</v>
      </c>
      <c r="G24" s="24">
        <f t="shared" si="4"/>
        <v>-0.53229776897319725</v>
      </c>
    </row>
    <row r="25" spans="1:7" x14ac:dyDescent="0.25">
      <c r="A25" s="56">
        <v>41174</v>
      </c>
      <c r="B25" s="29">
        <v>0.12</v>
      </c>
      <c r="C25" s="36">
        <f t="shared" si="0"/>
        <v>3.0479999999999996</v>
      </c>
      <c r="D25" s="47">
        <f t="shared" si="1"/>
        <v>3.4260117647058843</v>
      </c>
      <c r="E25" s="47">
        <f t="shared" si="2"/>
        <v>6.4362692545464979</v>
      </c>
      <c r="F25" s="47">
        <f t="shared" si="3"/>
        <v>-0.37801176470588471</v>
      </c>
      <c r="G25" s="24">
        <f t="shared" si="4"/>
        <v>-5.8731502638560695E-2</v>
      </c>
    </row>
    <row r="26" spans="1:7" x14ac:dyDescent="0.25">
      <c r="A26" s="56">
        <v>41204</v>
      </c>
      <c r="B26" s="29">
        <v>0.18</v>
      </c>
      <c r="C26" s="36">
        <f t="shared" si="0"/>
        <v>4.5719999999999992</v>
      </c>
      <c r="D26" s="47">
        <f t="shared" si="1"/>
        <v>3.4260117647058843</v>
      </c>
      <c r="E26" s="47">
        <f t="shared" si="2"/>
        <v>6.4362692545464979</v>
      </c>
      <c r="F26" s="47">
        <f t="shared" si="3"/>
        <v>1.1459882352941149</v>
      </c>
      <c r="G26" s="24">
        <f t="shared" si="4"/>
        <v>0.17805163052875755</v>
      </c>
    </row>
    <row r="27" spans="1:7" x14ac:dyDescent="0.25">
      <c r="A27" s="56">
        <v>41235</v>
      </c>
      <c r="B27" s="29">
        <v>0.03</v>
      </c>
      <c r="C27" s="36">
        <f t="shared" si="0"/>
        <v>0.7619999999999999</v>
      </c>
      <c r="D27" s="47">
        <f t="shared" si="1"/>
        <v>3.4260117647058843</v>
      </c>
      <c r="E27" s="47">
        <f t="shared" si="2"/>
        <v>6.4362692545464979</v>
      </c>
      <c r="F27" s="47">
        <f t="shared" si="3"/>
        <v>-2.6640117647058843</v>
      </c>
      <c r="G27" s="24">
        <f t="shared" si="4"/>
        <v>-0.41390620238953812</v>
      </c>
    </row>
    <row r="28" spans="1:7" x14ac:dyDescent="0.25">
      <c r="A28" s="56">
        <v>41265</v>
      </c>
      <c r="B28" s="29">
        <v>0.16</v>
      </c>
      <c r="C28" s="36">
        <f t="shared" si="0"/>
        <v>4.0640000000000001</v>
      </c>
      <c r="D28" s="47">
        <f t="shared" si="1"/>
        <v>3.4260117647058843</v>
      </c>
      <c r="E28" s="47">
        <f t="shared" si="2"/>
        <v>6.4362692545464979</v>
      </c>
      <c r="F28" s="47">
        <f t="shared" si="3"/>
        <v>0.63798823529411575</v>
      </c>
      <c r="G28" s="24">
        <f t="shared" si="4"/>
        <v>9.912391947298492E-2</v>
      </c>
    </row>
    <row r="29" spans="1:7" x14ac:dyDescent="0.25">
      <c r="A29" s="56">
        <v>41296</v>
      </c>
      <c r="B29" s="29">
        <v>1.34</v>
      </c>
      <c r="C29" s="36">
        <f t="shared" si="0"/>
        <v>34.036000000000001</v>
      </c>
      <c r="D29" s="47">
        <f t="shared" si="1"/>
        <v>3.4260117647058843</v>
      </c>
      <c r="E29" s="47">
        <f t="shared" si="2"/>
        <v>6.4362692545464979</v>
      </c>
      <c r="F29" s="47">
        <f t="shared" si="3"/>
        <v>30.609988235294118</v>
      </c>
      <c r="G29" s="24">
        <f t="shared" si="4"/>
        <v>4.7558588717635786</v>
      </c>
    </row>
    <row r="30" spans="1:7" x14ac:dyDescent="0.25">
      <c r="A30" s="56">
        <v>41327</v>
      </c>
      <c r="B30" s="29">
        <v>0.04</v>
      </c>
      <c r="C30" s="36">
        <f t="shared" si="0"/>
        <v>1.016</v>
      </c>
      <c r="D30" s="47">
        <f t="shared" si="1"/>
        <v>3.4260117647058843</v>
      </c>
      <c r="E30" s="47">
        <f t="shared" si="2"/>
        <v>6.4362692545464979</v>
      </c>
      <c r="F30" s="47">
        <f t="shared" si="3"/>
        <v>-2.4100117647058843</v>
      </c>
      <c r="G30" s="24">
        <f t="shared" si="4"/>
        <v>-0.37444234686165173</v>
      </c>
    </row>
    <row r="31" spans="1:7" x14ac:dyDescent="0.25">
      <c r="A31" s="56">
        <v>41355</v>
      </c>
      <c r="B31" s="29">
        <v>0.19</v>
      </c>
      <c r="C31" s="36">
        <f t="shared" si="0"/>
        <v>4.8259999999999996</v>
      </c>
      <c r="D31" s="47">
        <f t="shared" si="1"/>
        <v>3.4260117647058843</v>
      </c>
      <c r="E31" s="47">
        <f t="shared" si="2"/>
        <v>6.4362692545464979</v>
      </c>
      <c r="F31" s="47">
        <f t="shared" si="3"/>
        <v>1.3999882352941153</v>
      </c>
      <c r="G31" s="24">
        <f t="shared" si="4"/>
        <v>0.217515486056644</v>
      </c>
    </row>
    <row r="32" spans="1:7" x14ac:dyDescent="0.25">
      <c r="A32" s="56">
        <v>41386</v>
      </c>
      <c r="B32" s="29">
        <v>0.35</v>
      </c>
      <c r="C32" s="36">
        <f t="shared" si="0"/>
        <v>8.8899999999999988</v>
      </c>
      <c r="D32" s="47">
        <f t="shared" si="1"/>
        <v>3.4260117647058843</v>
      </c>
      <c r="E32" s="47">
        <f t="shared" si="2"/>
        <v>6.4362692545464979</v>
      </c>
      <c r="F32" s="47">
        <f t="shared" si="3"/>
        <v>5.4639882352941145</v>
      </c>
      <c r="G32" s="24">
        <f t="shared" si="4"/>
        <v>0.84893717450282602</v>
      </c>
    </row>
    <row r="33" spans="1:7" x14ac:dyDescent="0.25">
      <c r="A33" s="56">
        <v>41416</v>
      </c>
      <c r="B33" s="29">
        <v>0.21</v>
      </c>
      <c r="C33" s="36">
        <f t="shared" si="0"/>
        <v>5.3339999999999996</v>
      </c>
      <c r="D33" s="47">
        <f t="shared" si="1"/>
        <v>3.4260117647058843</v>
      </c>
      <c r="E33" s="47">
        <f t="shared" si="2"/>
        <v>6.4362692545464979</v>
      </c>
      <c r="F33" s="47">
        <f t="shared" si="3"/>
        <v>1.9079882352941153</v>
      </c>
      <c r="G33" s="24">
        <f t="shared" si="4"/>
        <v>0.29644319711241679</v>
      </c>
    </row>
    <row r="34" spans="1:7" x14ac:dyDescent="0.25">
      <c r="A34" s="56">
        <v>41447</v>
      </c>
      <c r="B34" s="29">
        <v>0.08</v>
      </c>
      <c r="C34" s="36">
        <f t="shared" si="0"/>
        <v>2.032</v>
      </c>
      <c r="D34" s="47">
        <f t="shared" si="1"/>
        <v>3.4260117647058843</v>
      </c>
      <c r="E34" s="47">
        <f t="shared" si="2"/>
        <v>6.4362692545464979</v>
      </c>
      <c r="F34" s="47">
        <f t="shared" si="3"/>
        <v>-1.3940117647058843</v>
      </c>
      <c r="G34" s="24">
        <f t="shared" si="4"/>
        <v>-0.21658692475010616</v>
      </c>
    </row>
    <row r="35" spans="1:7" x14ac:dyDescent="0.25">
      <c r="A35" s="56">
        <v>41477</v>
      </c>
      <c r="B35" s="29">
        <v>0.05</v>
      </c>
      <c r="C35" s="36">
        <f t="shared" si="0"/>
        <v>1.27</v>
      </c>
      <c r="D35" s="47">
        <f t="shared" si="1"/>
        <v>3.4260117647058843</v>
      </c>
      <c r="E35" s="47">
        <f t="shared" si="2"/>
        <v>6.4362692545464979</v>
      </c>
      <c r="F35" s="47">
        <f t="shared" si="3"/>
        <v>-2.1560117647058843</v>
      </c>
      <c r="G35" s="24">
        <f t="shared" si="4"/>
        <v>-0.33497849133376534</v>
      </c>
    </row>
    <row r="36" spans="1:7" x14ac:dyDescent="0.25">
      <c r="A36" s="56">
        <v>41508</v>
      </c>
      <c r="B36" s="29">
        <v>0.02</v>
      </c>
      <c r="C36" s="36">
        <f t="shared" si="0"/>
        <v>0.50800000000000001</v>
      </c>
      <c r="D36" s="47">
        <f t="shared" si="1"/>
        <v>3.4260117647058843</v>
      </c>
      <c r="E36" s="47">
        <f t="shared" si="2"/>
        <v>6.4362692545464979</v>
      </c>
      <c r="F36" s="47">
        <f t="shared" si="3"/>
        <v>-2.9180117647058843</v>
      </c>
      <c r="G36" s="24">
        <f t="shared" si="4"/>
        <v>-0.45337005791742452</v>
      </c>
    </row>
    <row r="37" spans="1:7" x14ac:dyDescent="0.25">
      <c r="A37" s="56">
        <v>41539</v>
      </c>
      <c r="B37" s="29">
        <v>0</v>
      </c>
      <c r="C37" s="36">
        <f t="shared" ref="C37:C68" si="5">$D$1*B37</f>
        <v>0</v>
      </c>
      <c r="D37" s="47">
        <f t="shared" si="1"/>
        <v>3.4260117647058843</v>
      </c>
      <c r="E37" s="47">
        <f t="shared" si="2"/>
        <v>6.4362692545464979</v>
      </c>
      <c r="F37" s="47">
        <f t="shared" si="3"/>
        <v>-3.4260117647058843</v>
      </c>
      <c r="G37" s="24">
        <f t="shared" si="4"/>
        <v>-0.53229776897319725</v>
      </c>
    </row>
    <row r="38" spans="1:7" x14ac:dyDescent="0.25">
      <c r="A38" s="56">
        <v>41569</v>
      </c>
      <c r="B38" s="29">
        <v>0.02</v>
      </c>
      <c r="C38" s="36">
        <f t="shared" si="5"/>
        <v>0.50800000000000001</v>
      </c>
      <c r="D38" s="47">
        <f t="shared" si="1"/>
        <v>3.4260117647058843</v>
      </c>
      <c r="E38" s="47">
        <f t="shared" si="2"/>
        <v>6.4362692545464979</v>
      </c>
      <c r="F38" s="47">
        <f t="shared" si="3"/>
        <v>-2.9180117647058843</v>
      </c>
      <c r="G38" s="24">
        <f t="shared" si="4"/>
        <v>-0.45337005791742452</v>
      </c>
    </row>
    <row r="39" spans="1:7" x14ac:dyDescent="0.25">
      <c r="A39" s="56">
        <v>41600</v>
      </c>
      <c r="B39" s="29">
        <v>7.0000000000000007E-2</v>
      </c>
      <c r="C39" s="36">
        <f t="shared" si="5"/>
        <v>1.778</v>
      </c>
      <c r="D39" s="47">
        <f t="shared" si="1"/>
        <v>3.4260117647058843</v>
      </c>
      <c r="E39" s="47">
        <f t="shared" si="2"/>
        <v>6.4362692545464979</v>
      </c>
      <c r="F39" s="47">
        <f t="shared" si="3"/>
        <v>-1.6480117647058843</v>
      </c>
      <c r="G39" s="24">
        <f t="shared" si="4"/>
        <v>-0.25605078027799255</v>
      </c>
    </row>
    <row r="40" spans="1:7" x14ac:dyDescent="0.25">
      <c r="A40" s="56">
        <v>41630</v>
      </c>
      <c r="B40" s="29">
        <v>0.85</v>
      </c>
      <c r="C40" s="36">
        <f t="shared" si="5"/>
        <v>21.59</v>
      </c>
      <c r="D40" s="47">
        <f t="shared" si="1"/>
        <v>3.4260117647058843</v>
      </c>
      <c r="E40" s="47">
        <f t="shared" si="2"/>
        <v>6.4362692545464979</v>
      </c>
      <c r="F40" s="47">
        <f t="shared" si="3"/>
        <v>18.163988235294116</v>
      </c>
      <c r="G40" s="24">
        <f t="shared" si="4"/>
        <v>2.8221299508971458</v>
      </c>
    </row>
    <row r="41" spans="1:7" x14ac:dyDescent="0.25">
      <c r="A41" s="56">
        <v>41661</v>
      </c>
      <c r="B41" s="29">
        <v>0.06</v>
      </c>
      <c r="C41" s="36">
        <f t="shared" si="5"/>
        <v>1.5239999999999998</v>
      </c>
      <c r="D41" s="47">
        <f t="shared" si="1"/>
        <v>3.4260117647058843</v>
      </c>
      <c r="E41" s="47">
        <f t="shared" si="2"/>
        <v>6.4362692545464979</v>
      </c>
      <c r="F41" s="47">
        <f t="shared" si="3"/>
        <v>-1.9020117647058845</v>
      </c>
      <c r="G41" s="24">
        <f t="shared" si="4"/>
        <v>-0.295514635805879</v>
      </c>
    </row>
    <row r="42" spans="1:7" x14ac:dyDescent="0.25">
      <c r="A42" s="56">
        <v>41692</v>
      </c>
      <c r="B42" s="29">
        <v>0.35</v>
      </c>
      <c r="C42" s="36">
        <f t="shared" si="5"/>
        <v>8.8899999999999988</v>
      </c>
      <c r="D42" s="47">
        <f t="shared" si="1"/>
        <v>3.4260117647058843</v>
      </c>
      <c r="E42" s="47">
        <f t="shared" si="2"/>
        <v>6.4362692545464979</v>
      </c>
      <c r="F42" s="47">
        <f t="shared" si="3"/>
        <v>5.4639882352941145</v>
      </c>
      <c r="G42" s="24">
        <f t="shared" si="4"/>
        <v>0.84893717450282602</v>
      </c>
    </row>
    <row r="43" spans="1:7" x14ac:dyDescent="0.25">
      <c r="A43" s="56">
        <v>41720</v>
      </c>
      <c r="B43" s="29">
        <v>1.35</v>
      </c>
      <c r="C43" s="36">
        <f t="shared" si="5"/>
        <v>34.29</v>
      </c>
      <c r="D43" s="47">
        <f t="shared" si="1"/>
        <v>3.4260117647058843</v>
      </c>
      <c r="E43" s="47">
        <f t="shared" si="2"/>
        <v>6.4362692545464979</v>
      </c>
      <c r="F43" s="47">
        <f t="shared" si="3"/>
        <v>30.863988235294116</v>
      </c>
      <c r="G43" s="24">
        <f t="shared" si="4"/>
        <v>4.7953227272914649</v>
      </c>
    </row>
    <row r="44" spans="1:7" x14ac:dyDescent="0.25">
      <c r="A44" s="56">
        <v>41751</v>
      </c>
      <c r="B44" s="29">
        <v>0.2</v>
      </c>
      <c r="C44" s="36">
        <f t="shared" si="5"/>
        <v>5.08</v>
      </c>
      <c r="D44" s="47">
        <f t="shared" si="1"/>
        <v>3.4260117647058843</v>
      </c>
      <c r="E44" s="47">
        <f t="shared" si="2"/>
        <v>6.4362692545464979</v>
      </c>
      <c r="F44" s="47">
        <f t="shared" si="3"/>
        <v>1.6539882352941158</v>
      </c>
      <c r="G44" s="24">
        <f t="shared" si="4"/>
        <v>0.25697934158453045</v>
      </c>
    </row>
    <row r="45" spans="1:7" x14ac:dyDescent="0.25">
      <c r="A45" s="56">
        <v>41781</v>
      </c>
      <c r="B45" s="29">
        <v>0.14000000000000001</v>
      </c>
      <c r="C45" s="36">
        <f t="shared" si="5"/>
        <v>3.556</v>
      </c>
      <c r="D45" s="47">
        <f t="shared" si="1"/>
        <v>3.4260117647058843</v>
      </c>
      <c r="E45" s="47">
        <f t="shared" si="2"/>
        <v>6.4362692545464979</v>
      </c>
      <c r="F45" s="47">
        <f t="shared" si="3"/>
        <v>0.12998823529411574</v>
      </c>
      <c r="G45" s="24">
        <f t="shared" si="4"/>
        <v>2.0196208417212147E-2</v>
      </c>
    </row>
    <row r="46" spans="1:7" x14ac:dyDescent="0.25">
      <c r="A46" s="56">
        <v>41812</v>
      </c>
      <c r="B46" s="29">
        <v>0.08</v>
      </c>
      <c r="C46" s="36">
        <f t="shared" si="5"/>
        <v>2.032</v>
      </c>
      <c r="D46" s="47">
        <f t="shared" si="1"/>
        <v>3.4260117647058843</v>
      </c>
      <c r="E46" s="47">
        <f t="shared" si="2"/>
        <v>6.4362692545464979</v>
      </c>
      <c r="F46" s="47">
        <f t="shared" si="3"/>
        <v>-1.3940117647058843</v>
      </c>
      <c r="G46" s="24">
        <f t="shared" si="4"/>
        <v>-0.21658692475010616</v>
      </c>
    </row>
    <row r="47" spans="1:7" x14ac:dyDescent="0.25">
      <c r="A47" s="56">
        <v>41842</v>
      </c>
      <c r="B47" s="29">
        <v>0.04</v>
      </c>
      <c r="C47" s="36">
        <f t="shared" si="5"/>
        <v>1.016</v>
      </c>
      <c r="D47" s="47">
        <f t="shared" si="1"/>
        <v>3.4260117647058843</v>
      </c>
      <c r="E47" s="47">
        <f t="shared" si="2"/>
        <v>6.4362692545464979</v>
      </c>
      <c r="F47" s="47">
        <f t="shared" si="3"/>
        <v>-2.4100117647058843</v>
      </c>
      <c r="G47" s="24">
        <f t="shared" si="4"/>
        <v>-0.37444234686165173</v>
      </c>
    </row>
    <row r="48" spans="1:7" x14ac:dyDescent="0.25">
      <c r="A48" s="56">
        <v>41873</v>
      </c>
      <c r="B48" s="29">
        <v>0.02</v>
      </c>
      <c r="C48" s="36">
        <f t="shared" si="5"/>
        <v>0.50800000000000001</v>
      </c>
      <c r="D48" s="47">
        <f t="shared" si="1"/>
        <v>3.4260117647058843</v>
      </c>
      <c r="E48" s="47">
        <f t="shared" si="2"/>
        <v>6.4362692545464979</v>
      </c>
      <c r="F48" s="47">
        <f t="shared" si="3"/>
        <v>-2.9180117647058843</v>
      </c>
      <c r="G48" s="24">
        <f t="shared" si="4"/>
        <v>-0.45337005791742452</v>
      </c>
    </row>
    <row r="49" spans="1:7" x14ac:dyDescent="0.25">
      <c r="A49" s="56">
        <v>41904</v>
      </c>
      <c r="B49" s="29">
        <v>0.01</v>
      </c>
      <c r="C49" s="36">
        <f t="shared" si="5"/>
        <v>0.254</v>
      </c>
      <c r="D49" s="47">
        <f t="shared" si="1"/>
        <v>3.4260117647058843</v>
      </c>
      <c r="E49" s="47">
        <f t="shared" si="2"/>
        <v>6.4362692545464979</v>
      </c>
      <c r="F49" s="47">
        <f t="shared" si="3"/>
        <v>-3.1720117647058843</v>
      </c>
      <c r="G49" s="24">
        <f t="shared" si="4"/>
        <v>-0.49283391344531086</v>
      </c>
    </row>
    <row r="50" spans="1:7" x14ac:dyDescent="0.25">
      <c r="A50" s="56">
        <v>41934</v>
      </c>
      <c r="B50" s="29">
        <v>0.02</v>
      </c>
      <c r="C50" s="36">
        <f t="shared" si="5"/>
        <v>0.50800000000000001</v>
      </c>
      <c r="D50" s="47">
        <f t="shared" si="1"/>
        <v>3.4260117647058843</v>
      </c>
      <c r="E50" s="47">
        <f t="shared" si="2"/>
        <v>6.4362692545464979</v>
      </c>
      <c r="F50" s="47">
        <f t="shared" si="3"/>
        <v>-2.9180117647058843</v>
      </c>
      <c r="G50" s="24">
        <f t="shared" si="4"/>
        <v>-0.45337005791742452</v>
      </c>
    </row>
    <row r="51" spans="1:7" x14ac:dyDescent="0.25">
      <c r="A51" s="56">
        <v>41965</v>
      </c>
      <c r="B51" s="29">
        <v>0.06</v>
      </c>
      <c r="C51" s="36">
        <f t="shared" si="5"/>
        <v>1.5239999999999998</v>
      </c>
      <c r="D51" s="47">
        <f t="shared" si="1"/>
        <v>3.4260117647058843</v>
      </c>
      <c r="E51" s="47">
        <f t="shared" si="2"/>
        <v>6.4362692545464979</v>
      </c>
      <c r="F51" s="47">
        <f t="shared" si="3"/>
        <v>-1.9020117647058845</v>
      </c>
      <c r="G51" s="24">
        <f t="shared" si="4"/>
        <v>-0.295514635805879</v>
      </c>
    </row>
    <row r="52" spans="1:7" x14ac:dyDescent="0.25">
      <c r="A52" s="56">
        <v>41995</v>
      </c>
      <c r="B52" s="29">
        <v>0.25</v>
      </c>
      <c r="C52" s="36">
        <f t="shared" si="5"/>
        <v>6.35</v>
      </c>
      <c r="D52" s="47">
        <f t="shared" si="1"/>
        <v>3.4260117647058843</v>
      </c>
      <c r="E52" s="47">
        <f t="shared" si="2"/>
        <v>6.4362692545464979</v>
      </c>
      <c r="F52" s="47">
        <f t="shared" si="3"/>
        <v>2.9239882352941153</v>
      </c>
      <c r="G52" s="24">
        <f t="shared" si="4"/>
        <v>0.45429861922396231</v>
      </c>
    </row>
    <row r="53" spans="1:7" x14ac:dyDescent="0.25">
      <c r="A53" s="56">
        <v>42026</v>
      </c>
      <c r="B53" s="29">
        <v>0.02</v>
      </c>
      <c r="C53" s="36">
        <f t="shared" si="5"/>
        <v>0.50800000000000001</v>
      </c>
      <c r="D53" s="47">
        <f t="shared" si="1"/>
        <v>3.4260117647058843</v>
      </c>
      <c r="E53" s="47">
        <f t="shared" si="2"/>
        <v>6.4362692545464979</v>
      </c>
      <c r="F53" s="47">
        <f t="shared" si="3"/>
        <v>-2.9180117647058843</v>
      </c>
      <c r="G53" s="24">
        <f t="shared" si="4"/>
        <v>-0.45337005791742452</v>
      </c>
    </row>
    <row r="54" spans="1:7" x14ac:dyDescent="0.25">
      <c r="A54" s="56">
        <v>42057</v>
      </c>
      <c r="B54" s="29">
        <v>0.12</v>
      </c>
      <c r="C54" s="36">
        <f t="shared" si="5"/>
        <v>3.0479999999999996</v>
      </c>
      <c r="D54" s="47">
        <f t="shared" si="1"/>
        <v>3.4260117647058843</v>
      </c>
      <c r="E54" s="47">
        <f t="shared" si="2"/>
        <v>6.4362692545464979</v>
      </c>
      <c r="F54" s="47">
        <f t="shared" si="3"/>
        <v>-0.37801176470588471</v>
      </c>
      <c r="G54" s="24">
        <f t="shared" si="4"/>
        <v>-5.8731502638560695E-2</v>
      </c>
    </row>
    <row r="55" spans="1:7" x14ac:dyDescent="0.25">
      <c r="A55" s="56">
        <v>42085</v>
      </c>
      <c r="B55" s="29">
        <v>7.0000000000000007E-2</v>
      </c>
      <c r="C55" s="36">
        <f t="shared" si="5"/>
        <v>1.778</v>
      </c>
      <c r="D55" s="47">
        <f t="shared" si="1"/>
        <v>3.4260117647058843</v>
      </c>
      <c r="E55" s="47">
        <f t="shared" si="2"/>
        <v>6.4362692545464979</v>
      </c>
      <c r="F55" s="47">
        <f t="shared" si="3"/>
        <v>-1.6480117647058843</v>
      </c>
      <c r="G55" s="24">
        <f t="shared" si="4"/>
        <v>-0.25605078027799255</v>
      </c>
    </row>
    <row r="56" spans="1:7" x14ac:dyDescent="0.25">
      <c r="A56" s="56">
        <v>42116</v>
      </c>
      <c r="B56" s="29">
        <v>0.03</v>
      </c>
      <c r="C56" s="36">
        <f t="shared" si="5"/>
        <v>0.7619999999999999</v>
      </c>
      <c r="D56" s="47">
        <f t="shared" si="1"/>
        <v>3.4260117647058843</v>
      </c>
      <c r="E56" s="47">
        <f t="shared" si="2"/>
        <v>6.4362692545464979</v>
      </c>
      <c r="F56" s="47">
        <f t="shared" si="3"/>
        <v>-2.6640117647058843</v>
      </c>
      <c r="G56" s="24">
        <f t="shared" si="4"/>
        <v>-0.41390620238953812</v>
      </c>
    </row>
    <row r="57" spans="1:7" x14ac:dyDescent="0.25">
      <c r="A57" s="56">
        <v>42146</v>
      </c>
      <c r="B57" s="29">
        <v>0.03</v>
      </c>
      <c r="C57" s="36">
        <f t="shared" si="5"/>
        <v>0.7619999999999999</v>
      </c>
      <c r="D57" s="47">
        <f t="shared" si="1"/>
        <v>3.4260117647058843</v>
      </c>
      <c r="E57" s="47">
        <f t="shared" si="2"/>
        <v>6.4362692545464979</v>
      </c>
      <c r="F57" s="47">
        <f t="shared" si="3"/>
        <v>-2.6640117647058843</v>
      </c>
      <c r="G57" s="24">
        <f t="shared" si="4"/>
        <v>-0.41390620238953812</v>
      </c>
    </row>
    <row r="58" spans="1:7" x14ac:dyDescent="0.25">
      <c r="A58" s="56">
        <v>42177</v>
      </c>
      <c r="B58" s="29">
        <v>0.02</v>
      </c>
      <c r="C58" s="36">
        <f t="shared" si="5"/>
        <v>0.50800000000000001</v>
      </c>
      <c r="D58" s="47">
        <f t="shared" si="1"/>
        <v>3.4260117647058843</v>
      </c>
      <c r="E58" s="47">
        <f t="shared" si="2"/>
        <v>6.4362692545464979</v>
      </c>
      <c r="F58" s="47">
        <f t="shared" si="3"/>
        <v>-2.9180117647058843</v>
      </c>
      <c r="G58" s="24">
        <f t="shared" si="4"/>
        <v>-0.45337005791742452</v>
      </c>
    </row>
    <row r="59" spans="1:7" x14ac:dyDescent="0.25">
      <c r="A59" s="56">
        <v>42207</v>
      </c>
      <c r="B59" s="29">
        <v>0.01</v>
      </c>
      <c r="C59" s="36">
        <f t="shared" si="5"/>
        <v>0.254</v>
      </c>
      <c r="D59" s="47">
        <f t="shared" si="1"/>
        <v>3.4260117647058843</v>
      </c>
      <c r="E59" s="47">
        <f t="shared" si="2"/>
        <v>6.4362692545464979</v>
      </c>
      <c r="F59" s="47">
        <f t="shared" si="3"/>
        <v>-3.1720117647058843</v>
      </c>
      <c r="G59" s="24">
        <f t="shared" si="4"/>
        <v>-0.49283391344531086</v>
      </c>
    </row>
    <row r="60" spans="1:7" x14ac:dyDescent="0.25">
      <c r="A60" s="56">
        <v>42238</v>
      </c>
      <c r="B60" s="29">
        <v>0.01</v>
      </c>
      <c r="C60" s="36">
        <f t="shared" si="5"/>
        <v>0.254</v>
      </c>
      <c r="D60" s="47">
        <f t="shared" si="1"/>
        <v>3.4260117647058843</v>
      </c>
      <c r="E60" s="47">
        <f t="shared" si="2"/>
        <v>6.4362692545464979</v>
      </c>
      <c r="F60" s="47">
        <f t="shared" si="3"/>
        <v>-3.1720117647058843</v>
      </c>
      <c r="G60" s="24">
        <f t="shared" si="4"/>
        <v>-0.49283391344531086</v>
      </c>
    </row>
    <row r="61" spans="1:7" x14ac:dyDescent="0.25">
      <c r="A61" s="56">
        <v>42269</v>
      </c>
      <c r="B61" s="29">
        <v>0.02</v>
      </c>
      <c r="C61" s="36">
        <f t="shared" si="5"/>
        <v>0.50800000000000001</v>
      </c>
      <c r="D61" s="47">
        <f t="shared" si="1"/>
        <v>3.4260117647058843</v>
      </c>
      <c r="E61" s="47">
        <f t="shared" si="2"/>
        <v>6.4362692545464979</v>
      </c>
      <c r="F61" s="47">
        <f t="shared" si="3"/>
        <v>-2.9180117647058843</v>
      </c>
      <c r="G61" s="24">
        <f t="shared" si="4"/>
        <v>-0.45337005791742452</v>
      </c>
    </row>
    <row r="62" spans="1:7" x14ac:dyDescent="0.25">
      <c r="A62" s="56">
        <v>42299</v>
      </c>
      <c r="B62" s="29">
        <v>0</v>
      </c>
      <c r="C62" s="36">
        <f t="shared" si="5"/>
        <v>0</v>
      </c>
      <c r="D62" s="47">
        <f t="shared" si="1"/>
        <v>3.4260117647058843</v>
      </c>
      <c r="E62" s="47">
        <f t="shared" si="2"/>
        <v>6.4362692545464979</v>
      </c>
      <c r="F62" s="47">
        <f t="shared" si="3"/>
        <v>-3.4260117647058843</v>
      </c>
      <c r="G62" s="24">
        <f t="shared" si="4"/>
        <v>-0.53229776897319725</v>
      </c>
    </row>
    <row r="63" spans="1:7" x14ac:dyDescent="0.25">
      <c r="A63" s="56">
        <v>42330</v>
      </c>
      <c r="B63" s="29">
        <v>0</v>
      </c>
      <c r="C63" s="36">
        <f t="shared" si="5"/>
        <v>0</v>
      </c>
      <c r="D63" s="47">
        <f t="shared" si="1"/>
        <v>3.4260117647058843</v>
      </c>
      <c r="E63" s="47">
        <f t="shared" si="2"/>
        <v>6.4362692545464979</v>
      </c>
      <c r="F63" s="47">
        <f t="shared" si="3"/>
        <v>-3.4260117647058843</v>
      </c>
      <c r="G63" s="24">
        <f t="shared" si="4"/>
        <v>-0.53229776897319725</v>
      </c>
    </row>
    <row r="64" spans="1:7" x14ac:dyDescent="0.25">
      <c r="A64" s="56">
        <v>42360</v>
      </c>
      <c r="B64" s="29">
        <v>0.01</v>
      </c>
      <c r="C64" s="36">
        <f t="shared" si="5"/>
        <v>0.254</v>
      </c>
      <c r="D64" s="47">
        <f t="shared" si="1"/>
        <v>3.4260117647058843</v>
      </c>
      <c r="E64" s="47">
        <f t="shared" si="2"/>
        <v>6.4362692545464979</v>
      </c>
      <c r="F64" s="47">
        <f t="shared" si="3"/>
        <v>-3.1720117647058843</v>
      </c>
      <c r="G64" s="24">
        <f t="shared" si="4"/>
        <v>-0.49283391344531086</v>
      </c>
    </row>
    <row r="65" spans="1:7" x14ac:dyDescent="0.25">
      <c r="A65" s="56">
        <v>42391</v>
      </c>
      <c r="B65" s="29">
        <v>0</v>
      </c>
      <c r="C65" s="36">
        <f t="shared" si="5"/>
        <v>0</v>
      </c>
      <c r="D65" s="47">
        <f t="shared" si="1"/>
        <v>3.4260117647058843</v>
      </c>
      <c r="E65" s="47">
        <f t="shared" si="2"/>
        <v>6.4362692545464979</v>
      </c>
      <c r="F65" s="47">
        <f t="shared" si="3"/>
        <v>-3.4260117647058843</v>
      </c>
      <c r="G65" s="24">
        <f t="shared" si="4"/>
        <v>-0.53229776897319725</v>
      </c>
    </row>
    <row r="66" spans="1:7" x14ac:dyDescent="0.25">
      <c r="A66" s="56">
        <v>42422</v>
      </c>
      <c r="B66" s="29">
        <v>0</v>
      </c>
      <c r="C66" s="36">
        <f t="shared" si="5"/>
        <v>0</v>
      </c>
      <c r="D66" s="47">
        <f t="shared" si="1"/>
        <v>3.4260117647058843</v>
      </c>
      <c r="E66" s="47">
        <f t="shared" si="2"/>
        <v>6.4362692545464979</v>
      </c>
      <c r="F66" s="47">
        <f t="shared" si="3"/>
        <v>-3.4260117647058843</v>
      </c>
      <c r="G66" s="24">
        <f t="shared" si="4"/>
        <v>-0.53229776897319725</v>
      </c>
    </row>
    <row r="67" spans="1:7" x14ac:dyDescent="0.25">
      <c r="A67" s="56">
        <v>42451</v>
      </c>
      <c r="B67" s="29">
        <v>0.03</v>
      </c>
      <c r="C67" s="36">
        <f t="shared" si="5"/>
        <v>0.7619999999999999</v>
      </c>
      <c r="D67" s="47">
        <f t="shared" si="1"/>
        <v>3.4260117647058843</v>
      </c>
      <c r="E67" s="47">
        <f t="shared" si="2"/>
        <v>6.4362692545464979</v>
      </c>
      <c r="F67" s="47">
        <f t="shared" si="3"/>
        <v>-2.6640117647058843</v>
      </c>
      <c r="G67" s="24">
        <f t="shared" si="4"/>
        <v>-0.41390620238953812</v>
      </c>
    </row>
    <row r="68" spans="1:7" x14ac:dyDescent="0.25">
      <c r="A68" s="56">
        <v>42482</v>
      </c>
      <c r="B68" s="29">
        <v>0.01</v>
      </c>
      <c r="C68" s="36">
        <f t="shared" si="5"/>
        <v>0.254</v>
      </c>
      <c r="D68" s="47">
        <f t="shared" si="1"/>
        <v>3.4260117647058843</v>
      </c>
      <c r="E68" s="47">
        <f t="shared" si="2"/>
        <v>6.4362692545464979</v>
      </c>
      <c r="F68" s="47">
        <f t="shared" si="3"/>
        <v>-3.1720117647058843</v>
      </c>
      <c r="G68" s="24">
        <f t="shared" si="4"/>
        <v>-0.49283391344531086</v>
      </c>
    </row>
    <row r="69" spans="1:7" x14ac:dyDescent="0.25">
      <c r="A69" s="56">
        <v>42512</v>
      </c>
      <c r="B69" s="29">
        <v>0.01</v>
      </c>
      <c r="C69" s="36">
        <f t="shared" ref="C69:C100" si="6">$D$1*B69</f>
        <v>0.254</v>
      </c>
      <c r="D69" s="47">
        <f t="shared" si="1"/>
        <v>3.4260117647058843</v>
      </c>
      <c r="E69" s="47">
        <f t="shared" si="2"/>
        <v>6.4362692545464979</v>
      </c>
      <c r="F69" s="47">
        <f t="shared" si="3"/>
        <v>-3.1720117647058843</v>
      </c>
      <c r="G69" s="24">
        <f t="shared" si="4"/>
        <v>-0.49283391344531086</v>
      </c>
    </row>
    <row r="70" spans="1:7" x14ac:dyDescent="0.25">
      <c r="A70" s="56">
        <v>42543</v>
      </c>
      <c r="B70" s="29">
        <v>0.01</v>
      </c>
      <c r="C70" s="36">
        <f t="shared" si="6"/>
        <v>0.254</v>
      </c>
      <c r="D70" s="47">
        <f t="shared" ref="D70:D133" si="7">AVERAGE($C$5:$C$174)</f>
        <v>3.4260117647058843</v>
      </c>
      <c r="E70" s="47">
        <f t="shared" ref="E70:E133" si="8">_xlfn.STDEV.S($C$5:$C$174)</f>
        <v>6.4362692545464979</v>
      </c>
      <c r="F70" s="47">
        <f t="shared" ref="F70:F133" si="9">C70-D70</f>
        <v>-3.1720117647058843</v>
      </c>
      <c r="G70" s="24">
        <f t="shared" ref="G70:G133" si="10">F70/E70</f>
        <v>-0.49283391344531086</v>
      </c>
    </row>
    <row r="71" spans="1:7" x14ac:dyDescent="0.25">
      <c r="A71" s="56">
        <v>42573</v>
      </c>
      <c r="B71" s="29">
        <v>0.01</v>
      </c>
      <c r="C71" s="36">
        <f t="shared" si="6"/>
        <v>0.254</v>
      </c>
      <c r="D71" s="47">
        <f t="shared" si="7"/>
        <v>3.4260117647058843</v>
      </c>
      <c r="E71" s="47">
        <f t="shared" si="8"/>
        <v>6.4362692545464979</v>
      </c>
      <c r="F71" s="47">
        <f t="shared" si="9"/>
        <v>-3.1720117647058843</v>
      </c>
      <c r="G71" s="24">
        <f t="shared" si="10"/>
        <v>-0.49283391344531086</v>
      </c>
    </row>
    <row r="72" spans="1:7" x14ac:dyDescent="0.25">
      <c r="A72" s="56">
        <v>42604</v>
      </c>
      <c r="B72" s="29">
        <v>0.01</v>
      </c>
      <c r="C72" s="36">
        <f t="shared" si="6"/>
        <v>0.254</v>
      </c>
      <c r="D72" s="47">
        <f t="shared" si="7"/>
        <v>3.4260117647058843</v>
      </c>
      <c r="E72" s="47">
        <f t="shared" si="8"/>
        <v>6.4362692545464979</v>
      </c>
      <c r="F72" s="47">
        <f t="shared" si="9"/>
        <v>-3.1720117647058843</v>
      </c>
      <c r="G72" s="24">
        <f t="shared" si="10"/>
        <v>-0.49283391344531086</v>
      </c>
    </row>
    <row r="73" spans="1:7" x14ac:dyDescent="0.25">
      <c r="A73" s="56">
        <v>42635</v>
      </c>
      <c r="B73" s="29">
        <v>0</v>
      </c>
      <c r="C73" s="36">
        <f t="shared" si="6"/>
        <v>0</v>
      </c>
      <c r="D73" s="47">
        <f t="shared" si="7"/>
        <v>3.4260117647058843</v>
      </c>
      <c r="E73" s="47">
        <f t="shared" si="8"/>
        <v>6.4362692545464979</v>
      </c>
      <c r="F73" s="47">
        <f t="shared" si="9"/>
        <v>-3.4260117647058843</v>
      </c>
      <c r="G73" s="24">
        <f t="shared" si="10"/>
        <v>-0.53229776897319725</v>
      </c>
    </row>
    <row r="74" spans="1:7" x14ac:dyDescent="0.25">
      <c r="A74" s="56">
        <v>42665</v>
      </c>
      <c r="B74" s="29">
        <v>0.01</v>
      </c>
      <c r="C74" s="36">
        <f t="shared" si="6"/>
        <v>0.254</v>
      </c>
      <c r="D74" s="47">
        <f t="shared" si="7"/>
        <v>3.4260117647058843</v>
      </c>
      <c r="E74" s="47">
        <f t="shared" si="8"/>
        <v>6.4362692545464979</v>
      </c>
      <c r="F74" s="47">
        <f t="shared" si="9"/>
        <v>-3.1720117647058843</v>
      </c>
      <c r="G74" s="24">
        <f t="shared" si="10"/>
        <v>-0.49283391344531086</v>
      </c>
    </row>
    <row r="75" spans="1:7" x14ac:dyDescent="0.25">
      <c r="A75" s="56">
        <v>42696</v>
      </c>
      <c r="B75" s="29">
        <v>0.02</v>
      </c>
      <c r="C75" s="36">
        <f t="shared" si="6"/>
        <v>0.50800000000000001</v>
      </c>
      <c r="D75" s="47">
        <f t="shared" si="7"/>
        <v>3.4260117647058843</v>
      </c>
      <c r="E75" s="47">
        <f t="shared" si="8"/>
        <v>6.4362692545464979</v>
      </c>
      <c r="F75" s="47">
        <f t="shared" si="9"/>
        <v>-2.9180117647058843</v>
      </c>
      <c r="G75" s="24">
        <f t="shared" si="10"/>
        <v>-0.45337005791742452</v>
      </c>
    </row>
    <row r="76" spans="1:7" x14ac:dyDescent="0.25">
      <c r="A76" s="56">
        <v>42726</v>
      </c>
      <c r="B76" s="29">
        <v>0.06</v>
      </c>
      <c r="C76" s="36">
        <f t="shared" si="6"/>
        <v>1.5239999999999998</v>
      </c>
      <c r="D76" s="47">
        <f t="shared" si="7"/>
        <v>3.4260117647058843</v>
      </c>
      <c r="E76" s="47">
        <f t="shared" si="8"/>
        <v>6.4362692545464979</v>
      </c>
      <c r="F76" s="47">
        <f t="shared" si="9"/>
        <v>-1.9020117647058845</v>
      </c>
      <c r="G76" s="24">
        <f t="shared" si="10"/>
        <v>-0.295514635805879</v>
      </c>
    </row>
    <row r="77" spans="1:7" x14ac:dyDescent="0.25">
      <c r="A77" s="56">
        <v>42757</v>
      </c>
      <c r="B77" s="29">
        <v>0.13</v>
      </c>
      <c r="C77" s="36">
        <f t="shared" si="6"/>
        <v>3.302</v>
      </c>
      <c r="D77" s="47">
        <f t="shared" si="7"/>
        <v>3.4260117647058843</v>
      </c>
      <c r="E77" s="47">
        <f t="shared" si="8"/>
        <v>6.4362692545464979</v>
      </c>
      <c r="F77" s="47">
        <f t="shared" si="9"/>
        <v>-0.12401176470588426</v>
      </c>
      <c r="G77" s="24">
        <f t="shared" si="10"/>
        <v>-1.9267647110674239E-2</v>
      </c>
    </row>
    <row r="78" spans="1:7" x14ac:dyDescent="0.25">
      <c r="A78" s="56">
        <v>42788</v>
      </c>
      <c r="B78" s="29">
        <v>0.18</v>
      </c>
      <c r="C78" s="36">
        <f t="shared" si="6"/>
        <v>4.5719999999999992</v>
      </c>
      <c r="D78" s="47">
        <f t="shared" si="7"/>
        <v>3.4260117647058843</v>
      </c>
      <c r="E78" s="47">
        <f t="shared" si="8"/>
        <v>6.4362692545464979</v>
      </c>
      <c r="F78" s="47">
        <f t="shared" si="9"/>
        <v>1.1459882352941149</v>
      </c>
      <c r="G78" s="24">
        <f t="shared" si="10"/>
        <v>0.17805163052875755</v>
      </c>
    </row>
    <row r="79" spans="1:7" x14ac:dyDescent="0.25">
      <c r="A79" s="56">
        <v>42816</v>
      </c>
      <c r="B79" s="29">
        <v>0.08</v>
      </c>
      <c r="C79" s="36">
        <f t="shared" si="6"/>
        <v>2.032</v>
      </c>
      <c r="D79" s="47">
        <f t="shared" si="7"/>
        <v>3.4260117647058843</v>
      </c>
      <c r="E79" s="47">
        <f t="shared" si="8"/>
        <v>6.4362692545464979</v>
      </c>
      <c r="F79" s="47">
        <f t="shared" si="9"/>
        <v>-1.3940117647058843</v>
      </c>
      <c r="G79" s="24">
        <f t="shared" si="10"/>
        <v>-0.21658692475010616</v>
      </c>
    </row>
    <row r="80" spans="1:7" x14ac:dyDescent="0.25">
      <c r="A80" s="56">
        <v>42847</v>
      </c>
      <c r="B80" s="29">
        <v>0.02</v>
      </c>
      <c r="C80" s="36">
        <f t="shared" si="6"/>
        <v>0.50800000000000001</v>
      </c>
      <c r="D80" s="47">
        <f t="shared" si="7"/>
        <v>3.4260117647058843</v>
      </c>
      <c r="E80" s="47">
        <f t="shared" si="8"/>
        <v>6.4362692545464979</v>
      </c>
      <c r="F80" s="47">
        <f t="shared" si="9"/>
        <v>-2.9180117647058843</v>
      </c>
      <c r="G80" s="24">
        <f t="shared" si="10"/>
        <v>-0.45337005791742452</v>
      </c>
    </row>
    <row r="81" spans="1:7" x14ac:dyDescent="0.25">
      <c r="A81" s="56">
        <v>42877</v>
      </c>
      <c r="B81" s="29">
        <v>0.05</v>
      </c>
      <c r="C81" s="36">
        <f t="shared" si="6"/>
        <v>1.27</v>
      </c>
      <c r="D81" s="47">
        <f t="shared" si="7"/>
        <v>3.4260117647058843</v>
      </c>
      <c r="E81" s="47">
        <f t="shared" si="8"/>
        <v>6.4362692545464979</v>
      </c>
      <c r="F81" s="47">
        <f t="shared" si="9"/>
        <v>-2.1560117647058843</v>
      </c>
      <c r="G81" s="24">
        <f t="shared" si="10"/>
        <v>-0.33497849133376534</v>
      </c>
    </row>
    <row r="82" spans="1:7" x14ac:dyDescent="0.25">
      <c r="A82" s="56">
        <v>42908</v>
      </c>
      <c r="B82" s="29">
        <v>0.01</v>
      </c>
      <c r="C82" s="36">
        <f t="shared" si="6"/>
        <v>0.254</v>
      </c>
      <c r="D82" s="47">
        <f t="shared" si="7"/>
        <v>3.4260117647058843</v>
      </c>
      <c r="E82" s="47">
        <f t="shared" si="8"/>
        <v>6.4362692545464979</v>
      </c>
      <c r="F82" s="47">
        <f t="shared" si="9"/>
        <v>-3.1720117647058843</v>
      </c>
      <c r="G82" s="24">
        <f t="shared" si="10"/>
        <v>-0.49283391344531086</v>
      </c>
    </row>
    <row r="83" spans="1:7" x14ac:dyDescent="0.25">
      <c r="A83" s="56">
        <v>42938</v>
      </c>
      <c r="B83" s="29">
        <v>0.01</v>
      </c>
      <c r="C83" s="36">
        <f t="shared" si="6"/>
        <v>0.254</v>
      </c>
      <c r="D83" s="47">
        <f t="shared" si="7"/>
        <v>3.4260117647058843</v>
      </c>
      <c r="E83" s="47">
        <f t="shared" si="8"/>
        <v>6.4362692545464979</v>
      </c>
      <c r="F83" s="47">
        <f t="shared" si="9"/>
        <v>-3.1720117647058843</v>
      </c>
      <c r="G83" s="24">
        <f t="shared" si="10"/>
        <v>-0.49283391344531086</v>
      </c>
    </row>
    <row r="84" spans="1:7" x14ac:dyDescent="0.25">
      <c r="A84" s="56">
        <v>42969</v>
      </c>
      <c r="B84" s="29">
        <v>0.01</v>
      </c>
      <c r="C84" s="36">
        <f t="shared" si="6"/>
        <v>0.254</v>
      </c>
      <c r="D84" s="47">
        <f t="shared" si="7"/>
        <v>3.4260117647058843</v>
      </c>
      <c r="E84" s="47">
        <f t="shared" si="8"/>
        <v>6.4362692545464979</v>
      </c>
      <c r="F84" s="47">
        <f t="shared" si="9"/>
        <v>-3.1720117647058843</v>
      </c>
      <c r="G84" s="24">
        <f t="shared" si="10"/>
        <v>-0.49283391344531086</v>
      </c>
    </row>
    <row r="85" spans="1:7" x14ac:dyDescent="0.25">
      <c r="A85" s="56">
        <v>43000</v>
      </c>
      <c r="B85" s="29">
        <v>0.01</v>
      </c>
      <c r="C85" s="36">
        <f t="shared" si="6"/>
        <v>0.254</v>
      </c>
      <c r="D85" s="47">
        <f t="shared" si="7"/>
        <v>3.4260117647058843</v>
      </c>
      <c r="E85" s="47">
        <f t="shared" si="8"/>
        <v>6.4362692545464979</v>
      </c>
      <c r="F85" s="47">
        <f t="shared" si="9"/>
        <v>-3.1720117647058843</v>
      </c>
      <c r="G85" s="24">
        <f t="shared" si="10"/>
        <v>-0.49283391344531086</v>
      </c>
    </row>
    <row r="86" spans="1:7" x14ac:dyDescent="0.25">
      <c r="A86" s="56">
        <v>43030</v>
      </c>
      <c r="B86" s="29">
        <v>0.01</v>
      </c>
      <c r="C86" s="36">
        <f t="shared" si="6"/>
        <v>0.254</v>
      </c>
      <c r="D86" s="47">
        <f t="shared" si="7"/>
        <v>3.4260117647058843</v>
      </c>
      <c r="E86" s="47">
        <f t="shared" si="8"/>
        <v>6.4362692545464979</v>
      </c>
      <c r="F86" s="47">
        <f t="shared" si="9"/>
        <v>-3.1720117647058843</v>
      </c>
      <c r="G86" s="24">
        <f t="shared" si="10"/>
        <v>-0.49283391344531086</v>
      </c>
    </row>
    <row r="87" spans="1:7" x14ac:dyDescent="0.25">
      <c r="A87" s="56">
        <v>43061</v>
      </c>
      <c r="B87" s="29">
        <v>0.04</v>
      </c>
      <c r="C87" s="36">
        <f t="shared" si="6"/>
        <v>1.016</v>
      </c>
      <c r="D87" s="47">
        <f t="shared" si="7"/>
        <v>3.4260117647058843</v>
      </c>
      <c r="E87" s="47">
        <f t="shared" si="8"/>
        <v>6.4362692545464979</v>
      </c>
      <c r="F87" s="47">
        <f t="shared" si="9"/>
        <v>-2.4100117647058843</v>
      </c>
      <c r="G87" s="24">
        <f t="shared" si="10"/>
        <v>-0.37444234686165173</v>
      </c>
    </row>
    <row r="88" spans="1:7" x14ac:dyDescent="0.25">
      <c r="A88" s="56">
        <v>43091</v>
      </c>
      <c r="B88" s="29">
        <v>7.0000000000000007E-2</v>
      </c>
      <c r="C88" s="36">
        <f t="shared" si="6"/>
        <v>1.778</v>
      </c>
      <c r="D88" s="47">
        <f t="shared" si="7"/>
        <v>3.4260117647058843</v>
      </c>
      <c r="E88" s="47">
        <f t="shared" si="8"/>
        <v>6.4362692545464979</v>
      </c>
      <c r="F88" s="47">
        <f t="shared" si="9"/>
        <v>-1.6480117647058843</v>
      </c>
      <c r="G88" s="24">
        <f t="shared" si="10"/>
        <v>-0.25605078027799255</v>
      </c>
    </row>
    <row r="89" spans="1:7" x14ac:dyDescent="0.25">
      <c r="A89" s="56">
        <v>43122</v>
      </c>
      <c r="B89" s="29">
        <v>0.05</v>
      </c>
      <c r="C89" s="36">
        <f t="shared" si="6"/>
        <v>1.27</v>
      </c>
      <c r="D89" s="47">
        <f t="shared" si="7"/>
        <v>3.4260117647058843</v>
      </c>
      <c r="E89" s="47">
        <f t="shared" si="8"/>
        <v>6.4362692545464979</v>
      </c>
      <c r="F89" s="47">
        <f t="shared" si="9"/>
        <v>-2.1560117647058843</v>
      </c>
      <c r="G89" s="24">
        <f t="shared" si="10"/>
        <v>-0.33497849133376534</v>
      </c>
    </row>
    <row r="90" spans="1:7" x14ac:dyDescent="0.25">
      <c r="A90" s="56">
        <v>43153</v>
      </c>
      <c r="B90" s="29">
        <v>0.08</v>
      </c>
      <c r="C90" s="36">
        <f t="shared" si="6"/>
        <v>2.032</v>
      </c>
      <c r="D90" s="47">
        <f t="shared" si="7"/>
        <v>3.4260117647058843</v>
      </c>
      <c r="E90" s="47">
        <f t="shared" si="8"/>
        <v>6.4362692545464979</v>
      </c>
      <c r="F90" s="47">
        <f t="shared" si="9"/>
        <v>-1.3940117647058843</v>
      </c>
      <c r="G90" s="24">
        <f t="shared" si="10"/>
        <v>-0.21658692475010616</v>
      </c>
    </row>
    <row r="91" spans="1:7" x14ac:dyDescent="0.25">
      <c r="A91" s="56">
        <v>43181</v>
      </c>
      <c r="B91" s="29">
        <v>0.06</v>
      </c>
      <c r="C91" s="36">
        <f t="shared" si="6"/>
        <v>1.5239999999999998</v>
      </c>
      <c r="D91" s="47">
        <f t="shared" si="7"/>
        <v>3.4260117647058843</v>
      </c>
      <c r="E91" s="47">
        <f t="shared" si="8"/>
        <v>6.4362692545464979</v>
      </c>
      <c r="F91" s="47">
        <f t="shared" si="9"/>
        <v>-1.9020117647058845</v>
      </c>
      <c r="G91" s="24">
        <f t="shared" si="10"/>
        <v>-0.295514635805879</v>
      </c>
    </row>
    <row r="92" spans="1:7" x14ac:dyDescent="0.25">
      <c r="A92" s="56">
        <v>43212</v>
      </c>
      <c r="B92" s="29">
        <v>0.09</v>
      </c>
      <c r="C92" s="36">
        <f t="shared" si="6"/>
        <v>2.2859999999999996</v>
      </c>
      <c r="D92" s="47">
        <f t="shared" si="7"/>
        <v>3.4260117647058843</v>
      </c>
      <c r="E92" s="47">
        <f t="shared" si="8"/>
        <v>6.4362692545464979</v>
      </c>
      <c r="F92" s="47">
        <f t="shared" si="9"/>
        <v>-1.1400117647058847</v>
      </c>
      <c r="G92" s="24">
        <f t="shared" si="10"/>
        <v>-0.17712306922221985</v>
      </c>
    </row>
    <row r="93" spans="1:7" x14ac:dyDescent="0.25">
      <c r="A93" s="56">
        <v>43242</v>
      </c>
      <c r="B93" s="29">
        <v>0.04</v>
      </c>
      <c r="C93" s="36">
        <f t="shared" si="6"/>
        <v>1.016</v>
      </c>
      <c r="D93" s="47">
        <f t="shared" si="7"/>
        <v>3.4260117647058843</v>
      </c>
      <c r="E93" s="47">
        <f t="shared" si="8"/>
        <v>6.4362692545464979</v>
      </c>
      <c r="F93" s="47">
        <f t="shared" si="9"/>
        <v>-2.4100117647058843</v>
      </c>
      <c r="G93" s="24">
        <f t="shared" si="10"/>
        <v>-0.37444234686165173</v>
      </c>
    </row>
    <row r="94" spans="1:7" x14ac:dyDescent="0.25">
      <c r="A94" s="56">
        <v>43273</v>
      </c>
      <c r="B94" s="29">
        <v>0.04</v>
      </c>
      <c r="C94" s="36">
        <f t="shared" si="6"/>
        <v>1.016</v>
      </c>
      <c r="D94" s="47">
        <f t="shared" si="7"/>
        <v>3.4260117647058843</v>
      </c>
      <c r="E94" s="47">
        <f t="shared" si="8"/>
        <v>6.4362692545464979</v>
      </c>
      <c r="F94" s="47">
        <f t="shared" si="9"/>
        <v>-2.4100117647058843</v>
      </c>
      <c r="G94" s="24">
        <f t="shared" si="10"/>
        <v>-0.37444234686165173</v>
      </c>
    </row>
    <row r="95" spans="1:7" x14ac:dyDescent="0.25">
      <c r="A95" s="56">
        <v>43303</v>
      </c>
      <c r="B95" s="29">
        <v>0.01</v>
      </c>
      <c r="C95" s="36">
        <f t="shared" si="6"/>
        <v>0.254</v>
      </c>
      <c r="D95" s="47">
        <f t="shared" si="7"/>
        <v>3.4260117647058843</v>
      </c>
      <c r="E95" s="47">
        <f t="shared" si="8"/>
        <v>6.4362692545464979</v>
      </c>
      <c r="F95" s="47">
        <f t="shared" si="9"/>
        <v>-3.1720117647058843</v>
      </c>
      <c r="G95" s="24">
        <f t="shared" si="10"/>
        <v>-0.49283391344531086</v>
      </c>
    </row>
    <row r="96" spans="1:7" x14ac:dyDescent="0.25">
      <c r="A96" s="56">
        <v>43334</v>
      </c>
      <c r="B96" s="29">
        <v>0.01</v>
      </c>
      <c r="C96" s="36">
        <f t="shared" si="6"/>
        <v>0.254</v>
      </c>
      <c r="D96" s="47">
        <f t="shared" si="7"/>
        <v>3.4260117647058843</v>
      </c>
      <c r="E96" s="47">
        <f t="shared" si="8"/>
        <v>6.4362692545464979</v>
      </c>
      <c r="F96" s="47">
        <f t="shared" si="9"/>
        <v>-3.1720117647058843</v>
      </c>
      <c r="G96" s="24">
        <f t="shared" si="10"/>
        <v>-0.49283391344531086</v>
      </c>
    </row>
    <row r="97" spans="1:7" x14ac:dyDescent="0.25">
      <c r="A97" s="56">
        <v>43365</v>
      </c>
      <c r="B97" s="29">
        <v>0.01</v>
      </c>
      <c r="C97" s="36">
        <f t="shared" si="6"/>
        <v>0.254</v>
      </c>
      <c r="D97" s="47">
        <f t="shared" si="7"/>
        <v>3.4260117647058843</v>
      </c>
      <c r="E97" s="47">
        <f t="shared" si="8"/>
        <v>6.4362692545464979</v>
      </c>
      <c r="F97" s="47">
        <f t="shared" si="9"/>
        <v>-3.1720117647058843</v>
      </c>
      <c r="G97" s="24">
        <f t="shared" si="10"/>
        <v>-0.49283391344531086</v>
      </c>
    </row>
    <row r="98" spans="1:7" x14ac:dyDescent="0.25">
      <c r="A98" s="56">
        <v>43395</v>
      </c>
      <c r="B98" s="29">
        <v>0.01</v>
      </c>
      <c r="C98" s="36">
        <f t="shared" si="6"/>
        <v>0.254</v>
      </c>
      <c r="D98" s="47">
        <f t="shared" si="7"/>
        <v>3.4260117647058843</v>
      </c>
      <c r="E98" s="47">
        <f t="shared" si="8"/>
        <v>6.4362692545464979</v>
      </c>
      <c r="F98" s="47">
        <f t="shared" si="9"/>
        <v>-3.1720117647058843</v>
      </c>
      <c r="G98" s="24">
        <f t="shared" si="10"/>
        <v>-0.49283391344531086</v>
      </c>
    </row>
    <row r="99" spans="1:7" x14ac:dyDescent="0.25">
      <c r="A99" s="56">
        <v>43426</v>
      </c>
      <c r="B99" s="29">
        <v>0</v>
      </c>
      <c r="C99" s="36">
        <f t="shared" si="6"/>
        <v>0</v>
      </c>
      <c r="D99" s="47">
        <f t="shared" si="7"/>
        <v>3.4260117647058843</v>
      </c>
      <c r="E99" s="47">
        <f t="shared" si="8"/>
        <v>6.4362692545464979</v>
      </c>
      <c r="F99" s="47">
        <f t="shared" si="9"/>
        <v>-3.4260117647058843</v>
      </c>
      <c r="G99" s="24">
        <f t="shared" si="10"/>
        <v>-0.53229776897319725</v>
      </c>
    </row>
    <row r="100" spans="1:7" x14ac:dyDescent="0.25">
      <c r="A100" s="56">
        <v>43456</v>
      </c>
      <c r="B100" s="29">
        <v>0.02</v>
      </c>
      <c r="C100" s="36">
        <f t="shared" si="6"/>
        <v>0.50800000000000001</v>
      </c>
      <c r="D100" s="47">
        <f t="shared" si="7"/>
        <v>3.4260117647058843</v>
      </c>
      <c r="E100" s="47">
        <f t="shared" si="8"/>
        <v>6.4362692545464979</v>
      </c>
      <c r="F100" s="47">
        <f t="shared" si="9"/>
        <v>-2.9180117647058843</v>
      </c>
      <c r="G100" s="24">
        <f t="shared" si="10"/>
        <v>-0.45337005791742452</v>
      </c>
    </row>
    <row r="101" spans="1:7" x14ac:dyDescent="0.25">
      <c r="A101" s="56">
        <v>43487</v>
      </c>
      <c r="B101" s="29">
        <v>0.06</v>
      </c>
      <c r="C101" s="36">
        <f t="shared" ref="C101:C132" si="11">$D$1*B101</f>
        <v>1.5239999999999998</v>
      </c>
      <c r="D101" s="47">
        <f t="shared" si="7"/>
        <v>3.4260117647058843</v>
      </c>
      <c r="E101" s="47">
        <f t="shared" si="8"/>
        <v>6.4362692545464979</v>
      </c>
      <c r="F101" s="47">
        <f t="shared" si="9"/>
        <v>-1.9020117647058845</v>
      </c>
      <c r="G101" s="24">
        <f t="shared" si="10"/>
        <v>-0.295514635805879</v>
      </c>
    </row>
    <row r="102" spans="1:7" x14ac:dyDescent="0.25">
      <c r="A102" s="56">
        <v>43518</v>
      </c>
      <c r="B102" s="29">
        <v>0.21</v>
      </c>
      <c r="C102" s="36">
        <f t="shared" si="11"/>
        <v>5.3339999999999996</v>
      </c>
      <c r="D102" s="47">
        <f t="shared" si="7"/>
        <v>3.4260117647058843</v>
      </c>
      <c r="E102" s="47">
        <f t="shared" si="8"/>
        <v>6.4362692545464979</v>
      </c>
      <c r="F102" s="47">
        <f t="shared" si="9"/>
        <v>1.9079882352941153</v>
      </c>
      <c r="G102" s="24">
        <f t="shared" si="10"/>
        <v>0.29644319711241679</v>
      </c>
    </row>
    <row r="103" spans="1:7" x14ac:dyDescent="0.25">
      <c r="A103" s="56">
        <v>43546</v>
      </c>
      <c r="B103" s="29">
        <v>0.12</v>
      </c>
      <c r="C103" s="36">
        <f t="shared" si="11"/>
        <v>3.0479999999999996</v>
      </c>
      <c r="D103" s="47">
        <f t="shared" si="7"/>
        <v>3.4260117647058843</v>
      </c>
      <c r="E103" s="47">
        <f t="shared" si="8"/>
        <v>6.4362692545464979</v>
      </c>
      <c r="F103" s="47">
        <f t="shared" si="9"/>
        <v>-0.37801176470588471</v>
      </c>
      <c r="G103" s="24">
        <f t="shared" si="10"/>
        <v>-5.8731502638560695E-2</v>
      </c>
    </row>
    <row r="104" spans="1:7" x14ac:dyDescent="0.25">
      <c r="A104" s="56">
        <v>43577</v>
      </c>
      <c r="B104" s="29">
        <v>0.11</v>
      </c>
      <c r="C104" s="36">
        <f t="shared" si="11"/>
        <v>2.794</v>
      </c>
      <c r="D104" s="47">
        <f t="shared" si="7"/>
        <v>3.4260117647058843</v>
      </c>
      <c r="E104" s="47">
        <f t="shared" si="8"/>
        <v>6.4362692545464979</v>
      </c>
      <c r="F104" s="47">
        <f t="shared" si="9"/>
        <v>-0.63201176470588427</v>
      </c>
      <c r="G104" s="24">
        <f t="shared" si="10"/>
        <v>-9.8195358166447005E-2</v>
      </c>
    </row>
    <row r="105" spans="1:7" x14ac:dyDescent="0.25">
      <c r="A105" s="56">
        <v>43607</v>
      </c>
      <c r="B105" s="29">
        <v>0.01</v>
      </c>
      <c r="C105" s="36">
        <f t="shared" si="11"/>
        <v>0.254</v>
      </c>
      <c r="D105" s="47">
        <f t="shared" si="7"/>
        <v>3.4260117647058843</v>
      </c>
      <c r="E105" s="47">
        <f t="shared" si="8"/>
        <v>6.4362692545464979</v>
      </c>
      <c r="F105" s="47">
        <f t="shared" si="9"/>
        <v>-3.1720117647058843</v>
      </c>
      <c r="G105" s="24">
        <f t="shared" si="10"/>
        <v>-0.49283391344531086</v>
      </c>
    </row>
    <row r="106" spans="1:7" x14ac:dyDescent="0.25">
      <c r="A106" s="56">
        <v>43638</v>
      </c>
      <c r="B106" s="29">
        <v>0.01</v>
      </c>
      <c r="C106" s="36">
        <f t="shared" si="11"/>
        <v>0.254</v>
      </c>
      <c r="D106" s="47">
        <f t="shared" si="7"/>
        <v>3.4260117647058843</v>
      </c>
      <c r="E106" s="47">
        <f t="shared" si="8"/>
        <v>6.4362692545464979</v>
      </c>
      <c r="F106" s="47">
        <f t="shared" si="9"/>
        <v>-3.1720117647058843</v>
      </c>
      <c r="G106" s="24">
        <f t="shared" si="10"/>
        <v>-0.49283391344531086</v>
      </c>
    </row>
    <row r="107" spans="1:7" x14ac:dyDescent="0.25">
      <c r="A107" s="56">
        <v>43668</v>
      </c>
      <c r="B107" s="29">
        <v>0.01</v>
      </c>
      <c r="C107" s="36">
        <f t="shared" si="11"/>
        <v>0.254</v>
      </c>
      <c r="D107" s="47">
        <f t="shared" si="7"/>
        <v>3.4260117647058843</v>
      </c>
      <c r="E107" s="47">
        <f t="shared" si="8"/>
        <v>6.4362692545464979</v>
      </c>
      <c r="F107" s="47">
        <f t="shared" si="9"/>
        <v>-3.1720117647058843</v>
      </c>
      <c r="G107" s="24">
        <f t="shared" si="10"/>
        <v>-0.49283391344531086</v>
      </c>
    </row>
    <row r="108" spans="1:7" x14ac:dyDescent="0.25">
      <c r="A108" s="56">
        <v>43699</v>
      </c>
      <c r="B108" s="29">
        <v>0.01</v>
      </c>
      <c r="C108" s="36">
        <f t="shared" si="11"/>
        <v>0.254</v>
      </c>
      <c r="D108" s="47">
        <f t="shared" si="7"/>
        <v>3.4260117647058843</v>
      </c>
      <c r="E108" s="47">
        <f t="shared" si="8"/>
        <v>6.4362692545464979</v>
      </c>
      <c r="F108" s="47">
        <f t="shared" si="9"/>
        <v>-3.1720117647058843</v>
      </c>
      <c r="G108" s="24">
        <f t="shared" si="10"/>
        <v>-0.49283391344531086</v>
      </c>
    </row>
    <row r="109" spans="1:7" x14ac:dyDescent="0.25">
      <c r="A109" s="56">
        <v>43730</v>
      </c>
      <c r="B109" s="29">
        <v>0.01</v>
      </c>
      <c r="C109" s="36">
        <f t="shared" si="11"/>
        <v>0.254</v>
      </c>
      <c r="D109" s="47">
        <f t="shared" si="7"/>
        <v>3.4260117647058843</v>
      </c>
      <c r="E109" s="47">
        <f t="shared" si="8"/>
        <v>6.4362692545464979</v>
      </c>
      <c r="F109" s="47">
        <f t="shared" si="9"/>
        <v>-3.1720117647058843</v>
      </c>
      <c r="G109" s="24">
        <f t="shared" si="10"/>
        <v>-0.49283391344531086</v>
      </c>
    </row>
    <row r="110" spans="1:7" x14ac:dyDescent="0.25">
      <c r="A110" s="56">
        <v>43760</v>
      </c>
      <c r="B110" s="29">
        <v>0.01</v>
      </c>
      <c r="C110" s="36">
        <f t="shared" si="11"/>
        <v>0.254</v>
      </c>
      <c r="D110" s="47">
        <f t="shared" si="7"/>
        <v>3.4260117647058843</v>
      </c>
      <c r="E110" s="47">
        <f t="shared" si="8"/>
        <v>6.4362692545464979</v>
      </c>
      <c r="F110" s="47">
        <f t="shared" si="9"/>
        <v>-3.1720117647058843</v>
      </c>
      <c r="G110" s="24">
        <f t="shared" si="10"/>
        <v>-0.49283391344531086</v>
      </c>
    </row>
    <row r="111" spans="1:7" x14ac:dyDescent="0.25">
      <c r="A111" s="56">
        <v>43791</v>
      </c>
      <c r="B111" s="29">
        <v>0.02</v>
      </c>
      <c r="C111" s="36">
        <f t="shared" si="11"/>
        <v>0.50800000000000001</v>
      </c>
      <c r="D111" s="47">
        <f t="shared" si="7"/>
        <v>3.4260117647058843</v>
      </c>
      <c r="E111" s="47">
        <f t="shared" si="8"/>
        <v>6.4362692545464979</v>
      </c>
      <c r="F111" s="47">
        <f t="shared" si="9"/>
        <v>-2.9180117647058843</v>
      </c>
      <c r="G111" s="24">
        <f t="shared" si="10"/>
        <v>-0.45337005791742452</v>
      </c>
    </row>
    <row r="112" spans="1:7" x14ac:dyDescent="0.25">
      <c r="A112" s="56">
        <v>43821</v>
      </c>
      <c r="B112" s="29">
        <v>0.26</v>
      </c>
      <c r="C112" s="36">
        <f t="shared" si="11"/>
        <v>6.6040000000000001</v>
      </c>
      <c r="D112" s="47">
        <f t="shared" si="7"/>
        <v>3.4260117647058843</v>
      </c>
      <c r="E112" s="47">
        <f t="shared" si="8"/>
        <v>6.4362692545464979</v>
      </c>
      <c r="F112" s="47">
        <f t="shared" si="9"/>
        <v>3.1779882352941158</v>
      </c>
      <c r="G112" s="24">
        <f t="shared" si="10"/>
        <v>0.49376247475184881</v>
      </c>
    </row>
    <row r="113" spans="1:7" x14ac:dyDescent="0.25">
      <c r="A113" s="56">
        <v>43852</v>
      </c>
      <c r="B113" s="29">
        <v>7.0000000000000007E-2</v>
      </c>
      <c r="C113" s="36">
        <f t="shared" si="11"/>
        <v>1.778</v>
      </c>
      <c r="D113" s="47">
        <f t="shared" si="7"/>
        <v>3.4260117647058843</v>
      </c>
      <c r="E113" s="47">
        <f t="shared" si="8"/>
        <v>6.4362692545464979</v>
      </c>
      <c r="F113" s="47">
        <f t="shared" si="9"/>
        <v>-1.6480117647058843</v>
      </c>
      <c r="G113" s="24">
        <f t="shared" si="10"/>
        <v>-0.25605078027799255</v>
      </c>
    </row>
    <row r="114" spans="1:7" x14ac:dyDescent="0.25">
      <c r="A114" s="56">
        <v>43883</v>
      </c>
      <c r="B114" s="29">
        <v>0.13</v>
      </c>
      <c r="C114" s="36">
        <f t="shared" si="11"/>
        <v>3.302</v>
      </c>
      <c r="D114" s="47">
        <f t="shared" si="7"/>
        <v>3.4260117647058843</v>
      </c>
      <c r="E114" s="47">
        <f t="shared" si="8"/>
        <v>6.4362692545464979</v>
      </c>
      <c r="F114" s="47">
        <f t="shared" si="9"/>
        <v>-0.12401176470588426</v>
      </c>
      <c r="G114" s="24">
        <f t="shared" si="10"/>
        <v>-1.9267647110674239E-2</v>
      </c>
    </row>
    <row r="115" spans="1:7" x14ac:dyDescent="0.25">
      <c r="A115" s="56">
        <v>43912</v>
      </c>
      <c r="B115" s="29">
        <v>0.02</v>
      </c>
      <c r="C115" s="36">
        <f t="shared" si="11"/>
        <v>0.50800000000000001</v>
      </c>
      <c r="D115" s="47">
        <f t="shared" si="7"/>
        <v>3.4260117647058843</v>
      </c>
      <c r="E115" s="47">
        <f t="shared" si="8"/>
        <v>6.4362692545464979</v>
      </c>
      <c r="F115" s="47">
        <f t="shared" si="9"/>
        <v>-2.9180117647058843</v>
      </c>
      <c r="G115" s="24">
        <f t="shared" si="10"/>
        <v>-0.45337005791742452</v>
      </c>
    </row>
    <row r="116" spans="1:7" x14ac:dyDescent="0.25">
      <c r="A116" s="56">
        <v>43943</v>
      </c>
      <c r="B116" s="29">
        <v>0.08</v>
      </c>
      <c r="C116" s="36">
        <f t="shared" si="11"/>
        <v>2.032</v>
      </c>
      <c r="D116" s="47">
        <f t="shared" si="7"/>
        <v>3.4260117647058843</v>
      </c>
      <c r="E116" s="47">
        <f t="shared" si="8"/>
        <v>6.4362692545464979</v>
      </c>
      <c r="F116" s="47">
        <f t="shared" si="9"/>
        <v>-1.3940117647058843</v>
      </c>
      <c r="G116" s="24">
        <f t="shared" si="10"/>
        <v>-0.21658692475010616</v>
      </c>
    </row>
    <row r="117" spans="1:7" x14ac:dyDescent="0.25">
      <c r="A117" s="56">
        <v>43973</v>
      </c>
      <c r="B117" s="29">
        <v>0</v>
      </c>
      <c r="C117" s="36">
        <f t="shared" si="11"/>
        <v>0</v>
      </c>
      <c r="D117" s="47">
        <f t="shared" si="7"/>
        <v>3.4260117647058843</v>
      </c>
      <c r="E117" s="47">
        <f t="shared" si="8"/>
        <v>6.4362692545464979</v>
      </c>
      <c r="F117" s="47">
        <f t="shared" si="9"/>
        <v>-3.4260117647058843</v>
      </c>
      <c r="G117" s="24">
        <f t="shared" si="10"/>
        <v>-0.53229776897319725</v>
      </c>
    </row>
    <row r="118" spans="1:7" x14ac:dyDescent="0.25">
      <c r="A118" s="56">
        <v>44004</v>
      </c>
      <c r="B118" s="29">
        <v>0.02</v>
      </c>
      <c r="C118" s="36">
        <f t="shared" si="11"/>
        <v>0.50800000000000001</v>
      </c>
      <c r="D118" s="47">
        <f t="shared" si="7"/>
        <v>3.4260117647058843</v>
      </c>
      <c r="E118" s="47">
        <f t="shared" si="8"/>
        <v>6.4362692545464979</v>
      </c>
      <c r="F118" s="47">
        <f t="shared" si="9"/>
        <v>-2.9180117647058843</v>
      </c>
      <c r="G118" s="24">
        <f t="shared" si="10"/>
        <v>-0.45337005791742452</v>
      </c>
    </row>
    <row r="119" spans="1:7" x14ac:dyDescent="0.25">
      <c r="A119" s="56">
        <v>44034</v>
      </c>
      <c r="B119" s="29">
        <v>0.01</v>
      </c>
      <c r="C119" s="36">
        <f t="shared" si="11"/>
        <v>0.254</v>
      </c>
      <c r="D119" s="47">
        <f t="shared" si="7"/>
        <v>3.4260117647058843</v>
      </c>
      <c r="E119" s="47">
        <f t="shared" si="8"/>
        <v>6.4362692545464979</v>
      </c>
      <c r="F119" s="47">
        <f t="shared" si="9"/>
        <v>-3.1720117647058843</v>
      </c>
      <c r="G119" s="24">
        <f t="shared" si="10"/>
        <v>-0.49283391344531086</v>
      </c>
    </row>
    <row r="120" spans="1:7" x14ac:dyDescent="0.25">
      <c r="A120" s="56">
        <v>44065</v>
      </c>
      <c r="B120" s="29">
        <v>0.01</v>
      </c>
      <c r="C120" s="36">
        <f t="shared" si="11"/>
        <v>0.254</v>
      </c>
      <c r="D120" s="47">
        <f t="shared" si="7"/>
        <v>3.4260117647058843</v>
      </c>
      <c r="E120" s="47">
        <f t="shared" si="8"/>
        <v>6.4362692545464979</v>
      </c>
      <c r="F120" s="47">
        <f t="shared" si="9"/>
        <v>-3.1720117647058843</v>
      </c>
      <c r="G120" s="24">
        <f t="shared" si="10"/>
        <v>-0.49283391344531086</v>
      </c>
    </row>
    <row r="121" spans="1:7" x14ac:dyDescent="0.25">
      <c r="A121" s="56">
        <v>44096</v>
      </c>
      <c r="B121" s="29">
        <v>0</v>
      </c>
      <c r="C121" s="36">
        <f t="shared" si="11"/>
        <v>0</v>
      </c>
      <c r="D121" s="47">
        <f t="shared" si="7"/>
        <v>3.4260117647058843</v>
      </c>
      <c r="E121" s="47">
        <f t="shared" si="8"/>
        <v>6.4362692545464979</v>
      </c>
      <c r="F121" s="47">
        <f t="shared" si="9"/>
        <v>-3.4260117647058843</v>
      </c>
      <c r="G121" s="24">
        <f t="shared" si="10"/>
        <v>-0.53229776897319725</v>
      </c>
    </row>
    <row r="122" spans="1:7" x14ac:dyDescent="0.25">
      <c r="A122" s="56">
        <v>44126</v>
      </c>
      <c r="B122" s="29">
        <v>0.01</v>
      </c>
      <c r="C122" s="36">
        <f t="shared" si="11"/>
        <v>0.254</v>
      </c>
      <c r="D122" s="47">
        <f t="shared" si="7"/>
        <v>3.4260117647058843</v>
      </c>
      <c r="E122" s="47">
        <f t="shared" si="8"/>
        <v>6.4362692545464979</v>
      </c>
      <c r="F122" s="47">
        <f t="shared" si="9"/>
        <v>-3.1720117647058843</v>
      </c>
      <c r="G122" s="24">
        <f t="shared" si="10"/>
        <v>-0.49283391344531086</v>
      </c>
    </row>
    <row r="123" spans="1:7" x14ac:dyDescent="0.25">
      <c r="A123" s="56">
        <v>44157</v>
      </c>
      <c r="B123" s="29">
        <v>0.01</v>
      </c>
      <c r="C123" s="36">
        <f t="shared" si="11"/>
        <v>0.254</v>
      </c>
      <c r="D123" s="47">
        <f t="shared" si="7"/>
        <v>3.4260117647058843</v>
      </c>
      <c r="E123" s="47">
        <f t="shared" si="8"/>
        <v>6.4362692545464979</v>
      </c>
      <c r="F123" s="47">
        <f t="shared" si="9"/>
        <v>-3.1720117647058843</v>
      </c>
      <c r="G123" s="24">
        <f t="shared" si="10"/>
        <v>-0.49283391344531086</v>
      </c>
    </row>
    <row r="124" spans="1:7" x14ac:dyDescent="0.25">
      <c r="A124" s="56">
        <v>44187</v>
      </c>
      <c r="B124" s="29">
        <v>0.03</v>
      </c>
      <c r="C124" s="36">
        <f t="shared" si="11"/>
        <v>0.7619999999999999</v>
      </c>
      <c r="D124" s="47">
        <f t="shared" si="7"/>
        <v>3.4260117647058843</v>
      </c>
      <c r="E124" s="47">
        <f t="shared" si="8"/>
        <v>6.4362692545464979</v>
      </c>
      <c r="F124" s="47">
        <f t="shared" si="9"/>
        <v>-2.6640117647058843</v>
      </c>
      <c r="G124" s="24">
        <f t="shared" si="10"/>
        <v>-0.41390620238953812</v>
      </c>
    </row>
    <row r="125" spans="1:7" x14ac:dyDescent="0.25">
      <c r="A125" s="56">
        <v>44218</v>
      </c>
      <c r="B125" s="29">
        <v>0.37</v>
      </c>
      <c r="C125" s="36">
        <f t="shared" si="11"/>
        <v>9.3979999999999997</v>
      </c>
      <c r="D125" s="47">
        <f t="shared" si="7"/>
        <v>3.4260117647058843</v>
      </c>
      <c r="E125" s="47">
        <f t="shared" si="8"/>
        <v>6.4362692545464979</v>
      </c>
      <c r="F125" s="47">
        <f t="shared" si="9"/>
        <v>5.9719882352941154</v>
      </c>
      <c r="G125" s="24">
        <f t="shared" si="10"/>
        <v>0.92786488555859892</v>
      </c>
    </row>
    <row r="126" spans="1:7" x14ac:dyDescent="0.25">
      <c r="A126" s="56">
        <v>44249</v>
      </c>
      <c r="B126" s="29">
        <v>1.46</v>
      </c>
      <c r="C126" s="36">
        <f t="shared" si="11"/>
        <v>37.083999999999996</v>
      </c>
      <c r="D126" s="47">
        <f t="shared" si="7"/>
        <v>3.4260117647058843</v>
      </c>
      <c r="E126" s="47">
        <f t="shared" si="8"/>
        <v>6.4362692545464979</v>
      </c>
      <c r="F126" s="47">
        <f t="shared" si="9"/>
        <v>33.657988235294113</v>
      </c>
      <c r="G126" s="24">
        <f t="shared" si="10"/>
        <v>5.2294251380982146</v>
      </c>
    </row>
    <row r="127" spans="1:7" x14ac:dyDescent="0.25">
      <c r="A127" s="56">
        <v>44277</v>
      </c>
      <c r="B127" s="29">
        <v>0.18</v>
      </c>
      <c r="C127" s="36">
        <f t="shared" si="11"/>
        <v>4.5719999999999992</v>
      </c>
      <c r="D127" s="47">
        <f t="shared" si="7"/>
        <v>3.4260117647058843</v>
      </c>
      <c r="E127" s="47">
        <f t="shared" si="8"/>
        <v>6.4362692545464979</v>
      </c>
      <c r="F127" s="47">
        <f t="shared" si="9"/>
        <v>1.1459882352941149</v>
      </c>
      <c r="G127" s="24">
        <f t="shared" si="10"/>
        <v>0.17805163052875755</v>
      </c>
    </row>
    <row r="128" spans="1:7" x14ac:dyDescent="0.25">
      <c r="A128" s="56">
        <v>44308</v>
      </c>
      <c r="B128" s="29">
        <v>0.05</v>
      </c>
      <c r="C128" s="36">
        <f t="shared" si="11"/>
        <v>1.27</v>
      </c>
      <c r="D128" s="47">
        <f t="shared" si="7"/>
        <v>3.4260117647058843</v>
      </c>
      <c r="E128" s="47">
        <f t="shared" si="8"/>
        <v>6.4362692545464979</v>
      </c>
      <c r="F128" s="47">
        <f t="shared" si="9"/>
        <v>-2.1560117647058843</v>
      </c>
      <c r="G128" s="24">
        <f t="shared" si="10"/>
        <v>-0.33497849133376534</v>
      </c>
    </row>
    <row r="129" spans="1:7" x14ac:dyDescent="0.25">
      <c r="A129" s="56">
        <v>44338</v>
      </c>
      <c r="B129" s="29">
        <v>0.03</v>
      </c>
      <c r="C129" s="36">
        <f t="shared" si="11"/>
        <v>0.7619999999999999</v>
      </c>
      <c r="D129" s="47">
        <f t="shared" si="7"/>
        <v>3.4260117647058843</v>
      </c>
      <c r="E129" s="47">
        <f t="shared" si="8"/>
        <v>6.4362692545464979</v>
      </c>
      <c r="F129" s="47">
        <f t="shared" si="9"/>
        <v>-2.6640117647058843</v>
      </c>
      <c r="G129" s="24">
        <f t="shared" si="10"/>
        <v>-0.41390620238953812</v>
      </c>
    </row>
    <row r="130" spans="1:7" x14ac:dyDescent="0.25">
      <c r="A130" s="56">
        <v>44369</v>
      </c>
      <c r="B130" s="29">
        <v>0.05</v>
      </c>
      <c r="C130" s="36">
        <f t="shared" si="11"/>
        <v>1.27</v>
      </c>
      <c r="D130" s="47">
        <f t="shared" si="7"/>
        <v>3.4260117647058843</v>
      </c>
      <c r="E130" s="47">
        <f t="shared" si="8"/>
        <v>6.4362692545464979</v>
      </c>
      <c r="F130" s="47">
        <f t="shared" si="9"/>
        <v>-2.1560117647058843</v>
      </c>
      <c r="G130" s="24">
        <f t="shared" si="10"/>
        <v>-0.33497849133376534</v>
      </c>
    </row>
    <row r="131" spans="1:7" x14ac:dyDescent="0.25">
      <c r="A131" s="56">
        <v>44399</v>
      </c>
      <c r="B131" s="29">
        <v>0.01</v>
      </c>
      <c r="C131" s="36">
        <f t="shared" si="11"/>
        <v>0.254</v>
      </c>
      <c r="D131" s="47">
        <f t="shared" si="7"/>
        <v>3.4260117647058843</v>
      </c>
      <c r="E131" s="47">
        <f t="shared" si="8"/>
        <v>6.4362692545464979</v>
      </c>
      <c r="F131" s="47">
        <f t="shared" si="9"/>
        <v>-3.1720117647058843</v>
      </c>
      <c r="G131" s="24">
        <f t="shared" si="10"/>
        <v>-0.49283391344531086</v>
      </c>
    </row>
    <row r="132" spans="1:7" x14ac:dyDescent="0.25">
      <c r="A132" s="56">
        <v>44430</v>
      </c>
      <c r="B132" s="29">
        <v>0.01</v>
      </c>
      <c r="C132" s="36">
        <f t="shared" si="11"/>
        <v>0.254</v>
      </c>
      <c r="D132" s="47">
        <f t="shared" si="7"/>
        <v>3.4260117647058843</v>
      </c>
      <c r="E132" s="47">
        <f t="shared" si="8"/>
        <v>6.4362692545464979</v>
      </c>
      <c r="F132" s="47">
        <f t="shared" si="9"/>
        <v>-3.1720117647058843</v>
      </c>
      <c r="G132" s="24">
        <f t="shared" si="10"/>
        <v>-0.49283391344531086</v>
      </c>
    </row>
    <row r="133" spans="1:7" x14ac:dyDescent="0.25">
      <c r="A133" s="56">
        <v>44461</v>
      </c>
      <c r="B133" s="29">
        <v>0</v>
      </c>
      <c r="C133" s="36">
        <f t="shared" ref="C133:C164" si="12">$D$1*B133</f>
        <v>0</v>
      </c>
      <c r="D133" s="47">
        <f t="shared" si="7"/>
        <v>3.4260117647058843</v>
      </c>
      <c r="E133" s="47">
        <f t="shared" si="8"/>
        <v>6.4362692545464979</v>
      </c>
      <c r="F133" s="47">
        <f t="shared" si="9"/>
        <v>-3.4260117647058843</v>
      </c>
      <c r="G133" s="24">
        <f t="shared" si="10"/>
        <v>-0.53229776897319725</v>
      </c>
    </row>
    <row r="134" spans="1:7" x14ac:dyDescent="0.25">
      <c r="A134" s="56">
        <v>44491</v>
      </c>
      <c r="B134" s="29">
        <v>0.03</v>
      </c>
      <c r="C134" s="36">
        <f t="shared" si="12"/>
        <v>0.7619999999999999</v>
      </c>
      <c r="D134" s="47">
        <f t="shared" ref="D134:D175" si="13">AVERAGE($C$5:$C$174)</f>
        <v>3.4260117647058843</v>
      </c>
      <c r="E134" s="47">
        <f t="shared" ref="E134:E175" si="14">_xlfn.STDEV.S($C$5:$C$174)</f>
        <v>6.4362692545464979</v>
      </c>
      <c r="F134" s="47">
        <f t="shared" ref="F134:F175" si="15">C134-D134</f>
        <v>-2.6640117647058843</v>
      </c>
      <c r="G134" s="24">
        <f t="shared" ref="G134:G144" si="16">F134/E134</f>
        <v>-0.41390620238953812</v>
      </c>
    </row>
    <row r="135" spans="1:7" x14ac:dyDescent="0.25">
      <c r="A135" s="56">
        <v>44522</v>
      </c>
      <c r="B135" s="29">
        <v>0.12</v>
      </c>
      <c r="C135" s="36">
        <f t="shared" si="12"/>
        <v>3.0479999999999996</v>
      </c>
      <c r="D135" s="47">
        <f t="shared" si="13"/>
        <v>3.4260117647058843</v>
      </c>
      <c r="E135" s="47">
        <f t="shared" si="14"/>
        <v>6.4362692545464979</v>
      </c>
      <c r="F135" s="47">
        <f t="shared" si="15"/>
        <v>-0.37801176470588471</v>
      </c>
      <c r="G135" s="24">
        <f t="shared" si="16"/>
        <v>-5.8731502638560695E-2</v>
      </c>
    </row>
    <row r="136" spans="1:7" x14ac:dyDescent="0.25">
      <c r="A136" s="56">
        <v>44552</v>
      </c>
      <c r="B136" s="29">
        <v>0.34</v>
      </c>
      <c r="C136" s="36">
        <f t="shared" si="12"/>
        <v>8.636000000000001</v>
      </c>
      <c r="D136" s="47">
        <f t="shared" si="13"/>
        <v>3.4260117647058843</v>
      </c>
      <c r="E136" s="47">
        <f t="shared" si="14"/>
        <v>6.4362692545464979</v>
      </c>
      <c r="F136" s="47">
        <f t="shared" si="15"/>
        <v>5.2099882352941167</v>
      </c>
      <c r="G136" s="24">
        <f t="shared" si="16"/>
        <v>0.80947331897494001</v>
      </c>
    </row>
    <row r="137" spans="1:7" x14ac:dyDescent="0.25">
      <c r="A137" s="56">
        <v>44583</v>
      </c>
      <c r="B137" s="29">
        <v>1.04</v>
      </c>
      <c r="C137" s="36">
        <f t="shared" si="12"/>
        <v>26.416</v>
      </c>
      <c r="D137" s="47">
        <f t="shared" si="13"/>
        <v>3.4260117647058843</v>
      </c>
      <c r="E137" s="47">
        <f t="shared" si="14"/>
        <v>6.4362692545464979</v>
      </c>
      <c r="F137" s="47">
        <f t="shared" si="15"/>
        <v>22.989988235294117</v>
      </c>
      <c r="G137" s="24">
        <f t="shared" si="16"/>
        <v>3.5719432059269871</v>
      </c>
    </row>
    <row r="138" spans="1:7" x14ac:dyDescent="0.25">
      <c r="A138" s="56">
        <v>44614</v>
      </c>
      <c r="B138" s="29">
        <v>0.08</v>
      </c>
      <c r="C138" s="36">
        <f t="shared" si="12"/>
        <v>2.032</v>
      </c>
      <c r="D138" s="47">
        <f t="shared" si="13"/>
        <v>3.4260117647058843</v>
      </c>
      <c r="E138" s="47">
        <f t="shared" si="14"/>
        <v>6.4362692545464979</v>
      </c>
      <c r="F138" s="47">
        <f t="shared" si="15"/>
        <v>-1.3940117647058843</v>
      </c>
      <c r="G138" s="24">
        <f t="shared" si="16"/>
        <v>-0.21658692475010616</v>
      </c>
    </row>
    <row r="139" spans="1:7" x14ac:dyDescent="0.25">
      <c r="A139" s="56">
        <v>44642</v>
      </c>
      <c r="B139" s="29">
        <v>0.28000000000000003</v>
      </c>
      <c r="C139" s="36">
        <f t="shared" si="12"/>
        <v>7.1120000000000001</v>
      </c>
      <c r="D139" s="47">
        <f t="shared" si="13"/>
        <v>3.4260117647058843</v>
      </c>
      <c r="E139" s="47">
        <f t="shared" si="14"/>
        <v>6.4362692545464979</v>
      </c>
      <c r="F139" s="47">
        <f t="shared" si="15"/>
        <v>3.6859882352941158</v>
      </c>
      <c r="G139" s="24">
        <f t="shared" si="16"/>
        <v>0.57269018580762154</v>
      </c>
    </row>
    <row r="140" spans="1:7" x14ac:dyDescent="0.25">
      <c r="A140" s="56">
        <v>44673</v>
      </c>
      <c r="B140" s="29">
        <v>0.56000000000000005</v>
      </c>
      <c r="C140" s="36">
        <f t="shared" si="12"/>
        <v>14.224</v>
      </c>
      <c r="D140" s="47">
        <f t="shared" si="13"/>
        <v>3.4260117647058843</v>
      </c>
      <c r="E140" s="47">
        <f t="shared" si="14"/>
        <v>6.4362692545464979</v>
      </c>
      <c r="F140" s="47">
        <f t="shared" si="15"/>
        <v>10.797988235294117</v>
      </c>
      <c r="G140" s="24">
        <f t="shared" si="16"/>
        <v>1.6776781405884404</v>
      </c>
    </row>
    <row r="141" spans="1:7" x14ac:dyDescent="0.25">
      <c r="A141" s="56">
        <v>44703</v>
      </c>
      <c r="B141" s="29">
        <v>0.35</v>
      </c>
      <c r="C141" s="36">
        <f t="shared" si="12"/>
        <v>8.8899999999999988</v>
      </c>
      <c r="D141" s="47">
        <f t="shared" si="13"/>
        <v>3.4260117647058843</v>
      </c>
      <c r="E141" s="47">
        <f t="shared" si="14"/>
        <v>6.4362692545464979</v>
      </c>
      <c r="F141" s="47">
        <f t="shared" si="15"/>
        <v>5.4639882352941145</v>
      </c>
      <c r="G141" s="24">
        <f t="shared" si="16"/>
        <v>0.84893717450282602</v>
      </c>
    </row>
    <row r="142" spans="1:7" x14ac:dyDescent="0.25">
      <c r="A142" s="56">
        <v>44734</v>
      </c>
      <c r="B142" s="29">
        <v>0.18</v>
      </c>
      <c r="C142" s="36">
        <f t="shared" si="12"/>
        <v>4.5719999999999992</v>
      </c>
      <c r="D142" s="47">
        <f t="shared" si="13"/>
        <v>3.4260117647058843</v>
      </c>
      <c r="E142" s="47">
        <f t="shared" si="14"/>
        <v>6.4362692545464979</v>
      </c>
      <c r="F142" s="47">
        <f t="shared" si="15"/>
        <v>1.1459882352941149</v>
      </c>
      <c r="G142" s="24">
        <f t="shared" si="16"/>
        <v>0.17805163052875755</v>
      </c>
    </row>
    <row r="143" spans="1:7" x14ac:dyDescent="0.25">
      <c r="A143" s="56">
        <v>44764</v>
      </c>
      <c r="B143" s="29">
        <v>0.11</v>
      </c>
      <c r="C143" s="36">
        <f t="shared" si="12"/>
        <v>2.794</v>
      </c>
      <c r="D143" s="47">
        <f t="shared" si="13"/>
        <v>3.4260117647058843</v>
      </c>
      <c r="E143" s="47">
        <f t="shared" si="14"/>
        <v>6.4362692545464979</v>
      </c>
      <c r="F143" s="47">
        <f t="shared" si="15"/>
        <v>-0.63201176470588427</v>
      </c>
      <c r="G143" s="24">
        <f t="shared" si="16"/>
        <v>-9.8195358166447005E-2</v>
      </c>
    </row>
    <row r="144" spans="1:7" x14ac:dyDescent="0.25">
      <c r="A144" s="56">
        <v>44795</v>
      </c>
      <c r="B144" s="29">
        <v>0.01</v>
      </c>
      <c r="C144" s="36">
        <f t="shared" si="12"/>
        <v>0.254</v>
      </c>
      <c r="D144" s="47">
        <f t="shared" si="13"/>
        <v>3.4260117647058843</v>
      </c>
      <c r="E144" s="47">
        <f t="shared" si="14"/>
        <v>6.4362692545464979</v>
      </c>
      <c r="F144" s="47">
        <f t="shared" si="15"/>
        <v>-3.1720117647058843</v>
      </c>
      <c r="G144" s="24">
        <f t="shared" si="16"/>
        <v>-0.49283391344531086</v>
      </c>
    </row>
    <row r="145" spans="1:7" x14ac:dyDescent="0.25">
      <c r="A145" s="56">
        <v>44826</v>
      </c>
      <c r="B145" s="29">
        <v>0.03</v>
      </c>
      <c r="C145" s="36">
        <f t="shared" si="12"/>
        <v>0.7619999999999999</v>
      </c>
      <c r="D145" s="47">
        <f t="shared" si="13"/>
        <v>3.4260117647058843</v>
      </c>
      <c r="E145" s="47">
        <f t="shared" si="14"/>
        <v>6.4362692545464979</v>
      </c>
      <c r="F145" s="47">
        <f t="shared" si="15"/>
        <v>-2.6640117647058843</v>
      </c>
      <c r="G145" s="24">
        <f>F145/E145</f>
        <v>-0.41390620238953812</v>
      </c>
    </row>
    <row r="146" spans="1:7" x14ac:dyDescent="0.25">
      <c r="A146" s="56">
        <v>44856</v>
      </c>
      <c r="B146" s="29">
        <v>0.03</v>
      </c>
      <c r="C146" s="36">
        <f t="shared" si="12"/>
        <v>0.7619999999999999</v>
      </c>
      <c r="D146" s="47">
        <f t="shared" si="13"/>
        <v>3.4260117647058843</v>
      </c>
      <c r="E146" s="47">
        <f t="shared" si="14"/>
        <v>6.4362692545464979</v>
      </c>
      <c r="F146" s="47">
        <f t="shared" si="15"/>
        <v>-2.6640117647058843</v>
      </c>
      <c r="G146" s="24">
        <f t="shared" ref="G146:G175" si="17">F146/E146</f>
        <v>-0.41390620238953812</v>
      </c>
    </row>
    <row r="147" spans="1:7" x14ac:dyDescent="0.25">
      <c r="A147" s="56">
        <v>44887</v>
      </c>
      <c r="B147" s="29">
        <v>0.14000000000000001</v>
      </c>
      <c r="C147" s="36">
        <f t="shared" si="12"/>
        <v>3.556</v>
      </c>
      <c r="D147" s="47">
        <f t="shared" si="13"/>
        <v>3.4260117647058843</v>
      </c>
      <c r="E147" s="47">
        <f t="shared" si="14"/>
        <v>6.4362692545464979</v>
      </c>
      <c r="F147" s="47">
        <f t="shared" si="15"/>
        <v>0.12998823529411574</v>
      </c>
      <c r="G147" s="24">
        <f t="shared" si="17"/>
        <v>2.0196208417212147E-2</v>
      </c>
    </row>
    <row r="148" spans="1:7" x14ac:dyDescent="0.25">
      <c r="A148" s="56">
        <v>44917</v>
      </c>
      <c r="B148" s="29">
        <v>0.55000000000000004</v>
      </c>
      <c r="C148" s="36">
        <f t="shared" si="12"/>
        <v>13.97</v>
      </c>
      <c r="D148" s="47">
        <f t="shared" si="13"/>
        <v>3.4260117647058843</v>
      </c>
      <c r="E148" s="47">
        <f t="shared" si="14"/>
        <v>6.4362692545464979</v>
      </c>
      <c r="F148" s="47">
        <f t="shared" si="15"/>
        <v>10.543988235294115</v>
      </c>
      <c r="G148" s="24">
        <f t="shared" si="17"/>
        <v>1.6382142850605539</v>
      </c>
    </row>
    <row r="149" spans="1:7" x14ac:dyDescent="0.25">
      <c r="A149" s="56">
        <v>44948</v>
      </c>
      <c r="B149" s="29">
        <v>0.2</v>
      </c>
      <c r="C149" s="36">
        <f t="shared" si="12"/>
        <v>5.08</v>
      </c>
      <c r="D149" s="47">
        <f t="shared" si="13"/>
        <v>3.4260117647058843</v>
      </c>
      <c r="E149" s="47">
        <f t="shared" si="14"/>
        <v>6.4362692545464979</v>
      </c>
      <c r="F149" s="47">
        <f t="shared" si="15"/>
        <v>1.6539882352941158</v>
      </c>
      <c r="G149" s="24">
        <f t="shared" si="17"/>
        <v>0.25697934158453045</v>
      </c>
    </row>
    <row r="150" spans="1:7" x14ac:dyDescent="0.25">
      <c r="A150" s="56">
        <v>44979</v>
      </c>
      <c r="B150" s="29">
        <v>1.43</v>
      </c>
      <c r="C150" s="36">
        <f t="shared" si="12"/>
        <v>36.321999999999996</v>
      </c>
      <c r="D150" s="47">
        <f t="shared" si="13"/>
        <v>3.4260117647058843</v>
      </c>
      <c r="E150" s="47">
        <f t="shared" si="14"/>
        <v>6.4362692545464979</v>
      </c>
      <c r="F150" s="47">
        <f t="shared" si="15"/>
        <v>32.895988235294112</v>
      </c>
      <c r="G150" s="24">
        <f t="shared" si="17"/>
        <v>5.1110335715145556</v>
      </c>
    </row>
    <row r="151" spans="1:7" x14ac:dyDescent="0.25">
      <c r="A151" s="56">
        <v>45007</v>
      </c>
      <c r="B151" s="29">
        <v>0.15</v>
      </c>
      <c r="C151" s="36">
        <f t="shared" si="12"/>
        <v>3.8099999999999996</v>
      </c>
      <c r="D151" s="47">
        <f t="shared" si="13"/>
        <v>3.4260117647058843</v>
      </c>
      <c r="E151" s="47">
        <f t="shared" si="14"/>
        <v>6.4362692545464979</v>
      </c>
      <c r="F151" s="47">
        <f t="shared" si="15"/>
        <v>0.3839882352941153</v>
      </c>
      <c r="G151" s="24">
        <f t="shared" si="17"/>
        <v>5.9660063945098464E-2</v>
      </c>
    </row>
    <row r="152" spans="1:7" x14ac:dyDescent="0.25">
      <c r="A152" s="56">
        <v>45038</v>
      </c>
      <c r="B152" s="29">
        <v>0.23</v>
      </c>
      <c r="C152" s="36">
        <f t="shared" si="12"/>
        <v>5.8419999999999996</v>
      </c>
      <c r="D152" s="47">
        <f t="shared" si="13"/>
        <v>3.4260117647058843</v>
      </c>
      <c r="E152" s="47">
        <f t="shared" si="14"/>
        <v>6.4362692545464979</v>
      </c>
      <c r="F152" s="47">
        <f t="shared" si="15"/>
        <v>2.4159882352941153</v>
      </c>
      <c r="G152" s="24">
        <f t="shared" si="17"/>
        <v>0.37537090816818958</v>
      </c>
    </row>
    <row r="153" spans="1:7" x14ac:dyDescent="0.25">
      <c r="A153" s="56">
        <v>45068</v>
      </c>
      <c r="B153" s="29">
        <v>0.2</v>
      </c>
      <c r="C153" s="36">
        <f t="shared" si="12"/>
        <v>5.08</v>
      </c>
      <c r="D153" s="47">
        <f t="shared" si="13"/>
        <v>3.4260117647058843</v>
      </c>
      <c r="E153" s="47">
        <f t="shared" si="14"/>
        <v>6.4362692545464979</v>
      </c>
      <c r="F153" s="47">
        <f t="shared" si="15"/>
        <v>1.6539882352941158</v>
      </c>
      <c r="G153" s="24">
        <f t="shared" si="17"/>
        <v>0.25697934158453045</v>
      </c>
    </row>
    <row r="154" spans="1:7" x14ac:dyDescent="0.25">
      <c r="A154" s="56">
        <v>45099</v>
      </c>
      <c r="B154" s="29">
        <v>0.12</v>
      </c>
      <c r="C154" s="36">
        <f t="shared" si="12"/>
        <v>3.0479999999999996</v>
      </c>
      <c r="D154" s="47">
        <f t="shared" si="13"/>
        <v>3.4260117647058843</v>
      </c>
      <c r="E154" s="47">
        <f t="shared" si="14"/>
        <v>6.4362692545464979</v>
      </c>
      <c r="F154" s="47">
        <f t="shared" si="15"/>
        <v>-0.37801176470588471</v>
      </c>
      <c r="G154" s="24">
        <f t="shared" si="17"/>
        <v>-5.8731502638560695E-2</v>
      </c>
    </row>
    <row r="155" spans="1:7" x14ac:dyDescent="0.25">
      <c r="A155" s="56">
        <v>45129</v>
      </c>
      <c r="B155" s="29">
        <v>0.09</v>
      </c>
      <c r="C155" s="36">
        <f t="shared" si="12"/>
        <v>2.2859999999999996</v>
      </c>
      <c r="D155" s="47">
        <f t="shared" si="13"/>
        <v>3.4260117647058843</v>
      </c>
      <c r="E155" s="47">
        <f t="shared" si="14"/>
        <v>6.4362692545464979</v>
      </c>
      <c r="F155" s="47">
        <f t="shared" si="15"/>
        <v>-1.1400117647058847</v>
      </c>
      <c r="G155" s="24">
        <f t="shared" si="17"/>
        <v>-0.17712306922221985</v>
      </c>
    </row>
    <row r="156" spans="1:7" x14ac:dyDescent="0.25">
      <c r="A156" s="56">
        <v>45160</v>
      </c>
      <c r="B156" s="29">
        <v>0.02</v>
      </c>
      <c r="C156" s="36">
        <f t="shared" si="12"/>
        <v>0.50800000000000001</v>
      </c>
      <c r="D156" s="47">
        <f t="shared" si="13"/>
        <v>3.4260117647058843</v>
      </c>
      <c r="E156" s="47">
        <f t="shared" si="14"/>
        <v>6.4362692545464979</v>
      </c>
      <c r="F156" s="47">
        <f t="shared" si="15"/>
        <v>-2.9180117647058843</v>
      </c>
      <c r="G156" s="24">
        <f t="shared" si="17"/>
        <v>-0.45337005791742452</v>
      </c>
    </row>
    <row r="157" spans="1:7" x14ac:dyDescent="0.25">
      <c r="A157" s="56">
        <v>45191</v>
      </c>
      <c r="B157" s="29">
        <v>0.04</v>
      </c>
      <c r="C157" s="36">
        <f t="shared" si="12"/>
        <v>1.016</v>
      </c>
      <c r="D157" s="47">
        <f t="shared" si="13"/>
        <v>3.4260117647058843</v>
      </c>
      <c r="E157" s="47">
        <f t="shared" si="14"/>
        <v>6.4362692545464979</v>
      </c>
      <c r="F157" s="47">
        <f t="shared" si="15"/>
        <v>-2.4100117647058843</v>
      </c>
      <c r="G157" s="24">
        <f t="shared" si="17"/>
        <v>-0.37444234686165173</v>
      </c>
    </row>
    <row r="158" spans="1:7" x14ac:dyDescent="0.25">
      <c r="A158" s="56">
        <v>45221</v>
      </c>
      <c r="B158" s="29">
        <v>0.01</v>
      </c>
      <c r="C158" s="36">
        <f t="shared" si="12"/>
        <v>0.254</v>
      </c>
      <c r="D158" s="47">
        <f t="shared" si="13"/>
        <v>3.4260117647058843</v>
      </c>
      <c r="E158" s="47">
        <f t="shared" si="14"/>
        <v>6.4362692545464979</v>
      </c>
      <c r="F158" s="47">
        <f t="shared" si="15"/>
        <v>-3.1720117647058843</v>
      </c>
      <c r="G158" s="24">
        <f t="shared" si="17"/>
        <v>-0.49283391344531086</v>
      </c>
    </row>
    <row r="159" spans="1:7" x14ac:dyDescent="0.25">
      <c r="A159" s="56">
        <v>45252</v>
      </c>
      <c r="B159" s="29">
        <v>0.11</v>
      </c>
      <c r="C159" s="36">
        <f t="shared" si="12"/>
        <v>2.794</v>
      </c>
      <c r="D159" s="47">
        <f t="shared" si="13"/>
        <v>3.4260117647058843</v>
      </c>
      <c r="E159" s="47">
        <f t="shared" si="14"/>
        <v>6.4362692545464979</v>
      </c>
      <c r="F159" s="47">
        <f t="shared" si="15"/>
        <v>-0.63201176470588427</v>
      </c>
      <c r="G159" s="24">
        <f t="shared" si="17"/>
        <v>-9.8195358166447005E-2</v>
      </c>
    </row>
    <row r="160" spans="1:7" x14ac:dyDescent="0.25">
      <c r="A160" s="56">
        <v>45282</v>
      </c>
      <c r="B160" s="36">
        <v>0.79</v>
      </c>
      <c r="C160" s="36">
        <f t="shared" si="12"/>
        <v>20.065999999999999</v>
      </c>
      <c r="D160" s="47">
        <f t="shared" si="13"/>
        <v>3.4260117647058843</v>
      </c>
      <c r="E160" s="47">
        <f t="shared" si="14"/>
        <v>6.4362692545464979</v>
      </c>
      <c r="F160" s="47">
        <f t="shared" si="15"/>
        <v>16.639988235294116</v>
      </c>
      <c r="G160" s="24">
        <f t="shared" si="17"/>
        <v>2.5853468177298273</v>
      </c>
    </row>
    <row r="161" spans="1:7" x14ac:dyDescent="0.25">
      <c r="A161" s="56">
        <v>45313</v>
      </c>
      <c r="B161" s="36">
        <v>0.13</v>
      </c>
      <c r="C161" s="36">
        <f t="shared" si="12"/>
        <v>3.302</v>
      </c>
      <c r="D161" s="47">
        <f t="shared" si="13"/>
        <v>3.4260117647058843</v>
      </c>
      <c r="E161" s="47">
        <f t="shared" si="14"/>
        <v>6.4362692545464979</v>
      </c>
      <c r="F161" s="47">
        <f t="shared" si="15"/>
        <v>-0.12401176470588426</v>
      </c>
      <c r="G161" s="24">
        <f t="shared" si="17"/>
        <v>-1.9267647110674239E-2</v>
      </c>
    </row>
    <row r="162" spans="1:7" x14ac:dyDescent="0.25">
      <c r="A162" s="56">
        <v>45344</v>
      </c>
      <c r="B162" s="36">
        <v>0.11</v>
      </c>
      <c r="C162" s="36">
        <f t="shared" si="12"/>
        <v>2.794</v>
      </c>
      <c r="D162" s="47">
        <f t="shared" si="13"/>
        <v>3.4260117647058843</v>
      </c>
      <c r="E162" s="47">
        <f t="shared" si="14"/>
        <v>6.4362692545464979</v>
      </c>
      <c r="F162" s="47">
        <f t="shared" si="15"/>
        <v>-0.63201176470588427</v>
      </c>
      <c r="G162" s="24">
        <f t="shared" si="17"/>
        <v>-9.8195358166447005E-2</v>
      </c>
    </row>
    <row r="163" spans="1:7" x14ac:dyDescent="0.25">
      <c r="A163" s="56">
        <v>45373</v>
      </c>
      <c r="B163" s="36">
        <v>0.21</v>
      </c>
      <c r="C163" s="36">
        <f t="shared" si="12"/>
        <v>5.3339999999999996</v>
      </c>
      <c r="D163" s="47">
        <f t="shared" si="13"/>
        <v>3.4260117647058843</v>
      </c>
      <c r="E163" s="47">
        <f t="shared" si="14"/>
        <v>6.4362692545464979</v>
      </c>
      <c r="F163" s="47">
        <f t="shared" si="15"/>
        <v>1.9079882352941153</v>
      </c>
      <c r="G163" s="24">
        <f t="shared" si="17"/>
        <v>0.29644319711241679</v>
      </c>
    </row>
    <row r="164" spans="1:7" x14ac:dyDescent="0.25">
      <c r="A164" s="56">
        <v>45404</v>
      </c>
      <c r="B164" s="36">
        <v>0.21</v>
      </c>
      <c r="C164" s="36">
        <f t="shared" si="12"/>
        <v>5.3339999999999996</v>
      </c>
      <c r="D164" s="47">
        <f t="shared" si="13"/>
        <v>3.4260117647058843</v>
      </c>
      <c r="E164" s="47">
        <f t="shared" si="14"/>
        <v>6.4362692545464979</v>
      </c>
      <c r="F164" s="47">
        <f t="shared" si="15"/>
        <v>1.9079882352941153</v>
      </c>
      <c r="G164" s="24">
        <f t="shared" si="17"/>
        <v>0.29644319711241679</v>
      </c>
    </row>
    <row r="165" spans="1:7" x14ac:dyDescent="0.25">
      <c r="A165" s="56">
        <v>45434</v>
      </c>
      <c r="B165" s="29">
        <v>0.02</v>
      </c>
      <c r="C165" s="36">
        <f t="shared" ref="C165:C175" si="18">$D$1*B165</f>
        <v>0.50800000000000001</v>
      </c>
      <c r="D165" s="47">
        <f t="shared" si="13"/>
        <v>3.4260117647058843</v>
      </c>
      <c r="E165" s="47">
        <f t="shared" si="14"/>
        <v>6.4362692545464979</v>
      </c>
      <c r="F165" s="47">
        <f t="shared" si="15"/>
        <v>-2.9180117647058843</v>
      </c>
      <c r="G165" s="24">
        <f t="shared" si="17"/>
        <v>-0.45337005791742452</v>
      </c>
    </row>
    <row r="166" spans="1:7" x14ac:dyDescent="0.25">
      <c r="A166" s="56">
        <v>45465</v>
      </c>
      <c r="B166" s="1">
        <v>0.04</v>
      </c>
      <c r="C166" s="29">
        <f t="shared" si="18"/>
        <v>1.016</v>
      </c>
      <c r="D166" s="47">
        <f t="shared" si="13"/>
        <v>3.4260117647058843</v>
      </c>
      <c r="E166" s="47">
        <f t="shared" si="14"/>
        <v>6.4362692545464979</v>
      </c>
      <c r="F166" s="47">
        <f t="shared" si="15"/>
        <v>-2.4100117647058843</v>
      </c>
      <c r="G166" s="24">
        <f t="shared" si="17"/>
        <v>-0.37444234686165173</v>
      </c>
    </row>
    <row r="167" spans="1:7" x14ac:dyDescent="0.25">
      <c r="A167" s="56">
        <v>45495</v>
      </c>
      <c r="B167" s="1">
        <v>0.02</v>
      </c>
      <c r="C167" s="29">
        <f t="shared" si="18"/>
        <v>0.50800000000000001</v>
      </c>
      <c r="D167" s="47">
        <f t="shared" si="13"/>
        <v>3.4260117647058843</v>
      </c>
      <c r="E167" s="47">
        <f t="shared" si="14"/>
        <v>6.4362692545464979</v>
      </c>
      <c r="F167" s="47">
        <f t="shared" si="15"/>
        <v>-2.9180117647058843</v>
      </c>
      <c r="G167" s="24">
        <f t="shared" si="17"/>
        <v>-0.45337005791742452</v>
      </c>
    </row>
    <row r="168" spans="1:7" x14ac:dyDescent="0.25">
      <c r="A168" s="56">
        <v>45526</v>
      </c>
      <c r="B168" s="1">
        <v>0</v>
      </c>
      <c r="C168" s="29">
        <f t="shared" si="18"/>
        <v>0</v>
      </c>
      <c r="D168" s="47">
        <f t="shared" si="13"/>
        <v>3.4260117647058843</v>
      </c>
      <c r="E168" s="47">
        <f t="shared" si="14"/>
        <v>6.4362692545464979</v>
      </c>
      <c r="F168" s="47">
        <f t="shared" si="15"/>
        <v>-3.4260117647058843</v>
      </c>
      <c r="G168" s="24">
        <f t="shared" si="17"/>
        <v>-0.53229776897319725</v>
      </c>
    </row>
    <row r="169" spans="1:7" x14ac:dyDescent="0.25">
      <c r="A169" s="56">
        <v>45557</v>
      </c>
      <c r="B169" s="1">
        <v>0.03</v>
      </c>
      <c r="C169" s="29">
        <f t="shared" si="18"/>
        <v>0.7619999999999999</v>
      </c>
      <c r="D169" s="47">
        <f t="shared" si="13"/>
        <v>3.4260117647058843</v>
      </c>
      <c r="E169" s="47">
        <f t="shared" si="14"/>
        <v>6.4362692545464979</v>
      </c>
      <c r="F169" s="47">
        <f t="shared" si="15"/>
        <v>-2.6640117647058843</v>
      </c>
      <c r="G169" s="24">
        <f t="shared" si="17"/>
        <v>-0.41390620238953812</v>
      </c>
    </row>
    <row r="170" spans="1:7" x14ac:dyDescent="0.25">
      <c r="A170" s="56">
        <v>45587</v>
      </c>
      <c r="B170" s="1">
        <v>0.02</v>
      </c>
      <c r="C170" s="29">
        <f t="shared" si="18"/>
        <v>0.50800000000000001</v>
      </c>
      <c r="D170" s="47">
        <f t="shared" si="13"/>
        <v>3.4260117647058843</v>
      </c>
      <c r="E170" s="47">
        <f t="shared" si="14"/>
        <v>6.4362692545464979</v>
      </c>
      <c r="F170" s="47">
        <f t="shared" si="15"/>
        <v>-2.9180117647058843</v>
      </c>
      <c r="G170" s="24">
        <f t="shared" si="17"/>
        <v>-0.45337005791742452</v>
      </c>
    </row>
    <row r="171" spans="1:7" x14ac:dyDescent="0.25">
      <c r="A171" s="56">
        <v>45618</v>
      </c>
      <c r="B171" s="1">
        <v>0.02</v>
      </c>
      <c r="C171" s="29">
        <f t="shared" si="18"/>
        <v>0.50800000000000001</v>
      </c>
      <c r="D171" s="47">
        <f t="shared" si="13"/>
        <v>3.4260117647058843</v>
      </c>
      <c r="E171" s="47">
        <f t="shared" si="14"/>
        <v>6.4362692545464979</v>
      </c>
      <c r="F171" s="47">
        <f t="shared" si="15"/>
        <v>-2.9180117647058843</v>
      </c>
      <c r="G171" s="24">
        <f t="shared" si="17"/>
        <v>-0.45337005791742452</v>
      </c>
    </row>
    <row r="172" spans="1:7" x14ac:dyDescent="0.25">
      <c r="A172" s="56">
        <v>45648</v>
      </c>
      <c r="B172" s="1">
        <v>0.06</v>
      </c>
      <c r="C172" s="29">
        <f t="shared" si="18"/>
        <v>1.5239999999999998</v>
      </c>
      <c r="D172" s="47">
        <f t="shared" si="13"/>
        <v>3.4260117647058843</v>
      </c>
      <c r="E172" s="47">
        <f t="shared" si="14"/>
        <v>6.4362692545464979</v>
      </c>
      <c r="F172" s="47">
        <f t="shared" si="15"/>
        <v>-1.9020117647058845</v>
      </c>
      <c r="G172" s="24">
        <f t="shared" si="17"/>
        <v>-0.295514635805879</v>
      </c>
    </row>
    <row r="173" spans="1:7" x14ac:dyDescent="0.25">
      <c r="A173" s="56">
        <v>45679</v>
      </c>
      <c r="B173" s="1">
        <v>0.49</v>
      </c>
      <c r="C173" s="29">
        <f t="shared" si="18"/>
        <v>12.446</v>
      </c>
      <c r="D173" s="47">
        <f t="shared" si="13"/>
        <v>3.4260117647058843</v>
      </c>
      <c r="E173" s="47">
        <f t="shared" si="14"/>
        <v>6.4362692545464979</v>
      </c>
      <c r="F173" s="47">
        <f t="shared" si="15"/>
        <v>9.0199882352941145</v>
      </c>
      <c r="G173" s="24">
        <f t="shared" si="17"/>
        <v>1.4014311518932354</v>
      </c>
    </row>
    <row r="174" spans="1:7" x14ac:dyDescent="0.25">
      <c r="A174" s="56">
        <v>45710</v>
      </c>
      <c r="B174" s="1">
        <v>0.25</v>
      </c>
      <c r="C174" s="29">
        <f t="shared" si="18"/>
        <v>6.35</v>
      </c>
      <c r="D174" s="47">
        <f t="shared" si="13"/>
        <v>3.4260117647058843</v>
      </c>
      <c r="E174" s="47">
        <f t="shared" si="14"/>
        <v>6.4362692545464979</v>
      </c>
      <c r="F174" s="47">
        <f t="shared" si="15"/>
        <v>2.9239882352941153</v>
      </c>
      <c r="G174" s="24">
        <f t="shared" si="17"/>
        <v>0.45429861922396231</v>
      </c>
    </row>
    <row r="175" spans="1:7" x14ac:dyDescent="0.25">
      <c r="A175" s="56">
        <v>45739</v>
      </c>
      <c r="B175" s="1">
        <v>0.15</v>
      </c>
      <c r="C175" s="29">
        <f t="shared" si="18"/>
        <v>3.8099999999999996</v>
      </c>
      <c r="D175" s="47">
        <f t="shared" si="13"/>
        <v>3.4260117647058843</v>
      </c>
      <c r="E175" s="47">
        <f t="shared" si="14"/>
        <v>6.4362692545464979</v>
      </c>
      <c r="F175" s="47">
        <f t="shared" si="15"/>
        <v>0.3839882352941153</v>
      </c>
      <c r="G175" s="24">
        <f t="shared" si="17"/>
        <v>5.9660063945098464E-2</v>
      </c>
    </row>
  </sheetData>
  <mergeCells count="2">
    <mergeCell ref="A2:G2"/>
    <mergeCell ref="A3:G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5B7E-E855-4E71-BD6F-6200CE471C67}">
  <dimension ref="A1:H176"/>
  <sheetViews>
    <sheetView zoomScale="85" zoomScaleNormal="85" workbookViewId="0">
      <selection activeCell="I5" sqref="I5"/>
    </sheetView>
  </sheetViews>
  <sheetFormatPr defaultRowHeight="15" x14ac:dyDescent="0.25"/>
  <cols>
    <col min="1" max="1" width="15.5703125" style="58" customWidth="1"/>
    <col min="2" max="2" width="18.7109375" style="1" customWidth="1"/>
    <col min="3" max="3" width="19.5703125" style="1" customWidth="1"/>
    <col min="4" max="4" width="22.85546875" style="1" customWidth="1"/>
    <col min="5" max="5" width="16" style="1" customWidth="1"/>
    <col min="6" max="6" width="13.7109375" style="1" customWidth="1"/>
    <col min="7" max="7" width="21.5703125" style="15" bestFit="1" customWidth="1"/>
    <col min="8" max="8" width="15" bestFit="1" customWidth="1"/>
  </cols>
  <sheetData>
    <row r="1" spans="1:8" x14ac:dyDescent="0.25">
      <c r="A1" s="60"/>
      <c r="B1" s="61"/>
      <c r="C1" s="61"/>
      <c r="D1" s="16">
        <v>25.4</v>
      </c>
      <c r="E1" s="61"/>
      <c r="F1" s="61"/>
      <c r="G1" s="62"/>
    </row>
    <row r="2" spans="1:8" ht="20.25" customHeight="1" x14ac:dyDescent="0.25">
      <c r="A2" s="72" t="s">
        <v>21</v>
      </c>
      <c r="B2" s="73"/>
      <c r="C2" s="73"/>
      <c r="D2" s="73"/>
      <c r="E2" s="73"/>
      <c r="F2" s="73"/>
      <c r="G2" s="73"/>
      <c r="H2" s="48"/>
    </row>
    <row r="3" spans="1:8" x14ac:dyDescent="0.25">
      <c r="A3" s="67" t="s">
        <v>1</v>
      </c>
      <c r="B3" s="68"/>
      <c r="C3" s="68"/>
      <c r="D3" s="68"/>
      <c r="E3" s="68"/>
      <c r="F3" s="68"/>
      <c r="G3" s="71"/>
    </row>
    <row r="4" spans="1:8" x14ac:dyDescent="0.25">
      <c r="A4" s="55" t="s">
        <v>16</v>
      </c>
      <c r="B4" s="7" t="s">
        <v>3</v>
      </c>
      <c r="C4" s="7" t="s">
        <v>1</v>
      </c>
      <c r="D4" s="8" t="s">
        <v>4</v>
      </c>
      <c r="E4" s="8" t="s">
        <v>5</v>
      </c>
      <c r="F4" s="7"/>
      <c r="G4" s="49" t="s">
        <v>25</v>
      </c>
    </row>
    <row r="5" spans="1:8" x14ac:dyDescent="0.25">
      <c r="A5" s="56">
        <v>40565</v>
      </c>
      <c r="B5" s="29">
        <v>1</v>
      </c>
      <c r="C5" s="36">
        <f t="shared" ref="C5:C36" si="0">$D$1*B5</f>
        <v>25.4</v>
      </c>
      <c r="D5" s="47">
        <f>AVERAGE($C$5:$C$174)</f>
        <v>5.5327176470588206</v>
      </c>
      <c r="E5" s="47">
        <f>_xlfn.STDEV.S($C$5:$C$174)</f>
        <v>9.8809565513420416</v>
      </c>
      <c r="F5" s="47">
        <f>C5-D5</f>
        <v>19.867282352941178</v>
      </c>
      <c r="G5" s="24">
        <f>F5/E5</f>
        <v>2.0106638714288025</v>
      </c>
    </row>
    <row r="6" spans="1:8" x14ac:dyDescent="0.25">
      <c r="A6" s="56">
        <v>40596</v>
      </c>
      <c r="B6" s="29">
        <v>-0.01</v>
      </c>
      <c r="C6" s="36">
        <f t="shared" si="0"/>
        <v>-0.254</v>
      </c>
      <c r="D6" s="47">
        <f t="shared" ref="D6:D69" si="1">AVERAGE($C$5:$C$174)</f>
        <v>5.5327176470588206</v>
      </c>
      <c r="E6" s="47">
        <f t="shared" ref="E6:E69" si="2">_xlfn.STDEV.S($C$5:$C$174)</f>
        <v>9.8809565513420416</v>
      </c>
      <c r="F6" s="47">
        <f t="shared" ref="F6:F69" si="3">C6-D6</f>
        <v>-5.7867176470588202</v>
      </c>
      <c r="G6" s="24">
        <f t="shared" ref="G6:G69" si="4">F6/E6</f>
        <v>-0.58564346649949217</v>
      </c>
    </row>
    <row r="7" spans="1:8" x14ac:dyDescent="0.25">
      <c r="A7" s="56">
        <v>40624</v>
      </c>
      <c r="B7" s="29">
        <v>0.25</v>
      </c>
      <c r="C7" s="36">
        <f t="shared" si="0"/>
        <v>6.35</v>
      </c>
      <c r="D7" s="47">
        <f t="shared" si="1"/>
        <v>5.5327176470588206</v>
      </c>
      <c r="E7" s="47">
        <f t="shared" si="2"/>
        <v>9.8809565513420416</v>
      </c>
      <c r="F7" s="47">
        <f t="shared" si="3"/>
        <v>0.81728235294117901</v>
      </c>
      <c r="G7" s="24">
        <f t="shared" si="4"/>
        <v>8.2712877917692579E-2</v>
      </c>
    </row>
    <row r="8" spans="1:8" x14ac:dyDescent="0.25">
      <c r="A8" s="56">
        <v>40655</v>
      </c>
      <c r="B8" s="29">
        <v>0.17</v>
      </c>
      <c r="C8" s="36">
        <f t="shared" si="0"/>
        <v>4.3180000000000005</v>
      </c>
      <c r="D8" s="47">
        <f t="shared" si="1"/>
        <v>5.5327176470588206</v>
      </c>
      <c r="E8" s="47">
        <f t="shared" si="2"/>
        <v>9.8809565513420416</v>
      </c>
      <c r="F8" s="47">
        <f t="shared" si="3"/>
        <v>-1.2147176470588201</v>
      </c>
      <c r="G8" s="24">
        <f t="shared" si="4"/>
        <v>-0.12293522805682573</v>
      </c>
    </row>
    <row r="9" spans="1:8" x14ac:dyDescent="0.25">
      <c r="A9" s="56">
        <v>40685</v>
      </c>
      <c r="B9" s="29">
        <v>0.06</v>
      </c>
      <c r="C9" s="36">
        <f t="shared" si="0"/>
        <v>1.5239999999999998</v>
      </c>
      <c r="D9" s="47">
        <f t="shared" si="1"/>
        <v>5.5327176470588206</v>
      </c>
      <c r="E9" s="47">
        <f t="shared" si="2"/>
        <v>9.8809565513420416</v>
      </c>
      <c r="F9" s="47">
        <f t="shared" si="3"/>
        <v>-4.0087176470588206</v>
      </c>
      <c r="G9" s="24">
        <f t="shared" si="4"/>
        <v>-0.40570137377178855</v>
      </c>
    </row>
    <row r="10" spans="1:8" x14ac:dyDescent="0.25">
      <c r="A10" s="56">
        <v>40716</v>
      </c>
      <c r="B10" s="29">
        <v>7.0000000000000007E-2</v>
      </c>
      <c r="C10" s="36">
        <f t="shared" si="0"/>
        <v>1.778</v>
      </c>
      <c r="D10" s="47">
        <f t="shared" si="1"/>
        <v>5.5327176470588206</v>
      </c>
      <c r="E10" s="47">
        <f t="shared" si="2"/>
        <v>9.8809565513420416</v>
      </c>
      <c r="F10" s="47">
        <f t="shared" si="3"/>
        <v>-3.7547176470588206</v>
      </c>
      <c r="G10" s="24">
        <f t="shared" si="4"/>
        <v>-0.37999536052497379</v>
      </c>
    </row>
    <row r="11" spans="1:8" x14ac:dyDescent="0.25">
      <c r="A11" s="56">
        <v>40746</v>
      </c>
      <c r="B11" s="29">
        <v>0.06</v>
      </c>
      <c r="C11" s="36">
        <f t="shared" si="0"/>
        <v>1.5239999999999998</v>
      </c>
      <c r="D11" s="47">
        <f t="shared" si="1"/>
        <v>5.5327176470588206</v>
      </c>
      <c r="E11" s="47">
        <f t="shared" si="2"/>
        <v>9.8809565513420416</v>
      </c>
      <c r="F11" s="47">
        <f t="shared" si="3"/>
        <v>-4.0087176470588206</v>
      </c>
      <c r="G11" s="24">
        <f t="shared" si="4"/>
        <v>-0.40570137377178855</v>
      </c>
    </row>
    <row r="12" spans="1:8" x14ac:dyDescent="0.25">
      <c r="A12" s="56">
        <v>40777</v>
      </c>
      <c r="B12" s="29">
        <v>0.08</v>
      </c>
      <c r="C12" s="36">
        <f t="shared" si="0"/>
        <v>2.032</v>
      </c>
      <c r="D12" s="47">
        <f t="shared" si="1"/>
        <v>5.5327176470588206</v>
      </c>
      <c r="E12" s="47">
        <f t="shared" si="2"/>
        <v>9.8809565513420416</v>
      </c>
      <c r="F12" s="47">
        <f t="shared" si="3"/>
        <v>-3.5007176470588206</v>
      </c>
      <c r="G12" s="24">
        <f t="shared" si="4"/>
        <v>-0.35428934727815897</v>
      </c>
    </row>
    <row r="13" spans="1:8" x14ac:dyDescent="0.25">
      <c r="A13" s="56">
        <v>40808</v>
      </c>
      <c r="B13" s="29">
        <v>0.02</v>
      </c>
      <c r="C13" s="36">
        <f t="shared" si="0"/>
        <v>0.50800000000000001</v>
      </c>
      <c r="D13" s="47">
        <f t="shared" si="1"/>
        <v>5.5327176470588206</v>
      </c>
      <c r="E13" s="47">
        <f t="shared" si="2"/>
        <v>9.8809565513420416</v>
      </c>
      <c r="F13" s="47">
        <f t="shared" si="3"/>
        <v>-5.0247176470588206</v>
      </c>
      <c r="G13" s="24">
        <f t="shared" si="4"/>
        <v>-0.50852542675904777</v>
      </c>
    </row>
    <row r="14" spans="1:8" x14ac:dyDescent="0.25">
      <c r="A14" s="56">
        <v>40838</v>
      </c>
      <c r="B14" s="29">
        <v>0.12</v>
      </c>
      <c r="C14" s="36">
        <f t="shared" si="0"/>
        <v>3.0479999999999996</v>
      </c>
      <c r="D14" s="47">
        <f t="shared" si="1"/>
        <v>5.5327176470588206</v>
      </c>
      <c r="E14" s="47">
        <f t="shared" si="2"/>
        <v>9.8809565513420416</v>
      </c>
      <c r="F14" s="47">
        <f t="shared" si="3"/>
        <v>-2.484717647058821</v>
      </c>
      <c r="G14" s="24">
        <f t="shared" si="4"/>
        <v>-0.25146529429089981</v>
      </c>
    </row>
    <row r="15" spans="1:8" x14ac:dyDescent="0.25">
      <c r="A15" s="56">
        <v>40869</v>
      </c>
      <c r="B15" s="29">
        <v>0.06</v>
      </c>
      <c r="C15" s="36">
        <f t="shared" si="0"/>
        <v>1.5239999999999998</v>
      </c>
      <c r="D15" s="47">
        <f t="shared" si="1"/>
        <v>5.5327176470588206</v>
      </c>
      <c r="E15" s="47">
        <f t="shared" si="2"/>
        <v>9.8809565513420416</v>
      </c>
      <c r="F15" s="47">
        <f t="shared" si="3"/>
        <v>-4.0087176470588206</v>
      </c>
      <c r="G15" s="24">
        <f t="shared" si="4"/>
        <v>-0.40570137377178855</v>
      </c>
    </row>
    <row r="16" spans="1:8" x14ac:dyDescent="0.25">
      <c r="A16" s="56">
        <v>40899</v>
      </c>
      <c r="B16" s="29">
        <v>0.28999999999999998</v>
      </c>
      <c r="C16" s="36">
        <f t="shared" si="0"/>
        <v>7.3659999999999988</v>
      </c>
      <c r="D16" s="47">
        <f t="shared" si="1"/>
        <v>5.5327176470588206</v>
      </c>
      <c r="E16" s="47">
        <f t="shared" si="2"/>
        <v>9.8809565513420416</v>
      </c>
      <c r="F16" s="47">
        <f t="shared" si="3"/>
        <v>1.8332823529411781</v>
      </c>
      <c r="G16" s="24">
        <f t="shared" si="4"/>
        <v>0.18553693090495169</v>
      </c>
    </row>
    <row r="17" spans="1:7" x14ac:dyDescent="0.25">
      <c r="A17" s="56">
        <v>40930</v>
      </c>
      <c r="B17" s="29">
        <v>0.68</v>
      </c>
      <c r="C17" s="36">
        <f t="shared" si="0"/>
        <v>17.272000000000002</v>
      </c>
      <c r="D17" s="47">
        <f t="shared" si="1"/>
        <v>5.5327176470588206</v>
      </c>
      <c r="E17" s="47">
        <f t="shared" si="2"/>
        <v>9.8809565513420416</v>
      </c>
      <c r="F17" s="47">
        <f t="shared" si="3"/>
        <v>11.739282352941181</v>
      </c>
      <c r="G17" s="24">
        <f t="shared" si="4"/>
        <v>1.1880714475307292</v>
      </c>
    </row>
    <row r="18" spans="1:7" x14ac:dyDescent="0.25">
      <c r="A18" s="56">
        <v>40961</v>
      </c>
      <c r="B18" s="29">
        <v>0.11</v>
      </c>
      <c r="C18" s="36">
        <f t="shared" si="0"/>
        <v>2.794</v>
      </c>
      <c r="D18" s="47">
        <f t="shared" si="1"/>
        <v>5.5327176470588206</v>
      </c>
      <c r="E18" s="47">
        <f t="shared" si="2"/>
        <v>9.8809565513420416</v>
      </c>
      <c r="F18" s="47">
        <f t="shared" si="3"/>
        <v>-2.7387176470588206</v>
      </c>
      <c r="G18" s="24">
        <f t="shared" si="4"/>
        <v>-0.27717130753771457</v>
      </c>
    </row>
    <row r="19" spans="1:7" x14ac:dyDescent="0.25">
      <c r="A19" s="56">
        <v>40990</v>
      </c>
      <c r="B19" s="29">
        <v>0.04</v>
      </c>
      <c r="C19" s="36">
        <f t="shared" si="0"/>
        <v>1.016</v>
      </c>
      <c r="D19" s="47">
        <f t="shared" si="1"/>
        <v>5.5327176470588206</v>
      </c>
      <c r="E19" s="47">
        <f t="shared" si="2"/>
        <v>9.8809565513420416</v>
      </c>
      <c r="F19" s="47">
        <f t="shared" si="3"/>
        <v>-4.5167176470588206</v>
      </c>
      <c r="G19" s="24">
        <f t="shared" si="4"/>
        <v>-0.45711340026541819</v>
      </c>
    </row>
    <row r="20" spans="1:7" x14ac:dyDescent="0.25">
      <c r="A20" s="56">
        <v>41021</v>
      </c>
      <c r="B20" s="29">
        <v>0.06</v>
      </c>
      <c r="C20" s="36">
        <f t="shared" si="0"/>
        <v>1.5239999999999998</v>
      </c>
      <c r="D20" s="47">
        <f t="shared" si="1"/>
        <v>5.5327176470588206</v>
      </c>
      <c r="E20" s="47">
        <f t="shared" si="2"/>
        <v>9.8809565513420416</v>
      </c>
      <c r="F20" s="47">
        <f t="shared" si="3"/>
        <v>-4.0087176470588206</v>
      </c>
      <c r="G20" s="24">
        <f t="shared" si="4"/>
        <v>-0.40570137377178855</v>
      </c>
    </row>
    <row r="21" spans="1:7" x14ac:dyDescent="0.25">
      <c r="A21" s="56">
        <v>41051</v>
      </c>
      <c r="B21" s="29">
        <v>0.02</v>
      </c>
      <c r="C21" s="36">
        <f t="shared" si="0"/>
        <v>0.50800000000000001</v>
      </c>
      <c r="D21" s="47">
        <f t="shared" si="1"/>
        <v>5.5327176470588206</v>
      </c>
      <c r="E21" s="47">
        <f t="shared" si="2"/>
        <v>9.8809565513420416</v>
      </c>
      <c r="F21" s="47">
        <f t="shared" si="3"/>
        <v>-5.0247176470588206</v>
      </c>
      <c r="G21" s="24">
        <f t="shared" si="4"/>
        <v>-0.50852542675904777</v>
      </c>
    </row>
    <row r="22" spans="1:7" x14ac:dyDescent="0.25">
      <c r="A22" s="56">
        <v>41082</v>
      </c>
      <c r="B22" s="29">
        <v>0.01</v>
      </c>
      <c r="C22" s="36">
        <f t="shared" si="0"/>
        <v>0.254</v>
      </c>
      <c r="D22" s="47">
        <f t="shared" si="1"/>
        <v>5.5327176470588206</v>
      </c>
      <c r="E22" s="47">
        <f t="shared" si="2"/>
        <v>9.8809565513420416</v>
      </c>
      <c r="F22" s="47">
        <f t="shared" si="3"/>
        <v>-5.2787176470588211</v>
      </c>
      <c r="G22" s="24">
        <f t="shared" si="4"/>
        <v>-0.53423144000586265</v>
      </c>
    </row>
    <row r="23" spans="1:7" x14ac:dyDescent="0.25">
      <c r="A23" s="56">
        <v>41112</v>
      </c>
      <c r="B23" s="29">
        <v>0.01</v>
      </c>
      <c r="C23" s="36">
        <f t="shared" si="0"/>
        <v>0.254</v>
      </c>
      <c r="D23" s="47">
        <f t="shared" si="1"/>
        <v>5.5327176470588206</v>
      </c>
      <c r="E23" s="47">
        <f t="shared" si="2"/>
        <v>9.8809565513420416</v>
      </c>
      <c r="F23" s="47">
        <f t="shared" si="3"/>
        <v>-5.2787176470588211</v>
      </c>
      <c r="G23" s="24">
        <f t="shared" si="4"/>
        <v>-0.53423144000586265</v>
      </c>
    </row>
    <row r="24" spans="1:7" x14ac:dyDescent="0.25">
      <c r="A24" s="56">
        <v>41143</v>
      </c>
      <c r="B24" s="29">
        <v>0.01</v>
      </c>
      <c r="C24" s="36">
        <f t="shared" si="0"/>
        <v>0.254</v>
      </c>
      <c r="D24" s="47">
        <f t="shared" si="1"/>
        <v>5.5327176470588206</v>
      </c>
      <c r="E24" s="47">
        <f t="shared" si="2"/>
        <v>9.8809565513420416</v>
      </c>
      <c r="F24" s="47">
        <f t="shared" si="3"/>
        <v>-5.2787176470588211</v>
      </c>
      <c r="G24" s="24">
        <f t="shared" si="4"/>
        <v>-0.53423144000586265</v>
      </c>
    </row>
    <row r="25" spans="1:7" x14ac:dyDescent="0.25">
      <c r="A25" s="56">
        <v>41174</v>
      </c>
      <c r="B25" s="29">
        <v>0.1</v>
      </c>
      <c r="C25" s="36">
        <f t="shared" si="0"/>
        <v>2.54</v>
      </c>
      <c r="D25" s="47">
        <f t="shared" si="1"/>
        <v>5.5327176470588206</v>
      </c>
      <c r="E25" s="47">
        <f t="shared" si="2"/>
        <v>9.8809565513420416</v>
      </c>
      <c r="F25" s="47">
        <f t="shared" si="3"/>
        <v>-2.9927176470588206</v>
      </c>
      <c r="G25" s="24">
        <f t="shared" si="4"/>
        <v>-0.30287732078452939</v>
      </c>
    </row>
    <row r="26" spans="1:7" x14ac:dyDescent="0.25">
      <c r="A26" s="56">
        <v>41204</v>
      </c>
      <c r="B26" s="29">
        <v>0.08</v>
      </c>
      <c r="C26" s="36">
        <f t="shared" si="0"/>
        <v>2.032</v>
      </c>
      <c r="D26" s="47">
        <f t="shared" si="1"/>
        <v>5.5327176470588206</v>
      </c>
      <c r="E26" s="47">
        <f t="shared" si="2"/>
        <v>9.8809565513420416</v>
      </c>
      <c r="F26" s="47">
        <f t="shared" si="3"/>
        <v>-3.5007176470588206</v>
      </c>
      <c r="G26" s="24">
        <f t="shared" si="4"/>
        <v>-0.35428934727815897</v>
      </c>
    </row>
    <row r="27" spans="1:7" x14ac:dyDescent="0.25">
      <c r="A27" s="56">
        <v>41235</v>
      </c>
      <c r="B27" s="29">
        <v>0.05</v>
      </c>
      <c r="C27" s="36">
        <f t="shared" si="0"/>
        <v>1.27</v>
      </c>
      <c r="D27" s="47">
        <f t="shared" si="1"/>
        <v>5.5327176470588206</v>
      </c>
      <c r="E27" s="47">
        <f t="shared" si="2"/>
        <v>9.8809565513420416</v>
      </c>
      <c r="F27" s="47">
        <f t="shared" si="3"/>
        <v>-4.2627176470588211</v>
      </c>
      <c r="G27" s="24">
        <f t="shared" si="4"/>
        <v>-0.43140738701860343</v>
      </c>
    </row>
    <row r="28" spans="1:7" x14ac:dyDescent="0.25">
      <c r="A28" s="56">
        <v>41265</v>
      </c>
      <c r="B28" s="29">
        <v>0.3</v>
      </c>
      <c r="C28" s="36">
        <f t="shared" si="0"/>
        <v>7.6199999999999992</v>
      </c>
      <c r="D28" s="47">
        <f t="shared" si="1"/>
        <v>5.5327176470588206</v>
      </c>
      <c r="E28" s="47">
        <f t="shared" si="2"/>
        <v>9.8809565513420416</v>
      </c>
      <c r="F28" s="47">
        <f t="shared" si="3"/>
        <v>2.0872823529411786</v>
      </c>
      <c r="G28" s="24">
        <f t="shared" si="4"/>
        <v>0.21124294415176653</v>
      </c>
    </row>
    <row r="29" spans="1:7" x14ac:dyDescent="0.25">
      <c r="A29" s="56">
        <v>41296</v>
      </c>
      <c r="B29" s="29">
        <v>0.48</v>
      </c>
      <c r="C29" s="36">
        <f t="shared" si="0"/>
        <v>12.191999999999998</v>
      </c>
      <c r="D29" s="47">
        <f t="shared" si="1"/>
        <v>5.5327176470588206</v>
      </c>
      <c r="E29" s="47">
        <f t="shared" si="2"/>
        <v>9.8809565513420416</v>
      </c>
      <c r="F29" s="47">
        <f t="shared" si="3"/>
        <v>6.6592823529411778</v>
      </c>
      <c r="G29" s="24">
        <f t="shared" si="4"/>
        <v>0.67395118259443287</v>
      </c>
    </row>
    <row r="30" spans="1:7" x14ac:dyDescent="0.25">
      <c r="A30" s="56">
        <v>41327</v>
      </c>
      <c r="B30" s="29">
        <v>0.48</v>
      </c>
      <c r="C30" s="36">
        <f t="shared" si="0"/>
        <v>12.191999999999998</v>
      </c>
      <c r="D30" s="47">
        <f t="shared" si="1"/>
        <v>5.5327176470588206</v>
      </c>
      <c r="E30" s="47">
        <f t="shared" si="2"/>
        <v>9.8809565513420416</v>
      </c>
      <c r="F30" s="47">
        <f t="shared" si="3"/>
        <v>6.6592823529411778</v>
      </c>
      <c r="G30" s="24">
        <f t="shared" si="4"/>
        <v>0.67395118259443287</v>
      </c>
    </row>
    <row r="31" spans="1:7" x14ac:dyDescent="0.25">
      <c r="A31" s="56">
        <v>41355</v>
      </c>
      <c r="B31" s="29">
        <v>0.24</v>
      </c>
      <c r="C31" s="36">
        <f t="shared" si="0"/>
        <v>6.0959999999999992</v>
      </c>
      <c r="D31" s="47">
        <f t="shared" si="1"/>
        <v>5.5327176470588206</v>
      </c>
      <c r="E31" s="47">
        <f t="shared" si="2"/>
        <v>9.8809565513420416</v>
      </c>
      <c r="F31" s="47">
        <f t="shared" si="3"/>
        <v>0.56328235294117857</v>
      </c>
      <c r="G31" s="24">
        <f t="shared" si="4"/>
        <v>5.700686467087774E-2</v>
      </c>
    </row>
    <row r="32" spans="1:7" x14ac:dyDescent="0.25">
      <c r="A32" s="56">
        <v>41386</v>
      </c>
      <c r="B32" s="29">
        <v>0.68</v>
      </c>
      <c r="C32" s="36">
        <f t="shared" si="0"/>
        <v>17.272000000000002</v>
      </c>
      <c r="D32" s="47">
        <f t="shared" si="1"/>
        <v>5.5327176470588206</v>
      </c>
      <c r="E32" s="47">
        <f t="shared" si="2"/>
        <v>9.8809565513420416</v>
      </c>
      <c r="F32" s="47">
        <f t="shared" si="3"/>
        <v>11.739282352941181</v>
      </c>
      <c r="G32" s="24">
        <f t="shared" si="4"/>
        <v>1.1880714475307292</v>
      </c>
    </row>
    <row r="33" spans="1:7" x14ac:dyDescent="0.25">
      <c r="A33" s="56">
        <v>41416</v>
      </c>
      <c r="B33" s="29">
        <v>0.44</v>
      </c>
      <c r="C33" s="36">
        <f t="shared" si="0"/>
        <v>11.176</v>
      </c>
      <c r="D33" s="47">
        <f t="shared" si="1"/>
        <v>5.5327176470588206</v>
      </c>
      <c r="E33" s="47">
        <f t="shared" si="2"/>
        <v>9.8809565513420416</v>
      </c>
      <c r="F33" s="47">
        <f t="shared" si="3"/>
        <v>5.6432823529411795</v>
      </c>
      <c r="G33" s="24">
        <f t="shared" si="4"/>
        <v>0.57112712960717382</v>
      </c>
    </row>
    <row r="34" spans="1:7" x14ac:dyDescent="0.25">
      <c r="A34" s="56">
        <v>41447</v>
      </c>
      <c r="B34" s="29">
        <v>0.17</v>
      </c>
      <c r="C34" s="36">
        <f t="shared" si="0"/>
        <v>4.3180000000000005</v>
      </c>
      <c r="D34" s="47">
        <f t="shared" si="1"/>
        <v>5.5327176470588206</v>
      </c>
      <c r="E34" s="47">
        <f t="shared" si="2"/>
        <v>9.8809565513420416</v>
      </c>
      <c r="F34" s="47">
        <f t="shared" si="3"/>
        <v>-1.2147176470588201</v>
      </c>
      <c r="G34" s="24">
        <f t="shared" si="4"/>
        <v>-0.12293522805682573</v>
      </c>
    </row>
    <row r="35" spans="1:7" x14ac:dyDescent="0.25">
      <c r="A35" s="56">
        <v>41477</v>
      </c>
      <c r="B35" s="29">
        <v>0.06</v>
      </c>
      <c r="C35" s="36">
        <f t="shared" si="0"/>
        <v>1.5239999999999998</v>
      </c>
      <c r="D35" s="47">
        <f t="shared" si="1"/>
        <v>5.5327176470588206</v>
      </c>
      <c r="E35" s="47">
        <f t="shared" si="2"/>
        <v>9.8809565513420416</v>
      </c>
      <c r="F35" s="47">
        <f t="shared" si="3"/>
        <v>-4.0087176470588206</v>
      </c>
      <c r="G35" s="24">
        <f t="shared" si="4"/>
        <v>-0.40570137377178855</v>
      </c>
    </row>
    <row r="36" spans="1:7" x14ac:dyDescent="0.25">
      <c r="A36" s="56">
        <v>41508</v>
      </c>
      <c r="B36" s="29">
        <v>0.11</v>
      </c>
      <c r="C36" s="36">
        <f t="shared" si="0"/>
        <v>2.794</v>
      </c>
      <c r="D36" s="47">
        <f t="shared" si="1"/>
        <v>5.5327176470588206</v>
      </c>
      <c r="E36" s="47">
        <f t="shared" si="2"/>
        <v>9.8809565513420416</v>
      </c>
      <c r="F36" s="47">
        <f t="shared" si="3"/>
        <v>-2.7387176470588206</v>
      </c>
      <c r="G36" s="24">
        <f t="shared" si="4"/>
        <v>-0.27717130753771457</v>
      </c>
    </row>
    <row r="37" spans="1:7" x14ac:dyDescent="0.25">
      <c r="A37" s="56">
        <v>41539</v>
      </c>
      <c r="B37" s="29">
        <v>0.06</v>
      </c>
      <c r="C37" s="36">
        <f t="shared" ref="C37:C68" si="5">$D$1*B37</f>
        <v>1.5239999999999998</v>
      </c>
      <c r="D37" s="47">
        <f t="shared" si="1"/>
        <v>5.5327176470588206</v>
      </c>
      <c r="E37" s="47">
        <f t="shared" si="2"/>
        <v>9.8809565513420416</v>
      </c>
      <c r="F37" s="47">
        <f t="shared" si="3"/>
        <v>-4.0087176470588206</v>
      </c>
      <c r="G37" s="24">
        <f t="shared" si="4"/>
        <v>-0.40570137377178855</v>
      </c>
    </row>
    <row r="38" spans="1:7" x14ac:dyDescent="0.25">
      <c r="A38" s="56">
        <v>41569</v>
      </c>
      <c r="B38" s="29">
        <v>0.06</v>
      </c>
      <c r="C38" s="36">
        <f t="shared" si="5"/>
        <v>1.5239999999999998</v>
      </c>
      <c r="D38" s="47">
        <f t="shared" si="1"/>
        <v>5.5327176470588206</v>
      </c>
      <c r="E38" s="47">
        <f t="shared" si="2"/>
        <v>9.8809565513420416</v>
      </c>
      <c r="F38" s="47">
        <f t="shared" si="3"/>
        <v>-4.0087176470588206</v>
      </c>
      <c r="G38" s="24">
        <f t="shared" si="4"/>
        <v>-0.40570137377178855</v>
      </c>
    </row>
    <row r="39" spans="1:7" x14ac:dyDescent="0.25">
      <c r="A39" s="56">
        <v>41600</v>
      </c>
      <c r="B39" s="29">
        <v>0.13</v>
      </c>
      <c r="C39" s="36">
        <f t="shared" si="5"/>
        <v>3.302</v>
      </c>
      <c r="D39" s="47">
        <f t="shared" si="1"/>
        <v>5.5327176470588206</v>
      </c>
      <c r="E39" s="47">
        <f t="shared" si="2"/>
        <v>9.8809565513420416</v>
      </c>
      <c r="F39" s="47">
        <f t="shared" si="3"/>
        <v>-2.2307176470588206</v>
      </c>
      <c r="G39" s="24">
        <f t="shared" si="4"/>
        <v>-0.22575928104408496</v>
      </c>
    </row>
    <row r="40" spans="1:7" x14ac:dyDescent="0.25">
      <c r="A40" s="56">
        <v>41630</v>
      </c>
      <c r="B40" s="29">
        <v>0.4</v>
      </c>
      <c r="C40" s="36">
        <f t="shared" si="5"/>
        <v>10.16</v>
      </c>
      <c r="D40" s="47">
        <f t="shared" si="1"/>
        <v>5.5327176470588206</v>
      </c>
      <c r="E40" s="47">
        <f t="shared" si="2"/>
        <v>9.8809565513420416</v>
      </c>
      <c r="F40" s="47">
        <f t="shared" si="3"/>
        <v>4.6272823529411795</v>
      </c>
      <c r="G40" s="24">
        <f t="shared" si="4"/>
        <v>0.4683030766199146</v>
      </c>
    </row>
    <row r="41" spans="1:7" x14ac:dyDescent="0.25">
      <c r="A41" s="56">
        <v>41661</v>
      </c>
      <c r="B41" s="29">
        <v>0.05</v>
      </c>
      <c r="C41" s="36">
        <f t="shared" si="5"/>
        <v>1.27</v>
      </c>
      <c r="D41" s="47">
        <f t="shared" si="1"/>
        <v>5.5327176470588206</v>
      </c>
      <c r="E41" s="47">
        <f t="shared" si="2"/>
        <v>9.8809565513420416</v>
      </c>
      <c r="F41" s="47">
        <f t="shared" si="3"/>
        <v>-4.2627176470588211</v>
      </c>
      <c r="G41" s="24">
        <f t="shared" si="4"/>
        <v>-0.43140738701860343</v>
      </c>
    </row>
    <row r="42" spans="1:7" x14ac:dyDescent="0.25">
      <c r="A42" s="56">
        <v>41692</v>
      </c>
      <c r="B42" s="29">
        <v>0.09</v>
      </c>
      <c r="C42" s="36">
        <f t="shared" si="5"/>
        <v>2.2859999999999996</v>
      </c>
      <c r="D42" s="47">
        <f t="shared" si="1"/>
        <v>5.5327176470588206</v>
      </c>
      <c r="E42" s="47">
        <f t="shared" si="2"/>
        <v>9.8809565513420416</v>
      </c>
      <c r="F42" s="47">
        <f t="shared" si="3"/>
        <v>-3.246717647058821</v>
      </c>
      <c r="G42" s="24">
        <f t="shared" si="4"/>
        <v>-0.32858333403134421</v>
      </c>
    </row>
    <row r="43" spans="1:7" x14ac:dyDescent="0.25">
      <c r="A43" s="56">
        <v>41720</v>
      </c>
      <c r="B43" s="29">
        <v>1.63</v>
      </c>
      <c r="C43" s="36">
        <f t="shared" si="5"/>
        <v>41.401999999999994</v>
      </c>
      <c r="D43" s="47">
        <f t="shared" si="1"/>
        <v>5.5327176470588206</v>
      </c>
      <c r="E43" s="47">
        <f t="shared" si="2"/>
        <v>9.8809565513420416</v>
      </c>
      <c r="F43" s="47">
        <f t="shared" si="3"/>
        <v>35.86928235294117</v>
      </c>
      <c r="G43" s="24">
        <f t="shared" si="4"/>
        <v>3.6301427059781339</v>
      </c>
    </row>
    <row r="44" spans="1:7" x14ac:dyDescent="0.25">
      <c r="A44" s="56">
        <v>41751</v>
      </c>
      <c r="B44" s="29">
        <v>0.2</v>
      </c>
      <c r="C44" s="36">
        <f t="shared" si="5"/>
        <v>5.08</v>
      </c>
      <c r="D44" s="47">
        <f t="shared" si="1"/>
        <v>5.5327176470588206</v>
      </c>
      <c r="E44" s="47">
        <f t="shared" si="2"/>
        <v>9.8809565513420416</v>
      </c>
      <c r="F44" s="47">
        <f t="shared" si="3"/>
        <v>-0.45271764705882056</v>
      </c>
      <c r="G44" s="24">
        <f t="shared" si="4"/>
        <v>-4.5817188316381374E-2</v>
      </c>
    </row>
    <row r="45" spans="1:7" x14ac:dyDescent="0.25">
      <c r="A45" s="56">
        <v>41781</v>
      </c>
      <c r="B45" s="29">
        <v>0.13</v>
      </c>
      <c r="C45" s="36">
        <f t="shared" si="5"/>
        <v>3.302</v>
      </c>
      <c r="D45" s="47">
        <f t="shared" si="1"/>
        <v>5.5327176470588206</v>
      </c>
      <c r="E45" s="47">
        <f t="shared" si="2"/>
        <v>9.8809565513420416</v>
      </c>
      <c r="F45" s="47">
        <f t="shared" si="3"/>
        <v>-2.2307176470588206</v>
      </c>
      <c r="G45" s="24">
        <f t="shared" si="4"/>
        <v>-0.22575928104408496</v>
      </c>
    </row>
    <row r="46" spans="1:7" x14ac:dyDescent="0.25">
      <c r="A46" s="56">
        <v>41812</v>
      </c>
      <c r="B46" s="29">
        <v>0.09</v>
      </c>
      <c r="C46" s="36">
        <f t="shared" si="5"/>
        <v>2.2859999999999996</v>
      </c>
      <c r="D46" s="47">
        <f t="shared" si="1"/>
        <v>5.5327176470588206</v>
      </c>
      <c r="E46" s="47">
        <f t="shared" si="2"/>
        <v>9.8809565513420416</v>
      </c>
      <c r="F46" s="47">
        <f t="shared" si="3"/>
        <v>-3.246717647058821</v>
      </c>
      <c r="G46" s="24">
        <f t="shared" si="4"/>
        <v>-0.32858333403134421</v>
      </c>
    </row>
    <row r="47" spans="1:7" x14ac:dyDescent="0.25">
      <c r="A47" s="56">
        <v>41842</v>
      </c>
      <c r="B47" s="29">
        <v>7.0000000000000007E-2</v>
      </c>
      <c r="C47" s="36">
        <f t="shared" si="5"/>
        <v>1.778</v>
      </c>
      <c r="D47" s="47">
        <f t="shared" si="1"/>
        <v>5.5327176470588206</v>
      </c>
      <c r="E47" s="47">
        <f t="shared" si="2"/>
        <v>9.8809565513420416</v>
      </c>
      <c r="F47" s="47">
        <f t="shared" si="3"/>
        <v>-3.7547176470588206</v>
      </c>
      <c r="G47" s="24">
        <f t="shared" si="4"/>
        <v>-0.37999536052497379</v>
      </c>
    </row>
    <row r="48" spans="1:7" x14ac:dyDescent="0.25">
      <c r="A48" s="56">
        <v>41873</v>
      </c>
      <c r="B48" s="29">
        <v>0.04</v>
      </c>
      <c r="C48" s="36">
        <f t="shared" si="5"/>
        <v>1.016</v>
      </c>
      <c r="D48" s="47">
        <f t="shared" si="1"/>
        <v>5.5327176470588206</v>
      </c>
      <c r="E48" s="47">
        <f t="shared" si="2"/>
        <v>9.8809565513420416</v>
      </c>
      <c r="F48" s="47">
        <f t="shared" si="3"/>
        <v>-4.5167176470588206</v>
      </c>
      <c r="G48" s="24">
        <f t="shared" si="4"/>
        <v>-0.45711340026541819</v>
      </c>
    </row>
    <row r="49" spans="1:7" x14ac:dyDescent="0.25">
      <c r="A49" s="56">
        <v>41904</v>
      </c>
      <c r="B49" s="29">
        <v>0.02</v>
      </c>
      <c r="C49" s="36">
        <f t="shared" si="5"/>
        <v>0.50800000000000001</v>
      </c>
      <c r="D49" s="47">
        <f t="shared" si="1"/>
        <v>5.5327176470588206</v>
      </c>
      <c r="E49" s="47">
        <f t="shared" si="2"/>
        <v>9.8809565513420416</v>
      </c>
      <c r="F49" s="47">
        <f t="shared" si="3"/>
        <v>-5.0247176470588206</v>
      </c>
      <c r="G49" s="24">
        <f t="shared" si="4"/>
        <v>-0.50852542675904777</v>
      </c>
    </row>
    <row r="50" spans="1:7" x14ac:dyDescent="0.25">
      <c r="A50" s="56">
        <v>41934</v>
      </c>
      <c r="B50" s="29">
        <v>0.02</v>
      </c>
      <c r="C50" s="36">
        <f t="shared" si="5"/>
        <v>0.50800000000000001</v>
      </c>
      <c r="D50" s="47">
        <f t="shared" si="1"/>
        <v>5.5327176470588206</v>
      </c>
      <c r="E50" s="47">
        <f t="shared" si="2"/>
        <v>9.8809565513420416</v>
      </c>
      <c r="F50" s="47">
        <f t="shared" si="3"/>
        <v>-5.0247176470588206</v>
      </c>
      <c r="G50" s="24">
        <f t="shared" si="4"/>
        <v>-0.50852542675904777</v>
      </c>
    </row>
    <row r="51" spans="1:7" x14ac:dyDescent="0.25">
      <c r="A51" s="56">
        <v>41965</v>
      </c>
      <c r="B51" s="29">
        <v>0.08</v>
      </c>
      <c r="C51" s="36">
        <f t="shared" si="5"/>
        <v>2.032</v>
      </c>
      <c r="D51" s="47">
        <f t="shared" si="1"/>
        <v>5.5327176470588206</v>
      </c>
      <c r="E51" s="47">
        <f t="shared" si="2"/>
        <v>9.8809565513420416</v>
      </c>
      <c r="F51" s="47">
        <f t="shared" si="3"/>
        <v>-3.5007176470588206</v>
      </c>
      <c r="G51" s="24">
        <f t="shared" si="4"/>
        <v>-0.35428934727815897</v>
      </c>
    </row>
    <row r="52" spans="1:7" x14ac:dyDescent="0.25">
      <c r="A52" s="56">
        <v>41995</v>
      </c>
      <c r="B52" s="29">
        <v>0.56999999999999995</v>
      </c>
      <c r="C52" s="36">
        <f t="shared" si="5"/>
        <v>14.477999999999998</v>
      </c>
      <c r="D52" s="47">
        <f t="shared" si="1"/>
        <v>5.5327176470588206</v>
      </c>
      <c r="E52" s="47">
        <f t="shared" si="2"/>
        <v>9.8809565513420416</v>
      </c>
      <c r="F52" s="47">
        <f t="shared" si="3"/>
        <v>8.9452823529411774</v>
      </c>
      <c r="G52" s="24">
        <f t="shared" si="4"/>
        <v>0.90530530181576596</v>
      </c>
    </row>
    <row r="53" spans="1:7" x14ac:dyDescent="0.25">
      <c r="A53" s="56">
        <v>42026</v>
      </c>
      <c r="B53" s="29">
        <v>7.0000000000000007E-2</v>
      </c>
      <c r="C53" s="36">
        <f t="shared" si="5"/>
        <v>1.778</v>
      </c>
      <c r="D53" s="47">
        <f t="shared" si="1"/>
        <v>5.5327176470588206</v>
      </c>
      <c r="E53" s="47">
        <f t="shared" si="2"/>
        <v>9.8809565513420416</v>
      </c>
      <c r="F53" s="47">
        <f t="shared" si="3"/>
        <v>-3.7547176470588206</v>
      </c>
      <c r="G53" s="24">
        <f t="shared" si="4"/>
        <v>-0.37999536052497379</v>
      </c>
    </row>
    <row r="54" spans="1:7" x14ac:dyDescent="0.25">
      <c r="A54" s="56">
        <v>42057</v>
      </c>
      <c r="B54" s="29">
        <v>0.06</v>
      </c>
      <c r="C54" s="36">
        <f t="shared" si="5"/>
        <v>1.5239999999999998</v>
      </c>
      <c r="D54" s="47">
        <f t="shared" si="1"/>
        <v>5.5327176470588206</v>
      </c>
      <c r="E54" s="47">
        <f t="shared" si="2"/>
        <v>9.8809565513420416</v>
      </c>
      <c r="F54" s="47">
        <f t="shared" si="3"/>
        <v>-4.0087176470588206</v>
      </c>
      <c r="G54" s="24">
        <f t="shared" si="4"/>
        <v>-0.40570137377178855</v>
      </c>
    </row>
    <row r="55" spans="1:7" x14ac:dyDescent="0.25">
      <c r="A55" s="56">
        <v>42085</v>
      </c>
      <c r="B55" s="29">
        <v>0.02</v>
      </c>
      <c r="C55" s="36">
        <f t="shared" si="5"/>
        <v>0.50800000000000001</v>
      </c>
      <c r="D55" s="47">
        <f t="shared" si="1"/>
        <v>5.5327176470588206</v>
      </c>
      <c r="E55" s="47">
        <f t="shared" si="2"/>
        <v>9.8809565513420416</v>
      </c>
      <c r="F55" s="47">
        <f t="shared" si="3"/>
        <v>-5.0247176470588206</v>
      </c>
      <c r="G55" s="24">
        <f t="shared" si="4"/>
        <v>-0.50852542675904777</v>
      </c>
    </row>
    <row r="56" spans="1:7" x14ac:dyDescent="0.25">
      <c r="A56" s="56">
        <v>42116</v>
      </c>
      <c r="B56" s="29">
        <v>0.06</v>
      </c>
      <c r="C56" s="36">
        <f t="shared" si="5"/>
        <v>1.5239999999999998</v>
      </c>
      <c r="D56" s="47">
        <f t="shared" si="1"/>
        <v>5.5327176470588206</v>
      </c>
      <c r="E56" s="47">
        <f t="shared" si="2"/>
        <v>9.8809565513420416</v>
      </c>
      <c r="F56" s="47">
        <f t="shared" si="3"/>
        <v>-4.0087176470588206</v>
      </c>
      <c r="G56" s="24">
        <f t="shared" si="4"/>
        <v>-0.40570137377178855</v>
      </c>
    </row>
    <row r="57" spans="1:7" x14ac:dyDescent="0.25">
      <c r="A57" s="56">
        <v>42146</v>
      </c>
      <c r="B57" s="29">
        <v>0.02</v>
      </c>
      <c r="C57" s="36">
        <f t="shared" si="5"/>
        <v>0.50800000000000001</v>
      </c>
      <c r="D57" s="47">
        <f t="shared" si="1"/>
        <v>5.5327176470588206</v>
      </c>
      <c r="E57" s="47">
        <f t="shared" si="2"/>
        <v>9.8809565513420416</v>
      </c>
      <c r="F57" s="47">
        <f t="shared" si="3"/>
        <v>-5.0247176470588206</v>
      </c>
      <c r="G57" s="24">
        <f t="shared" si="4"/>
        <v>-0.50852542675904777</v>
      </c>
    </row>
    <row r="58" spans="1:7" x14ac:dyDescent="0.25">
      <c r="A58" s="56">
        <v>42177</v>
      </c>
      <c r="B58" s="29">
        <v>0.03</v>
      </c>
      <c r="C58" s="36">
        <f t="shared" si="5"/>
        <v>0.7619999999999999</v>
      </c>
      <c r="D58" s="47">
        <f t="shared" si="1"/>
        <v>5.5327176470588206</v>
      </c>
      <c r="E58" s="47">
        <f t="shared" si="2"/>
        <v>9.8809565513420416</v>
      </c>
      <c r="F58" s="47">
        <f t="shared" si="3"/>
        <v>-4.7707176470588211</v>
      </c>
      <c r="G58" s="24">
        <f t="shared" si="4"/>
        <v>-0.48281941351223301</v>
      </c>
    </row>
    <row r="59" spans="1:7" x14ac:dyDescent="0.25">
      <c r="A59" s="56">
        <v>42207</v>
      </c>
      <c r="B59" s="29">
        <v>0</v>
      </c>
      <c r="C59" s="36">
        <f t="shared" si="5"/>
        <v>0</v>
      </c>
      <c r="D59" s="47">
        <f t="shared" si="1"/>
        <v>5.5327176470588206</v>
      </c>
      <c r="E59" s="47">
        <f t="shared" si="2"/>
        <v>9.8809565513420416</v>
      </c>
      <c r="F59" s="47">
        <f t="shared" si="3"/>
        <v>-5.5327176470588206</v>
      </c>
      <c r="G59" s="24">
        <f t="shared" si="4"/>
        <v>-0.55993745325267741</v>
      </c>
    </row>
    <row r="60" spans="1:7" x14ac:dyDescent="0.25">
      <c r="A60" s="56">
        <v>42238</v>
      </c>
      <c r="B60" s="29">
        <v>0.01</v>
      </c>
      <c r="C60" s="36">
        <f t="shared" si="5"/>
        <v>0.254</v>
      </c>
      <c r="D60" s="47">
        <f t="shared" si="1"/>
        <v>5.5327176470588206</v>
      </c>
      <c r="E60" s="47">
        <f t="shared" si="2"/>
        <v>9.8809565513420416</v>
      </c>
      <c r="F60" s="47">
        <f t="shared" si="3"/>
        <v>-5.2787176470588211</v>
      </c>
      <c r="G60" s="24">
        <f t="shared" si="4"/>
        <v>-0.53423144000586265</v>
      </c>
    </row>
    <row r="61" spans="1:7" x14ac:dyDescent="0.25">
      <c r="A61" s="56">
        <v>42269</v>
      </c>
      <c r="B61" s="29">
        <v>0.02</v>
      </c>
      <c r="C61" s="36">
        <f t="shared" si="5"/>
        <v>0.50800000000000001</v>
      </c>
      <c r="D61" s="47">
        <f t="shared" si="1"/>
        <v>5.5327176470588206</v>
      </c>
      <c r="E61" s="47">
        <f t="shared" si="2"/>
        <v>9.8809565513420416</v>
      </c>
      <c r="F61" s="47">
        <f t="shared" si="3"/>
        <v>-5.0247176470588206</v>
      </c>
      <c r="G61" s="24">
        <f t="shared" si="4"/>
        <v>-0.50852542675904777</v>
      </c>
    </row>
    <row r="62" spans="1:7" x14ac:dyDescent="0.25">
      <c r="A62" s="56">
        <v>42299</v>
      </c>
      <c r="B62" s="29">
        <v>0.02</v>
      </c>
      <c r="C62" s="36">
        <f t="shared" si="5"/>
        <v>0.50800000000000001</v>
      </c>
      <c r="D62" s="47">
        <f t="shared" si="1"/>
        <v>5.5327176470588206</v>
      </c>
      <c r="E62" s="47">
        <f t="shared" si="2"/>
        <v>9.8809565513420416</v>
      </c>
      <c r="F62" s="47">
        <f t="shared" si="3"/>
        <v>-5.0247176470588206</v>
      </c>
      <c r="G62" s="24">
        <f t="shared" si="4"/>
        <v>-0.50852542675904777</v>
      </c>
    </row>
    <row r="63" spans="1:7" x14ac:dyDescent="0.25">
      <c r="A63" s="56">
        <v>42330</v>
      </c>
      <c r="B63" s="29">
        <v>0.02</v>
      </c>
      <c r="C63" s="36">
        <f t="shared" si="5"/>
        <v>0.50800000000000001</v>
      </c>
      <c r="D63" s="47">
        <f t="shared" si="1"/>
        <v>5.5327176470588206</v>
      </c>
      <c r="E63" s="47">
        <f t="shared" si="2"/>
        <v>9.8809565513420416</v>
      </c>
      <c r="F63" s="47">
        <f t="shared" si="3"/>
        <v>-5.0247176470588206</v>
      </c>
      <c r="G63" s="24">
        <f t="shared" si="4"/>
        <v>-0.50852542675904777</v>
      </c>
    </row>
    <row r="64" spans="1:7" x14ac:dyDescent="0.25">
      <c r="A64" s="56">
        <v>42360</v>
      </c>
      <c r="B64" s="29">
        <v>0.02</v>
      </c>
      <c r="C64" s="36">
        <f t="shared" si="5"/>
        <v>0.50800000000000001</v>
      </c>
      <c r="D64" s="47">
        <f t="shared" si="1"/>
        <v>5.5327176470588206</v>
      </c>
      <c r="E64" s="47">
        <f t="shared" si="2"/>
        <v>9.8809565513420416</v>
      </c>
      <c r="F64" s="47">
        <f t="shared" si="3"/>
        <v>-5.0247176470588206</v>
      </c>
      <c r="G64" s="24">
        <f t="shared" si="4"/>
        <v>-0.50852542675904777</v>
      </c>
    </row>
    <row r="65" spans="1:7" x14ac:dyDescent="0.25">
      <c r="A65" s="56">
        <v>42391</v>
      </c>
      <c r="B65" s="29">
        <v>0.08</v>
      </c>
      <c r="C65" s="36">
        <f t="shared" si="5"/>
        <v>2.032</v>
      </c>
      <c r="D65" s="47">
        <f t="shared" si="1"/>
        <v>5.5327176470588206</v>
      </c>
      <c r="E65" s="47">
        <f t="shared" si="2"/>
        <v>9.8809565513420416</v>
      </c>
      <c r="F65" s="47">
        <f t="shared" si="3"/>
        <v>-3.5007176470588206</v>
      </c>
      <c r="G65" s="24">
        <f t="shared" si="4"/>
        <v>-0.35428934727815897</v>
      </c>
    </row>
    <row r="66" spans="1:7" x14ac:dyDescent="0.25">
      <c r="A66" s="56">
        <v>42422</v>
      </c>
      <c r="B66" s="29">
        <v>0.05</v>
      </c>
      <c r="C66" s="36">
        <f t="shared" si="5"/>
        <v>1.27</v>
      </c>
      <c r="D66" s="47">
        <f t="shared" si="1"/>
        <v>5.5327176470588206</v>
      </c>
      <c r="E66" s="47">
        <f t="shared" si="2"/>
        <v>9.8809565513420416</v>
      </c>
      <c r="F66" s="47">
        <f t="shared" si="3"/>
        <v>-4.2627176470588211</v>
      </c>
      <c r="G66" s="24">
        <f t="shared" si="4"/>
        <v>-0.43140738701860343</v>
      </c>
    </row>
    <row r="67" spans="1:7" x14ac:dyDescent="0.25">
      <c r="A67" s="56">
        <v>42451</v>
      </c>
      <c r="B67" s="29">
        <v>0.22</v>
      </c>
      <c r="C67" s="36">
        <f t="shared" si="5"/>
        <v>5.5880000000000001</v>
      </c>
      <c r="D67" s="47">
        <f t="shared" si="1"/>
        <v>5.5327176470588206</v>
      </c>
      <c r="E67" s="47">
        <f t="shared" si="2"/>
        <v>9.8809565513420416</v>
      </c>
      <c r="F67" s="47">
        <f t="shared" si="3"/>
        <v>5.5282352941179447E-2</v>
      </c>
      <c r="G67" s="24">
        <f t="shared" si="4"/>
        <v>5.5948381772482278E-3</v>
      </c>
    </row>
    <row r="68" spans="1:7" x14ac:dyDescent="0.25">
      <c r="A68" s="56">
        <v>42482</v>
      </c>
      <c r="B68" s="29">
        <v>0.03</v>
      </c>
      <c r="C68" s="36">
        <f t="shared" si="5"/>
        <v>0.7619999999999999</v>
      </c>
      <c r="D68" s="47">
        <f t="shared" si="1"/>
        <v>5.5327176470588206</v>
      </c>
      <c r="E68" s="47">
        <f t="shared" si="2"/>
        <v>9.8809565513420416</v>
      </c>
      <c r="F68" s="47">
        <f t="shared" si="3"/>
        <v>-4.7707176470588211</v>
      </c>
      <c r="G68" s="24">
        <f t="shared" si="4"/>
        <v>-0.48281941351223301</v>
      </c>
    </row>
    <row r="69" spans="1:7" x14ac:dyDescent="0.25">
      <c r="A69" s="56">
        <v>42512</v>
      </c>
      <c r="B69" s="29">
        <v>0.03</v>
      </c>
      <c r="C69" s="36">
        <f t="shared" ref="C69:C100" si="6">$D$1*B69</f>
        <v>0.7619999999999999</v>
      </c>
      <c r="D69" s="47">
        <f t="shared" si="1"/>
        <v>5.5327176470588206</v>
      </c>
      <c r="E69" s="47">
        <f t="shared" si="2"/>
        <v>9.8809565513420416</v>
      </c>
      <c r="F69" s="47">
        <f t="shared" si="3"/>
        <v>-4.7707176470588211</v>
      </c>
      <c r="G69" s="24">
        <f t="shared" si="4"/>
        <v>-0.48281941351223301</v>
      </c>
    </row>
    <row r="70" spans="1:7" x14ac:dyDescent="0.25">
      <c r="A70" s="56">
        <v>42543</v>
      </c>
      <c r="B70" s="29">
        <v>0.02</v>
      </c>
      <c r="C70" s="36">
        <f t="shared" si="6"/>
        <v>0.50800000000000001</v>
      </c>
      <c r="D70" s="47">
        <f t="shared" ref="D70:D133" si="7">AVERAGE($C$5:$C$174)</f>
        <v>5.5327176470588206</v>
      </c>
      <c r="E70" s="47">
        <f t="shared" ref="E70:E133" si="8">_xlfn.STDEV.S($C$5:$C$174)</f>
        <v>9.8809565513420416</v>
      </c>
      <c r="F70" s="47">
        <f t="shared" ref="F70:F133" si="9">C70-D70</f>
        <v>-5.0247176470588206</v>
      </c>
      <c r="G70" s="24">
        <f t="shared" ref="G70:G133" si="10">F70/E70</f>
        <v>-0.50852542675904777</v>
      </c>
    </row>
    <row r="71" spans="1:7" x14ac:dyDescent="0.25">
      <c r="A71" s="56">
        <v>42573</v>
      </c>
      <c r="B71" s="29">
        <v>0.01</v>
      </c>
      <c r="C71" s="36">
        <f t="shared" si="6"/>
        <v>0.254</v>
      </c>
      <c r="D71" s="47">
        <f t="shared" si="7"/>
        <v>5.5327176470588206</v>
      </c>
      <c r="E71" s="47">
        <f t="shared" si="8"/>
        <v>9.8809565513420416</v>
      </c>
      <c r="F71" s="47">
        <f t="shared" si="9"/>
        <v>-5.2787176470588211</v>
      </c>
      <c r="G71" s="24">
        <f t="shared" si="10"/>
        <v>-0.53423144000586265</v>
      </c>
    </row>
    <row r="72" spans="1:7" x14ac:dyDescent="0.25">
      <c r="A72" s="56">
        <v>42604</v>
      </c>
      <c r="B72" s="29">
        <v>0.02</v>
      </c>
      <c r="C72" s="36">
        <f t="shared" si="6"/>
        <v>0.50800000000000001</v>
      </c>
      <c r="D72" s="47">
        <f t="shared" si="7"/>
        <v>5.5327176470588206</v>
      </c>
      <c r="E72" s="47">
        <f t="shared" si="8"/>
        <v>9.8809565513420416</v>
      </c>
      <c r="F72" s="47">
        <f t="shared" si="9"/>
        <v>-5.0247176470588206</v>
      </c>
      <c r="G72" s="24">
        <f t="shared" si="10"/>
        <v>-0.50852542675904777</v>
      </c>
    </row>
    <row r="73" spans="1:7" x14ac:dyDescent="0.25">
      <c r="A73" s="56">
        <v>42635</v>
      </c>
      <c r="B73" s="29">
        <v>0</v>
      </c>
      <c r="C73" s="36">
        <f t="shared" si="6"/>
        <v>0</v>
      </c>
      <c r="D73" s="47">
        <f t="shared" si="7"/>
        <v>5.5327176470588206</v>
      </c>
      <c r="E73" s="47">
        <f t="shared" si="8"/>
        <v>9.8809565513420416</v>
      </c>
      <c r="F73" s="47">
        <f t="shared" si="9"/>
        <v>-5.5327176470588206</v>
      </c>
      <c r="G73" s="24">
        <f t="shared" si="10"/>
        <v>-0.55993745325267741</v>
      </c>
    </row>
    <row r="74" spans="1:7" x14ac:dyDescent="0.25">
      <c r="A74" s="56">
        <v>42665</v>
      </c>
      <c r="B74" s="29">
        <v>0.02</v>
      </c>
      <c r="C74" s="36">
        <f t="shared" si="6"/>
        <v>0.50800000000000001</v>
      </c>
      <c r="D74" s="47">
        <f t="shared" si="7"/>
        <v>5.5327176470588206</v>
      </c>
      <c r="E74" s="47">
        <f t="shared" si="8"/>
        <v>9.8809565513420416</v>
      </c>
      <c r="F74" s="47">
        <f t="shared" si="9"/>
        <v>-5.0247176470588206</v>
      </c>
      <c r="G74" s="24">
        <f t="shared" si="10"/>
        <v>-0.50852542675904777</v>
      </c>
    </row>
    <row r="75" spans="1:7" x14ac:dyDescent="0.25">
      <c r="A75" s="56">
        <v>42696</v>
      </c>
      <c r="B75" s="29">
        <v>0.33</v>
      </c>
      <c r="C75" s="36">
        <f t="shared" si="6"/>
        <v>8.3819999999999997</v>
      </c>
      <c r="D75" s="47">
        <f t="shared" si="7"/>
        <v>5.5327176470588206</v>
      </c>
      <c r="E75" s="47">
        <f t="shared" si="8"/>
        <v>9.8809565513420416</v>
      </c>
      <c r="F75" s="47">
        <f t="shared" si="9"/>
        <v>2.849282352941179</v>
      </c>
      <c r="G75" s="24">
        <f t="shared" si="10"/>
        <v>0.28836098389221099</v>
      </c>
    </row>
    <row r="76" spans="1:7" x14ac:dyDescent="0.25">
      <c r="A76" s="56">
        <v>42726</v>
      </c>
      <c r="B76" s="29">
        <v>0.13</v>
      </c>
      <c r="C76" s="36">
        <f t="shared" si="6"/>
        <v>3.302</v>
      </c>
      <c r="D76" s="47">
        <f t="shared" si="7"/>
        <v>5.5327176470588206</v>
      </c>
      <c r="E76" s="47">
        <f t="shared" si="8"/>
        <v>9.8809565513420416</v>
      </c>
      <c r="F76" s="47">
        <f t="shared" si="9"/>
        <v>-2.2307176470588206</v>
      </c>
      <c r="G76" s="24">
        <f t="shared" si="10"/>
        <v>-0.22575928104408496</v>
      </c>
    </row>
    <row r="77" spans="1:7" x14ac:dyDescent="0.25">
      <c r="A77" s="56">
        <v>42757</v>
      </c>
      <c r="B77" s="29">
        <v>0.34</v>
      </c>
      <c r="C77" s="36">
        <f t="shared" si="6"/>
        <v>8.636000000000001</v>
      </c>
      <c r="D77" s="47">
        <f t="shared" si="7"/>
        <v>5.5327176470588206</v>
      </c>
      <c r="E77" s="47">
        <f t="shared" si="8"/>
        <v>9.8809565513420416</v>
      </c>
      <c r="F77" s="47">
        <f t="shared" si="9"/>
        <v>3.1032823529411804</v>
      </c>
      <c r="G77" s="24">
        <f t="shared" si="10"/>
        <v>0.31406699713902592</v>
      </c>
    </row>
    <row r="78" spans="1:7" x14ac:dyDescent="0.25">
      <c r="A78" s="56">
        <v>42788</v>
      </c>
      <c r="B78" s="29">
        <v>0.56000000000000005</v>
      </c>
      <c r="C78" s="36">
        <f t="shared" si="6"/>
        <v>14.224</v>
      </c>
      <c r="D78" s="47">
        <f t="shared" si="7"/>
        <v>5.5327176470588206</v>
      </c>
      <c r="E78" s="47">
        <f t="shared" si="8"/>
        <v>9.8809565513420416</v>
      </c>
      <c r="F78" s="47">
        <f t="shared" si="9"/>
        <v>8.6912823529411796</v>
      </c>
      <c r="G78" s="24">
        <f t="shared" si="10"/>
        <v>0.87959928856895142</v>
      </c>
    </row>
    <row r="79" spans="1:7" x14ac:dyDescent="0.25">
      <c r="A79" s="56">
        <v>42816</v>
      </c>
      <c r="B79" s="29">
        <v>0.02</v>
      </c>
      <c r="C79" s="36">
        <f t="shared" si="6"/>
        <v>0.50800000000000001</v>
      </c>
      <c r="D79" s="47">
        <f t="shared" si="7"/>
        <v>5.5327176470588206</v>
      </c>
      <c r="E79" s="47">
        <f t="shared" si="8"/>
        <v>9.8809565513420416</v>
      </c>
      <c r="F79" s="47">
        <f t="shared" si="9"/>
        <v>-5.0247176470588206</v>
      </c>
      <c r="G79" s="24">
        <f t="shared" si="10"/>
        <v>-0.50852542675904777</v>
      </c>
    </row>
    <row r="80" spans="1:7" x14ac:dyDescent="0.25">
      <c r="A80" s="56">
        <v>42847</v>
      </c>
      <c r="B80" s="29">
        <v>0.06</v>
      </c>
      <c r="C80" s="36">
        <f t="shared" si="6"/>
        <v>1.5239999999999998</v>
      </c>
      <c r="D80" s="47">
        <f t="shared" si="7"/>
        <v>5.5327176470588206</v>
      </c>
      <c r="E80" s="47">
        <f t="shared" si="8"/>
        <v>9.8809565513420416</v>
      </c>
      <c r="F80" s="47">
        <f t="shared" si="9"/>
        <v>-4.0087176470588206</v>
      </c>
      <c r="G80" s="24">
        <f t="shared" si="10"/>
        <v>-0.40570137377178855</v>
      </c>
    </row>
    <row r="81" spans="1:7" x14ac:dyDescent="0.25">
      <c r="A81" s="56">
        <v>42877</v>
      </c>
      <c r="B81" s="29">
        <v>0.08</v>
      </c>
      <c r="C81" s="36">
        <f t="shared" si="6"/>
        <v>2.032</v>
      </c>
      <c r="D81" s="47">
        <f t="shared" si="7"/>
        <v>5.5327176470588206</v>
      </c>
      <c r="E81" s="47">
        <f t="shared" si="8"/>
        <v>9.8809565513420416</v>
      </c>
      <c r="F81" s="47">
        <f t="shared" si="9"/>
        <v>-3.5007176470588206</v>
      </c>
      <c r="G81" s="24">
        <f t="shared" si="10"/>
        <v>-0.35428934727815897</v>
      </c>
    </row>
    <row r="82" spans="1:7" x14ac:dyDescent="0.25">
      <c r="A82" s="56">
        <v>42908</v>
      </c>
      <c r="B82" s="29">
        <v>0.02</v>
      </c>
      <c r="C82" s="36">
        <f t="shared" si="6"/>
        <v>0.50800000000000001</v>
      </c>
      <c r="D82" s="47">
        <f t="shared" si="7"/>
        <v>5.5327176470588206</v>
      </c>
      <c r="E82" s="47">
        <f t="shared" si="8"/>
        <v>9.8809565513420416</v>
      </c>
      <c r="F82" s="47">
        <f t="shared" si="9"/>
        <v>-5.0247176470588206</v>
      </c>
      <c r="G82" s="24">
        <f t="shared" si="10"/>
        <v>-0.50852542675904777</v>
      </c>
    </row>
    <row r="83" spans="1:7" x14ac:dyDescent="0.25">
      <c r="A83" s="56">
        <v>42938</v>
      </c>
      <c r="B83" s="29">
        <v>0.02</v>
      </c>
      <c r="C83" s="36">
        <f t="shared" si="6"/>
        <v>0.50800000000000001</v>
      </c>
      <c r="D83" s="47">
        <f t="shared" si="7"/>
        <v>5.5327176470588206</v>
      </c>
      <c r="E83" s="47">
        <f t="shared" si="8"/>
        <v>9.8809565513420416</v>
      </c>
      <c r="F83" s="47">
        <f t="shared" si="9"/>
        <v>-5.0247176470588206</v>
      </c>
      <c r="G83" s="24">
        <f t="shared" si="10"/>
        <v>-0.50852542675904777</v>
      </c>
    </row>
    <row r="84" spans="1:7" x14ac:dyDescent="0.25">
      <c r="A84" s="56">
        <v>42969</v>
      </c>
      <c r="B84" s="29">
        <v>0.03</v>
      </c>
      <c r="C84" s="36">
        <f t="shared" si="6"/>
        <v>0.7619999999999999</v>
      </c>
      <c r="D84" s="47">
        <f t="shared" si="7"/>
        <v>5.5327176470588206</v>
      </c>
      <c r="E84" s="47">
        <f t="shared" si="8"/>
        <v>9.8809565513420416</v>
      </c>
      <c r="F84" s="47">
        <f t="shared" si="9"/>
        <v>-4.7707176470588211</v>
      </c>
      <c r="G84" s="24">
        <f t="shared" si="10"/>
        <v>-0.48281941351223301</v>
      </c>
    </row>
    <row r="85" spans="1:7" x14ac:dyDescent="0.25">
      <c r="A85" s="56">
        <v>43000</v>
      </c>
      <c r="B85" s="29">
        <v>0.01</v>
      </c>
      <c r="C85" s="36">
        <f t="shared" si="6"/>
        <v>0.254</v>
      </c>
      <c r="D85" s="47">
        <f t="shared" si="7"/>
        <v>5.5327176470588206</v>
      </c>
      <c r="E85" s="47">
        <f t="shared" si="8"/>
        <v>9.8809565513420416</v>
      </c>
      <c r="F85" s="47">
        <f t="shared" si="9"/>
        <v>-5.2787176470588211</v>
      </c>
      <c r="G85" s="24">
        <f t="shared" si="10"/>
        <v>-0.53423144000586265</v>
      </c>
    </row>
    <row r="86" spans="1:7" x14ac:dyDescent="0.25">
      <c r="A86" s="56">
        <v>43030</v>
      </c>
      <c r="B86" s="29">
        <v>0.04</v>
      </c>
      <c r="C86" s="36">
        <f t="shared" si="6"/>
        <v>1.016</v>
      </c>
      <c r="D86" s="47">
        <f t="shared" si="7"/>
        <v>5.5327176470588206</v>
      </c>
      <c r="E86" s="47">
        <f t="shared" si="8"/>
        <v>9.8809565513420416</v>
      </c>
      <c r="F86" s="47">
        <f t="shared" si="9"/>
        <v>-4.5167176470588206</v>
      </c>
      <c r="G86" s="24">
        <f t="shared" si="10"/>
        <v>-0.45711340026541819</v>
      </c>
    </row>
    <row r="87" spans="1:7" x14ac:dyDescent="0.25">
      <c r="A87" s="56">
        <v>43061</v>
      </c>
      <c r="B87" s="29">
        <v>0.16</v>
      </c>
      <c r="C87" s="36">
        <f t="shared" si="6"/>
        <v>4.0640000000000001</v>
      </c>
      <c r="D87" s="47">
        <f t="shared" si="7"/>
        <v>5.5327176470588206</v>
      </c>
      <c r="E87" s="47">
        <f t="shared" si="8"/>
        <v>9.8809565513420416</v>
      </c>
      <c r="F87" s="47">
        <f t="shared" si="9"/>
        <v>-1.4687176470588206</v>
      </c>
      <c r="G87" s="24">
        <f t="shared" si="10"/>
        <v>-0.14864124130364056</v>
      </c>
    </row>
    <row r="88" spans="1:7" x14ac:dyDescent="0.25">
      <c r="A88" s="56">
        <v>43091</v>
      </c>
      <c r="B88" s="29">
        <v>0.59</v>
      </c>
      <c r="C88" s="36">
        <f t="shared" si="6"/>
        <v>14.985999999999999</v>
      </c>
      <c r="D88" s="47">
        <f t="shared" si="7"/>
        <v>5.5327176470588206</v>
      </c>
      <c r="E88" s="47">
        <f t="shared" si="8"/>
        <v>9.8809565513420416</v>
      </c>
      <c r="F88" s="47">
        <f t="shared" si="9"/>
        <v>9.4532823529411782</v>
      </c>
      <c r="G88" s="24">
        <f t="shared" si="10"/>
        <v>0.95671732830939571</v>
      </c>
    </row>
    <row r="89" spans="1:7" x14ac:dyDescent="0.25">
      <c r="A89" s="56">
        <v>43122</v>
      </c>
      <c r="B89" s="29">
        <v>0.04</v>
      </c>
      <c r="C89" s="36">
        <f t="shared" si="6"/>
        <v>1.016</v>
      </c>
      <c r="D89" s="47">
        <f t="shared" si="7"/>
        <v>5.5327176470588206</v>
      </c>
      <c r="E89" s="47">
        <f t="shared" si="8"/>
        <v>9.8809565513420416</v>
      </c>
      <c r="F89" s="47">
        <f t="shared" si="9"/>
        <v>-4.5167176470588206</v>
      </c>
      <c r="G89" s="24">
        <f t="shared" si="10"/>
        <v>-0.45711340026541819</v>
      </c>
    </row>
    <row r="90" spans="1:7" x14ac:dyDescent="0.25">
      <c r="A90" s="56">
        <v>43153</v>
      </c>
      <c r="B90" s="29">
        <v>0.08</v>
      </c>
      <c r="C90" s="36">
        <f t="shared" si="6"/>
        <v>2.032</v>
      </c>
      <c r="D90" s="47">
        <f t="shared" si="7"/>
        <v>5.5327176470588206</v>
      </c>
      <c r="E90" s="47">
        <f t="shared" si="8"/>
        <v>9.8809565513420416</v>
      </c>
      <c r="F90" s="47">
        <f t="shared" si="9"/>
        <v>-3.5007176470588206</v>
      </c>
      <c r="G90" s="24">
        <f t="shared" si="10"/>
        <v>-0.35428934727815897</v>
      </c>
    </row>
    <row r="91" spans="1:7" x14ac:dyDescent="0.25">
      <c r="A91" s="56">
        <v>43181</v>
      </c>
      <c r="B91" s="29">
        <v>0.25</v>
      </c>
      <c r="C91" s="36">
        <f t="shared" si="6"/>
        <v>6.35</v>
      </c>
      <c r="D91" s="47">
        <f t="shared" si="7"/>
        <v>5.5327176470588206</v>
      </c>
      <c r="E91" s="47">
        <f t="shared" si="8"/>
        <v>9.8809565513420416</v>
      </c>
      <c r="F91" s="47">
        <f t="shared" si="9"/>
        <v>0.81728235294117901</v>
      </c>
      <c r="G91" s="24">
        <f t="shared" si="10"/>
        <v>8.2712877917692579E-2</v>
      </c>
    </row>
    <row r="92" spans="1:7" x14ac:dyDescent="0.25">
      <c r="A92" s="56">
        <v>43212</v>
      </c>
      <c r="B92" s="29">
        <v>0.21</v>
      </c>
      <c r="C92" s="36">
        <f t="shared" si="6"/>
        <v>5.3339999999999996</v>
      </c>
      <c r="D92" s="47">
        <f t="shared" si="7"/>
        <v>5.5327176470588206</v>
      </c>
      <c r="E92" s="47">
        <f t="shared" si="8"/>
        <v>9.8809565513420416</v>
      </c>
      <c r="F92" s="47">
        <f t="shared" si="9"/>
        <v>-0.198717647058821</v>
      </c>
      <c r="G92" s="24">
        <f t="shared" si="10"/>
        <v>-2.0111175069566618E-2</v>
      </c>
    </row>
    <row r="93" spans="1:7" x14ac:dyDescent="0.25">
      <c r="A93" s="56">
        <v>43242</v>
      </c>
      <c r="B93" s="29">
        <v>0.08</v>
      </c>
      <c r="C93" s="36">
        <f t="shared" si="6"/>
        <v>2.032</v>
      </c>
      <c r="D93" s="47">
        <f t="shared" si="7"/>
        <v>5.5327176470588206</v>
      </c>
      <c r="E93" s="47">
        <f t="shared" si="8"/>
        <v>9.8809565513420416</v>
      </c>
      <c r="F93" s="47">
        <f t="shared" si="9"/>
        <v>-3.5007176470588206</v>
      </c>
      <c r="G93" s="24">
        <f t="shared" si="10"/>
        <v>-0.35428934727815897</v>
      </c>
    </row>
    <row r="94" spans="1:7" x14ac:dyDescent="0.25">
      <c r="A94" s="56">
        <v>43273</v>
      </c>
      <c r="B94" s="29">
        <v>0.04</v>
      </c>
      <c r="C94" s="36">
        <f t="shared" si="6"/>
        <v>1.016</v>
      </c>
      <c r="D94" s="47">
        <f t="shared" si="7"/>
        <v>5.5327176470588206</v>
      </c>
      <c r="E94" s="47">
        <f t="shared" si="8"/>
        <v>9.8809565513420416</v>
      </c>
      <c r="F94" s="47">
        <f t="shared" si="9"/>
        <v>-4.5167176470588206</v>
      </c>
      <c r="G94" s="24">
        <f t="shared" si="10"/>
        <v>-0.45711340026541819</v>
      </c>
    </row>
    <row r="95" spans="1:7" x14ac:dyDescent="0.25">
      <c r="A95" s="56">
        <v>43303</v>
      </c>
      <c r="B95" s="29">
        <v>0.06</v>
      </c>
      <c r="C95" s="36">
        <f t="shared" si="6"/>
        <v>1.5239999999999998</v>
      </c>
      <c r="D95" s="47">
        <f t="shared" si="7"/>
        <v>5.5327176470588206</v>
      </c>
      <c r="E95" s="47">
        <f t="shared" si="8"/>
        <v>9.8809565513420416</v>
      </c>
      <c r="F95" s="47">
        <f t="shared" si="9"/>
        <v>-4.0087176470588206</v>
      </c>
      <c r="G95" s="24">
        <f t="shared" si="10"/>
        <v>-0.40570137377178855</v>
      </c>
    </row>
    <row r="96" spans="1:7" x14ac:dyDescent="0.25">
      <c r="A96" s="56">
        <v>43334</v>
      </c>
      <c r="B96" s="29">
        <v>0.03</v>
      </c>
      <c r="C96" s="36">
        <f t="shared" si="6"/>
        <v>0.7619999999999999</v>
      </c>
      <c r="D96" s="47">
        <f t="shared" si="7"/>
        <v>5.5327176470588206</v>
      </c>
      <c r="E96" s="47">
        <f t="shared" si="8"/>
        <v>9.8809565513420416</v>
      </c>
      <c r="F96" s="47">
        <f t="shared" si="9"/>
        <v>-4.7707176470588211</v>
      </c>
      <c r="G96" s="24">
        <f t="shared" si="10"/>
        <v>-0.48281941351223301</v>
      </c>
    </row>
    <row r="97" spans="1:7" x14ac:dyDescent="0.25">
      <c r="A97" s="56">
        <v>43365</v>
      </c>
      <c r="B97" s="29">
        <v>0.03</v>
      </c>
      <c r="C97" s="36">
        <f t="shared" si="6"/>
        <v>0.7619999999999999</v>
      </c>
      <c r="D97" s="47">
        <f t="shared" si="7"/>
        <v>5.5327176470588206</v>
      </c>
      <c r="E97" s="47">
        <f t="shared" si="8"/>
        <v>9.8809565513420416</v>
      </c>
      <c r="F97" s="47">
        <f t="shared" si="9"/>
        <v>-4.7707176470588211</v>
      </c>
      <c r="G97" s="24">
        <f t="shared" si="10"/>
        <v>-0.48281941351223301</v>
      </c>
    </row>
    <row r="98" spans="1:7" x14ac:dyDescent="0.25">
      <c r="A98" s="56">
        <v>43395</v>
      </c>
      <c r="B98" s="29">
        <v>7.0000000000000007E-2</v>
      </c>
      <c r="C98" s="36">
        <f t="shared" si="6"/>
        <v>1.778</v>
      </c>
      <c r="D98" s="47">
        <f t="shared" si="7"/>
        <v>5.5327176470588206</v>
      </c>
      <c r="E98" s="47">
        <f t="shared" si="8"/>
        <v>9.8809565513420416</v>
      </c>
      <c r="F98" s="47">
        <f t="shared" si="9"/>
        <v>-3.7547176470588206</v>
      </c>
      <c r="G98" s="24">
        <f t="shared" si="10"/>
        <v>-0.37999536052497379</v>
      </c>
    </row>
    <row r="99" spans="1:7" x14ac:dyDescent="0.25">
      <c r="A99" s="56">
        <v>43426</v>
      </c>
      <c r="B99" s="29">
        <v>7.0000000000000007E-2</v>
      </c>
      <c r="C99" s="36">
        <f t="shared" si="6"/>
        <v>1.778</v>
      </c>
      <c r="D99" s="47">
        <f t="shared" si="7"/>
        <v>5.5327176470588206</v>
      </c>
      <c r="E99" s="47">
        <f t="shared" si="8"/>
        <v>9.8809565513420416</v>
      </c>
      <c r="F99" s="47">
        <f t="shared" si="9"/>
        <v>-3.7547176470588206</v>
      </c>
      <c r="G99" s="24">
        <f t="shared" si="10"/>
        <v>-0.37999536052497379</v>
      </c>
    </row>
    <row r="100" spans="1:7" x14ac:dyDescent="0.25">
      <c r="A100" s="56">
        <v>43456</v>
      </c>
      <c r="B100" s="29">
        <v>0.2</v>
      </c>
      <c r="C100" s="36">
        <f t="shared" si="6"/>
        <v>5.08</v>
      </c>
      <c r="D100" s="47">
        <f t="shared" si="7"/>
        <v>5.5327176470588206</v>
      </c>
      <c r="E100" s="47">
        <f t="shared" si="8"/>
        <v>9.8809565513420416</v>
      </c>
      <c r="F100" s="47">
        <f t="shared" si="9"/>
        <v>-0.45271764705882056</v>
      </c>
      <c r="G100" s="24">
        <f t="shared" si="10"/>
        <v>-4.5817188316381374E-2</v>
      </c>
    </row>
    <row r="101" spans="1:7" x14ac:dyDescent="0.25">
      <c r="A101" s="56">
        <v>43487</v>
      </c>
      <c r="B101" s="29">
        <v>0.28999999999999998</v>
      </c>
      <c r="C101" s="36">
        <f t="shared" ref="C101:C132" si="11">$D$1*B101</f>
        <v>7.3659999999999988</v>
      </c>
      <c r="D101" s="47">
        <f t="shared" si="7"/>
        <v>5.5327176470588206</v>
      </c>
      <c r="E101" s="47">
        <f t="shared" si="8"/>
        <v>9.8809565513420416</v>
      </c>
      <c r="F101" s="47">
        <f t="shared" si="9"/>
        <v>1.8332823529411781</v>
      </c>
      <c r="G101" s="24">
        <f t="shared" si="10"/>
        <v>0.18553693090495169</v>
      </c>
    </row>
    <row r="102" spans="1:7" x14ac:dyDescent="0.25">
      <c r="A102" s="56">
        <v>43518</v>
      </c>
      <c r="B102" s="29">
        <v>0.82</v>
      </c>
      <c r="C102" s="36">
        <f t="shared" si="11"/>
        <v>20.827999999999996</v>
      </c>
      <c r="D102" s="47">
        <f t="shared" si="7"/>
        <v>5.5327176470588206</v>
      </c>
      <c r="E102" s="47">
        <f t="shared" si="8"/>
        <v>9.8809565513420416</v>
      </c>
      <c r="F102" s="47">
        <f t="shared" si="9"/>
        <v>15.295282352941175</v>
      </c>
      <c r="G102" s="24">
        <f t="shared" si="10"/>
        <v>1.5479556329861357</v>
      </c>
    </row>
    <row r="103" spans="1:7" x14ac:dyDescent="0.25">
      <c r="A103" s="56">
        <v>43546</v>
      </c>
      <c r="B103" s="29">
        <v>0.19</v>
      </c>
      <c r="C103" s="36">
        <f t="shared" si="11"/>
        <v>4.8259999999999996</v>
      </c>
      <c r="D103" s="47">
        <f t="shared" si="7"/>
        <v>5.5327176470588206</v>
      </c>
      <c r="E103" s="47">
        <f t="shared" si="8"/>
        <v>9.8809565513420416</v>
      </c>
      <c r="F103" s="47">
        <f t="shared" si="9"/>
        <v>-0.70671764705882101</v>
      </c>
      <c r="G103" s="24">
        <f t="shared" si="10"/>
        <v>-7.152320156319622E-2</v>
      </c>
    </row>
    <row r="104" spans="1:7" x14ac:dyDescent="0.25">
      <c r="A104" s="56">
        <v>43577</v>
      </c>
      <c r="B104" s="29">
        <v>0.31</v>
      </c>
      <c r="C104" s="36">
        <f t="shared" si="11"/>
        <v>7.8739999999999997</v>
      </c>
      <c r="D104" s="47">
        <f t="shared" si="7"/>
        <v>5.5327176470588206</v>
      </c>
      <c r="E104" s="47">
        <f t="shared" si="8"/>
        <v>9.8809565513420416</v>
      </c>
      <c r="F104" s="47">
        <f t="shared" si="9"/>
        <v>2.341282352941179</v>
      </c>
      <c r="G104" s="24">
        <f t="shared" si="10"/>
        <v>0.23694895739858138</v>
      </c>
    </row>
    <row r="105" spans="1:7" x14ac:dyDescent="0.25">
      <c r="A105" s="56">
        <v>43607</v>
      </c>
      <c r="B105" s="29">
        <v>0.06</v>
      </c>
      <c r="C105" s="36">
        <f t="shared" si="11"/>
        <v>1.5239999999999998</v>
      </c>
      <c r="D105" s="47">
        <f t="shared" si="7"/>
        <v>5.5327176470588206</v>
      </c>
      <c r="E105" s="47">
        <f t="shared" si="8"/>
        <v>9.8809565513420416</v>
      </c>
      <c r="F105" s="47">
        <f t="shared" si="9"/>
        <v>-4.0087176470588206</v>
      </c>
      <c r="G105" s="24">
        <f t="shared" si="10"/>
        <v>-0.40570137377178855</v>
      </c>
    </row>
    <row r="106" spans="1:7" x14ac:dyDescent="0.25">
      <c r="A106" s="56">
        <v>43638</v>
      </c>
      <c r="B106" s="29">
        <v>0.09</v>
      </c>
      <c r="C106" s="36">
        <f t="shared" si="11"/>
        <v>2.2859999999999996</v>
      </c>
      <c r="D106" s="47">
        <f t="shared" si="7"/>
        <v>5.5327176470588206</v>
      </c>
      <c r="E106" s="47">
        <f t="shared" si="8"/>
        <v>9.8809565513420416</v>
      </c>
      <c r="F106" s="47">
        <f t="shared" si="9"/>
        <v>-3.246717647058821</v>
      </c>
      <c r="G106" s="24">
        <f t="shared" si="10"/>
        <v>-0.32858333403134421</v>
      </c>
    </row>
    <row r="107" spans="1:7" x14ac:dyDescent="0.25">
      <c r="A107" s="56">
        <v>43668</v>
      </c>
      <c r="B107" s="29">
        <v>0.08</v>
      </c>
      <c r="C107" s="36">
        <f t="shared" si="11"/>
        <v>2.032</v>
      </c>
      <c r="D107" s="47">
        <f t="shared" si="7"/>
        <v>5.5327176470588206</v>
      </c>
      <c r="E107" s="47">
        <f t="shared" si="8"/>
        <v>9.8809565513420416</v>
      </c>
      <c r="F107" s="47">
        <f t="shared" si="9"/>
        <v>-3.5007176470588206</v>
      </c>
      <c r="G107" s="24">
        <f t="shared" si="10"/>
        <v>-0.35428934727815897</v>
      </c>
    </row>
    <row r="108" spans="1:7" x14ac:dyDescent="0.25">
      <c r="A108" s="56">
        <v>43699</v>
      </c>
      <c r="B108" s="29">
        <v>0.01</v>
      </c>
      <c r="C108" s="36">
        <f t="shared" si="11"/>
        <v>0.254</v>
      </c>
      <c r="D108" s="47">
        <f t="shared" si="7"/>
        <v>5.5327176470588206</v>
      </c>
      <c r="E108" s="47">
        <f t="shared" si="8"/>
        <v>9.8809565513420416</v>
      </c>
      <c r="F108" s="47">
        <f t="shared" si="9"/>
        <v>-5.2787176470588211</v>
      </c>
      <c r="G108" s="24">
        <f t="shared" si="10"/>
        <v>-0.53423144000586265</v>
      </c>
    </row>
    <row r="109" spans="1:7" x14ac:dyDescent="0.25">
      <c r="A109" s="56">
        <v>43730</v>
      </c>
      <c r="B109" s="29">
        <v>0.01</v>
      </c>
      <c r="C109" s="36">
        <f t="shared" si="11"/>
        <v>0.254</v>
      </c>
      <c r="D109" s="47">
        <f t="shared" si="7"/>
        <v>5.5327176470588206</v>
      </c>
      <c r="E109" s="47">
        <f t="shared" si="8"/>
        <v>9.8809565513420416</v>
      </c>
      <c r="F109" s="47">
        <f t="shared" si="9"/>
        <v>-5.2787176470588211</v>
      </c>
      <c r="G109" s="24">
        <f t="shared" si="10"/>
        <v>-0.53423144000586265</v>
      </c>
    </row>
    <row r="110" spans="1:7" x14ac:dyDescent="0.25">
      <c r="A110" s="56">
        <v>43760</v>
      </c>
      <c r="B110" s="29">
        <v>0.01</v>
      </c>
      <c r="C110" s="36">
        <f t="shared" si="11"/>
        <v>0.254</v>
      </c>
      <c r="D110" s="47">
        <f t="shared" si="7"/>
        <v>5.5327176470588206</v>
      </c>
      <c r="E110" s="47">
        <f t="shared" si="8"/>
        <v>9.8809565513420416</v>
      </c>
      <c r="F110" s="47">
        <f t="shared" si="9"/>
        <v>-5.2787176470588211</v>
      </c>
      <c r="G110" s="24">
        <f t="shared" si="10"/>
        <v>-0.53423144000586265</v>
      </c>
    </row>
    <row r="111" spans="1:7" x14ac:dyDescent="0.25">
      <c r="A111" s="56">
        <v>43791</v>
      </c>
      <c r="B111" s="29">
        <v>0.05</v>
      </c>
      <c r="C111" s="36">
        <f t="shared" si="11"/>
        <v>1.27</v>
      </c>
      <c r="D111" s="47">
        <f t="shared" si="7"/>
        <v>5.5327176470588206</v>
      </c>
      <c r="E111" s="47">
        <f t="shared" si="8"/>
        <v>9.8809565513420416</v>
      </c>
      <c r="F111" s="47">
        <f t="shared" si="9"/>
        <v>-4.2627176470588211</v>
      </c>
      <c r="G111" s="24">
        <f t="shared" si="10"/>
        <v>-0.43140738701860343</v>
      </c>
    </row>
    <row r="112" spans="1:7" x14ac:dyDescent="0.25">
      <c r="A112" s="56">
        <v>43821</v>
      </c>
      <c r="B112" s="29">
        <v>0.51</v>
      </c>
      <c r="C112" s="36">
        <f t="shared" si="11"/>
        <v>12.953999999999999</v>
      </c>
      <c r="D112" s="47">
        <f t="shared" si="7"/>
        <v>5.5327176470588206</v>
      </c>
      <c r="E112" s="47">
        <f t="shared" si="8"/>
        <v>9.8809565513420416</v>
      </c>
      <c r="F112" s="47">
        <f t="shared" si="9"/>
        <v>7.4212823529411782</v>
      </c>
      <c r="G112" s="24">
        <f t="shared" si="10"/>
        <v>0.75106922233487727</v>
      </c>
    </row>
    <row r="113" spans="1:7" x14ac:dyDescent="0.25">
      <c r="A113" s="56">
        <v>43852</v>
      </c>
      <c r="B113" s="29">
        <v>0.17</v>
      </c>
      <c r="C113" s="36">
        <f t="shared" si="11"/>
        <v>4.3180000000000005</v>
      </c>
      <c r="D113" s="47">
        <f t="shared" si="7"/>
        <v>5.5327176470588206</v>
      </c>
      <c r="E113" s="47">
        <f t="shared" si="8"/>
        <v>9.8809565513420416</v>
      </c>
      <c r="F113" s="47">
        <f t="shared" si="9"/>
        <v>-1.2147176470588201</v>
      </c>
      <c r="G113" s="24">
        <f t="shared" si="10"/>
        <v>-0.12293522805682573</v>
      </c>
    </row>
    <row r="114" spans="1:7" x14ac:dyDescent="0.25">
      <c r="A114" s="56">
        <v>43883</v>
      </c>
      <c r="B114" s="29">
        <v>0.08</v>
      </c>
      <c r="C114" s="36">
        <f t="shared" si="11"/>
        <v>2.032</v>
      </c>
      <c r="D114" s="47">
        <f t="shared" si="7"/>
        <v>5.5327176470588206</v>
      </c>
      <c r="E114" s="47">
        <f t="shared" si="8"/>
        <v>9.8809565513420416</v>
      </c>
      <c r="F114" s="47">
        <f t="shared" si="9"/>
        <v>-3.5007176470588206</v>
      </c>
      <c r="G114" s="24">
        <f t="shared" si="10"/>
        <v>-0.35428934727815897</v>
      </c>
    </row>
    <row r="115" spans="1:7" x14ac:dyDescent="0.25">
      <c r="A115" s="56">
        <v>43912</v>
      </c>
      <c r="B115" s="29">
        <v>0.16</v>
      </c>
      <c r="C115" s="36">
        <f t="shared" si="11"/>
        <v>4.0640000000000001</v>
      </c>
      <c r="D115" s="47">
        <f t="shared" si="7"/>
        <v>5.5327176470588206</v>
      </c>
      <c r="E115" s="47">
        <f t="shared" si="8"/>
        <v>9.8809565513420416</v>
      </c>
      <c r="F115" s="47">
        <f t="shared" si="9"/>
        <v>-1.4687176470588206</v>
      </c>
      <c r="G115" s="24">
        <f t="shared" si="10"/>
        <v>-0.14864124130364056</v>
      </c>
    </row>
    <row r="116" spans="1:7" x14ac:dyDescent="0.25">
      <c r="A116" s="56">
        <v>43943</v>
      </c>
      <c r="B116" s="29">
        <v>0.27</v>
      </c>
      <c r="C116" s="36">
        <f t="shared" si="11"/>
        <v>6.8579999999999997</v>
      </c>
      <c r="D116" s="47">
        <f t="shared" si="7"/>
        <v>5.5327176470588206</v>
      </c>
      <c r="E116" s="47">
        <f t="shared" si="8"/>
        <v>9.8809565513420416</v>
      </c>
      <c r="F116" s="47">
        <f t="shared" si="9"/>
        <v>1.325282352941179</v>
      </c>
      <c r="G116" s="24">
        <f t="shared" si="10"/>
        <v>0.13412490441132219</v>
      </c>
    </row>
    <row r="117" spans="1:7" x14ac:dyDescent="0.25">
      <c r="A117" s="56">
        <v>43973</v>
      </c>
      <c r="B117" s="29">
        <v>0.01</v>
      </c>
      <c r="C117" s="36">
        <f t="shared" si="11"/>
        <v>0.254</v>
      </c>
      <c r="D117" s="47">
        <f t="shared" si="7"/>
        <v>5.5327176470588206</v>
      </c>
      <c r="E117" s="47">
        <f t="shared" si="8"/>
        <v>9.8809565513420416</v>
      </c>
      <c r="F117" s="47">
        <f t="shared" si="9"/>
        <v>-5.2787176470588211</v>
      </c>
      <c r="G117" s="24">
        <f t="shared" si="10"/>
        <v>-0.53423144000586265</v>
      </c>
    </row>
    <row r="118" spans="1:7" x14ac:dyDescent="0.25">
      <c r="A118" s="56">
        <v>44004</v>
      </c>
      <c r="B118" s="29">
        <v>0.06</v>
      </c>
      <c r="C118" s="36">
        <f t="shared" si="11"/>
        <v>1.5239999999999998</v>
      </c>
      <c r="D118" s="47">
        <f t="shared" si="7"/>
        <v>5.5327176470588206</v>
      </c>
      <c r="E118" s="47">
        <f t="shared" si="8"/>
        <v>9.8809565513420416</v>
      </c>
      <c r="F118" s="47">
        <f t="shared" si="9"/>
        <v>-4.0087176470588206</v>
      </c>
      <c r="G118" s="24">
        <f t="shared" si="10"/>
        <v>-0.40570137377178855</v>
      </c>
    </row>
    <row r="119" spans="1:7" x14ac:dyDescent="0.25">
      <c r="A119" s="56">
        <v>44034</v>
      </c>
      <c r="B119" s="29">
        <v>0.02</v>
      </c>
      <c r="C119" s="36">
        <f t="shared" si="11"/>
        <v>0.50800000000000001</v>
      </c>
      <c r="D119" s="47">
        <f t="shared" si="7"/>
        <v>5.5327176470588206</v>
      </c>
      <c r="E119" s="47">
        <f t="shared" si="8"/>
        <v>9.8809565513420416</v>
      </c>
      <c r="F119" s="47">
        <f t="shared" si="9"/>
        <v>-5.0247176470588206</v>
      </c>
      <c r="G119" s="24">
        <f t="shared" si="10"/>
        <v>-0.50852542675904777</v>
      </c>
    </row>
    <row r="120" spans="1:7" x14ac:dyDescent="0.25">
      <c r="A120" s="56">
        <v>44065</v>
      </c>
      <c r="B120" s="29">
        <v>0.03</v>
      </c>
      <c r="C120" s="36">
        <f t="shared" si="11"/>
        <v>0.7619999999999999</v>
      </c>
      <c r="D120" s="47">
        <f t="shared" si="7"/>
        <v>5.5327176470588206</v>
      </c>
      <c r="E120" s="47">
        <f t="shared" si="8"/>
        <v>9.8809565513420416</v>
      </c>
      <c r="F120" s="47">
        <f t="shared" si="9"/>
        <v>-4.7707176470588211</v>
      </c>
      <c r="G120" s="24">
        <f t="shared" si="10"/>
        <v>-0.48281941351223301</v>
      </c>
    </row>
    <row r="121" spans="1:7" x14ac:dyDescent="0.25">
      <c r="A121" s="56">
        <v>44096</v>
      </c>
      <c r="B121" s="29">
        <v>0.02</v>
      </c>
      <c r="C121" s="36">
        <f t="shared" si="11"/>
        <v>0.50800000000000001</v>
      </c>
      <c r="D121" s="47">
        <f t="shared" si="7"/>
        <v>5.5327176470588206</v>
      </c>
      <c r="E121" s="47">
        <f t="shared" si="8"/>
        <v>9.8809565513420416</v>
      </c>
      <c r="F121" s="47">
        <f t="shared" si="9"/>
        <v>-5.0247176470588206</v>
      </c>
      <c r="G121" s="24">
        <f t="shared" si="10"/>
        <v>-0.50852542675904777</v>
      </c>
    </row>
    <row r="122" spans="1:7" x14ac:dyDescent="0.25">
      <c r="A122" s="56">
        <v>44126</v>
      </c>
      <c r="B122" s="29">
        <v>0.04</v>
      </c>
      <c r="C122" s="36">
        <f t="shared" si="11"/>
        <v>1.016</v>
      </c>
      <c r="D122" s="47">
        <f t="shared" si="7"/>
        <v>5.5327176470588206</v>
      </c>
      <c r="E122" s="47">
        <f t="shared" si="8"/>
        <v>9.8809565513420416</v>
      </c>
      <c r="F122" s="47">
        <f t="shared" si="9"/>
        <v>-4.5167176470588206</v>
      </c>
      <c r="G122" s="24">
        <f t="shared" si="10"/>
        <v>-0.45711340026541819</v>
      </c>
    </row>
    <row r="123" spans="1:7" x14ac:dyDescent="0.25">
      <c r="A123" s="56">
        <v>44157</v>
      </c>
      <c r="B123" s="29">
        <v>0.05</v>
      </c>
      <c r="C123" s="36">
        <f t="shared" si="11"/>
        <v>1.27</v>
      </c>
      <c r="D123" s="47">
        <f t="shared" si="7"/>
        <v>5.5327176470588206</v>
      </c>
      <c r="E123" s="47">
        <f t="shared" si="8"/>
        <v>9.8809565513420416</v>
      </c>
      <c r="F123" s="47">
        <f t="shared" si="9"/>
        <v>-4.2627176470588211</v>
      </c>
      <c r="G123" s="24">
        <f t="shared" si="10"/>
        <v>-0.43140738701860343</v>
      </c>
    </row>
    <row r="124" spans="1:7" x14ac:dyDescent="0.25">
      <c r="A124" s="56">
        <v>44187</v>
      </c>
      <c r="B124" s="29">
        <v>0.03</v>
      </c>
      <c r="C124" s="36">
        <f t="shared" si="11"/>
        <v>0.7619999999999999</v>
      </c>
      <c r="D124" s="47">
        <f t="shared" si="7"/>
        <v>5.5327176470588206</v>
      </c>
      <c r="E124" s="47">
        <f t="shared" si="8"/>
        <v>9.8809565513420416</v>
      </c>
      <c r="F124" s="47">
        <f t="shared" si="9"/>
        <v>-4.7707176470588211</v>
      </c>
      <c r="G124" s="24">
        <f t="shared" si="10"/>
        <v>-0.48281941351223301</v>
      </c>
    </row>
    <row r="125" spans="1:7" x14ac:dyDescent="0.25">
      <c r="A125" s="56">
        <v>44218</v>
      </c>
      <c r="B125" s="29">
        <v>0.86</v>
      </c>
      <c r="C125" s="36">
        <f t="shared" si="11"/>
        <v>21.843999999999998</v>
      </c>
      <c r="D125" s="47">
        <f t="shared" si="7"/>
        <v>5.5327176470588206</v>
      </c>
      <c r="E125" s="47">
        <f t="shared" si="8"/>
        <v>9.8809565513420416</v>
      </c>
      <c r="F125" s="47">
        <f t="shared" si="9"/>
        <v>16.311282352941177</v>
      </c>
      <c r="G125" s="24">
        <f t="shared" si="10"/>
        <v>1.6507796859733952</v>
      </c>
    </row>
    <row r="126" spans="1:7" x14ac:dyDescent="0.25">
      <c r="A126" s="56">
        <v>44249</v>
      </c>
      <c r="B126" s="29">
        <v>1.87</v>
      </c>
      <c r="C126" s="36">
        <f t="shared" si="11"/>
        <v>47.497999999999998</v>
      </c>
      <c r="D126" s="47">
        <f t="shared" si="7"/>
        <v>5.5327176470588206</v>
      </c>
      <c r="E126" s="47">
        <f t="shared" si="8"/>
        <v>9.8809565513420416</v>
      </c>
      <c r="F126" s="47">
        <f t="shared" si="9"/>
        <v>41.965282352941173</v>
      </c>
      <c r="G126" s="24">
        <f t="shared" si="10"/>
        <v>4.2470870239016891</v>
      </c>
    </row>
    <row r="127" spans="1:7" x14ac:dyDescent="0.25">
      <c r="A127" s="56">
        <v>44277</v>
      </c>
      <c r="B127" s="29">
        <v>0.09</v>
      </c>
      <c r="C127" s="36">
        <f t="shared" si="11"/>
        <v>2.2859999999999996</v>
      </c>
      <c r="D127" s="47">
        <f t="shared" si="7"/>
        <v>5.5327176470588206</v>
      </c>
      <c r="E127" s="47">
        <f t="shared" si="8"/>
        <v>9.8809565513420416</v>
      </c>
      <c r="F127" s="47">
        <f t="shared" si="9"/>
        <v>-3.246717647058821</v>
      </c>
      <c r="G127" s="24">
        <f t="shared" si="10"/>
        <v>-0.32858333403134421</v>
      </c>
    </row>
    <row r="128" spans="1:7" x14ac:dyDescent="0.25">
      <c r="A128" s="56">
        <v>44308</v>
      </c>
      <c r="B128" s="29">
        <v>0.17</v>
      </c>
      <c r="C128" s="36">
        <f t="shared" si="11"/>
        <v>4.3180000000000005</v>
      </c>
      <c r="D128" s="47">
        <f t="shared" si="7"/>
        <v>5.5327176470588206</v>
      </c>
      <c r="E128" s="47">
        <f t="shared" si="8"/>
        <v>9.8809565513420416</v>
      </c>
      <c r="F128" s="47">
        <f t="shared" si="9"/>
        <v>-1.2147176470588201</v>
      </c>
      <c r="G128" s="24">
        <f t="shared" si="10"/>
        <v>-0.12293522805682573</v>
      </c>
    </row>
    <row r="129" spans="1:7" x14ac:dyDescent="0.25">
      <c r="A129" s="56">
        <v>44338</v>
      </c>
      <c r="B129" s="29">
        <v>0.1</v>
      </c>
      <c r="C129" s="36">
        <f t="shared" si="11"/>
        <v>2.54</v>
      </c>
      <c r="D129" s="47">
        <f t="shared" si="7"/>
        <v>5.5327176470588206</v>
      </c>
      <c r="E129" s="47">
        <f t="shared" si="8"/>
        <v>9.8809565513420416</v>
      </c>
      <c r="F129" s="47">
        <f t="shared" si="9"/>
        <v>-2.9927176470588206</v>
      </c>
      <c r="G129" s="24">
        <f t="shared" si="10"/>
        <v>-0.30287732078452939</v>
      </c>
    </row>
    <row r="130" spans="1:7" x14ac:dyDescent="0.25">
      <c r="A130" s="56">
        <v>44369</v>
      </c>
      <c r="B130" s="29">
        <v>0.11</v>
      </c>
      <c r="C130" s="36">
        <f t="shared" si="11"/>
        <v>2.794</v>
      </c>
      <c r="D130" s="47">
        <f t="shared" si="7"/>
        <v>5.5327176470588206</v>
      </c>
      <c r="E130" s="47">
        <f t="shared" si="8"/>
        <v>9.8809565513420416</v>
      </c>
      <c r="F130" s="47">
        <f t="shared" si="9"/>
        <v>-2.7387176470588206</v>
      </c>
      <c r="G130" s="24">
        <f t="shared" si="10"/>
        <v>-0.27717130753771457</v>
      </c>
    </row>
    <row r="131" spans="1:7" x14ac:dyDescent="0.25">
      <c r="A131" s="56">
        <v>44399</v>
      </c>
      <c r="B131" s="29">
        <v>7.0000000000000007E-2</v>
      </c>
      <c r="C131" s="36">
        <f t="shared" si="11"/>
        <v>1.778</v>
      </c>
      <c r="D131" s="47">
        <f t="shared" si="7"/>
        <v>5.5327176470588206</v>
      </c>
      <c r="E131" s="47">
        <f t="shared" si="8"/>
        <v>9.8809565513420416</v>
      </c>
      <c r="F131" s="47">
        <f t="shared" si="9"/>
        <v>-3.7547176470588206</v>
      </c>
      <c r="G131" s="24">
        <f t="shared" si="10"/>
        <v>-0.37999536052497379</v>
      </c>
    </row>
    <row r="132" spans="1:7" x14ac:dyDescent="0.25">
      <c r="A132" s="56">
        <v>44430</v>
      </c>
      <c r="B132" s="29">
        <v>7.0000000000000007E-2</v>
      </c>
      <c r="C132" s="36">
        <f t="shared" si="11"/>
        <v>1.778</v>
      </c>
      <c r="D132" s="47">
        <f t="shared" si="7"/>
        <v>5.5327176470588206</v>
      </c>
      <c r="E132" s="47">
        <f t="shared" si="8"/>
        <v>9.8809565513420416</v>
      </c>
      <c r="F132" s="47">
        <f t="shared" si="9"/>
        <v>-3.7547176470588206</v>
      </c>
      <c r="G132" s="24">
        <f t="shared" si="10"/>
        <v>-0.37999536052497379</v>
      </c>
    </row>
    <row r="133" spans="1:7" x14ac:dyDescent="0.25">
      <c r="A133" s="56">
        <v>44461</v>
      </c>
      <c r="B133" s="29">
        <v>0.14000000000000001</v>
      </c>
      <c r="C133" s="36">
        <f t="shared" ref="C133:C164" si="12">$D$1*B133</f>
        <v>3.556</v>
      </c>
      <c r="D133" s="47">
        <f t="shared" si="7"/>
        <v>5.5327176470588206</v>
      </c>
      <c r="E133" s="47">
        <f t="shared" si="8"/>
        <v>9.8809565513420416</v>
      </c>
      <c r="F133" s="47">
        <f t="shared" si="9"/>
        <v>-1.9767176470588206</v>
      </c>
      <c r="G133" s="24">
        <f t="shared" si="10"/>
        <v>-0.20005326779727017</v>
      </c>
    </row>
    <row r="134" spans="1:7" x14ac:dyDescent="0.25">
      <c r="A134" s="56">
        <v>44491</v>
      </c>
      <c r="B134" s="29">
        <v>0.03</v>
      </c>
      <c r="C134" s="36">
        <f t="shared" si="12"/>
        <v>0.7619999999999999</v>
      </c>
      <c r="D134" s="47">
        <f t="shared" ref="D134:D175" si="13">AVERAGE($C$5:$C$174)</f>
        <v>5.5327176470588206</v>
      </c>
      <c r="E134" s="47">
        <f t="shared" ref="E134:E175" si="14">_xlfn.STDEV.S($C$5:$C$174)</f>
        <v>9.8809565513420416</v>
      </c>
      <c r="F134" s="47">
        <f t="shared" ref="F134:F175" si="15">C134-D134</f>
        <v>-4.7707176470588211</v>
      </c>
      <c r="G134" s="24">
        <f t="shared" ref="G134:G144" si="16">F134/E134</f>
        <v>-0.48281941351223301</v>
      </c>
    </row>
    <row r="135" spans="1:7" x14ac:dyDescent="0.25">
      <c r="A135" s="56">
        <v>44522</v>
      </c>
      <c r="B135" s="29">
        <v>7.0000000000000007E-2</v>
      </c>
      <c r="C135" s="36">
        <f t="shared" si="12"/>
        <v>1.778</v>
      </c>
      <c r="D135" s="47">
        <f t="shared" si="13"/>
        <v>5.5327176470588206</v>
      </c>
      <c r="E135" s="47">
        <f t="shared" si="14"/>
        <v>9.8809565513420416</v>
      </c>
      <c r="F135" s="47">
        <f t="shared" si="15"/>
        <v>-3.7547176470588206</v>
      </c>
      <c r="G135" s="24">
        <f t="shared" si="16"/>
        <v>-0.37999536052497379</v>
      </c>
    </row>
    <row r="136" spans="1:7" x14ac:dyDescent="0.25">
      <c r="A136" s="56">
        <v>44552</v>
      </c>
      <c r="B136" s="29">
        <v>1.52</v>
      </c>
      <c r="C136" s="36">
        <f t="shared" si="12"/>
        <v>38.607999999999997</v>
      </c>
      <c r="D136" s="47">
        <f t="shared" si="13"/>
        <v>5.5327176470588206</v>
      </c>
      <c r="E136" s="47">
        <f t="shared" si="14"/>
        <v>9.8809565513420416</v>
      </c>
      <c r="F136" s="47">
        <f t="shared" si="15"/>
        <v>33.075282352941173</v>
      </c>
      <c r="G136" s="24">
        <f t="shared" si="16"/>
        <v>3.3473765602631715</v>
      </c>
    </row>
    <row r="137" spans="1:7" x14ac:dyDescent="0.25">
      <c r="A137" s="56">
        <v>44583</v>
      </c>
      <c r="B137" s="29">
        <v>0.51</v>
      </c>
      <c r="C137" s="36">
        <f t="shared" si="12"/>
        <v>12.953999999999999</v>
      </c>
      <c r="D137" s="47">
        <f t="shared" si="13"/>
        <v>5.5327176470588206</v>
      </c>
      <c r="E137" s="47">
        <f t="shared" si="14"/>
        <v>9.8809565513420416</v>
      </c>
      <c r="F137" s="47">
        <f t="shared" si="15"/>
        <v>7.4212823529411782</v>
      </c>
      <c r="G137" s="24">
        <f t="shared" si="16"/>
        <v>0.75106922233487727</v>
      </c>
    </row>
    <row r="138" spans="1:7" x14ac:dyDescent="0.25">
      <c r="A138" s="56">
        <v>44614</v>
      </c>
      <c r="B138" s="29">
        <v>0.67</v>
      </c>
      <c r="C138" s="36">
        <f t="shared" si="12"/>
        <v>17.018000000000001</v>
      </c>
      <c r="D138" s="47">
        <f t="shared" si="13"/>
        <v>5.5327176470588206</v>
      </c>
      <c r="E138" s="47">
        <f t="shared" si="14"/>
        <v>9.8809565513420416</v>
      </c>
      <c r="F138" s="47">
        <f t="shared" si="15"/>
        <v>11.48528235294118</v>
      </c>
      <c r="G138" s="24">
        <f t="shared" si="16"/>
        <v>1.1623654342839143</v>
      </c>
    </row>
    <row r="139" spans="1:7" x14ac:dyDescent="0.25">
      <c r="A139" s="56">
        <v>44642</v>
      </c>
      <c r="B139" s="29">
        <v>0.67</v>
      </c>
      <c r="C139" s="36">
        <f t="shared" si="12"/>
        <v>17.018000000000001</v>
      </c>
      <c r="D139" s="47">
        <f t="shared" si="13"/>
        <v>5.5327176470588206</v>
      </c>
      <c r="E139" s="47">
        <f t="shared" si="14"/>
        <v>9.8809565513420416</v>
      </c>
      <c r="F139" s="47">
        <f t="shared" si="15"/>
        <v>11.48528235294118</v>
      </c>
      <c r="G139" s="24">
        <f t="shared" si="16"/>
        <v>1.1623654342839143</v>
      </c>
    </row>
    <row r="140" spans="1:7" x14ac:dyDescent="0.25">
      <c r="A140" s="56">
        <v>44673</v>
      </c>
      <c r="B140" s="29">
        <v>2.9</v>
      </c>
      <c r="C140" s="36">
        <f t="shared" si="12"/>
        <v>73.66</v>
      </c>
      <c r="D140" s="47">
        <f t="shared" si="13"/>
        <v>5.5327176470588206</v>
      </c>
      <c r="E140" s="47">
        <f t="shared" si="14"/>
        <v>9.8809565513420416</v>
      </c>
      <c r="F140" s="47">
        <f t="shared" si="15"/>
        <v>68.12728235294118</v>
      </c>
      <c r="G140" s="24">
        <f t="shared" si="16"/>
        <v>6.8948063883236141</v>
      </c>
    </row>
    <row r="141" spans="1:7" x14ac:dyDescent="0.25">
      <c r="A141" s="56">
        <v>44703</v>
      </c>
      <c r="B141" s="29">
        <v>0.45</v>
      </c>
      <c r="C141" s="36">
        <f t="shared" si="12"/>
        <v>11.43</v>
      </c>
      <c r="D141" s="47">
        <f t="shared" si="13"/>
        <v>5.5327176470588206</v>
      </c>
      <c r="E141" s="47">
        <f t="shared" si="14"/>
        <v>9.8809565513420416</v>
      </c>
      <c r="F141" s="47">
        <f t="shared" si="15"/>
        <v>5.8972823529411791</v>
      </c>
      <c r="G141" s="24">
        <f t="shared" si="16"/>
        <v>0.59683314285398859</v>
      </c>
    </row>
    <row r="142" spans="1:7" x14ac:dyDescent="0.25">
      <c r="A142" s="56">
        <v>44734</v>
      </c>
      <c r="B142" s="29">
        <v>0.39</v>
      </c>
      <c r="C142" s="36">
        <f t="shared" si="12"/>
        <v>9.9060000000000006</v>
      </c>
      <c r="D142" s="47">
        <f t="shared" si="13"/>
        <v>5.5327176470588206</v>
      </c>
      <c r="E142" s="47">
        <f t="shared" si="14"/>
        <v>9.8809565513420416</v>
      </c>
      <c r="F142" s="47">
        <f t="shared" si="15"/>
        <v>4.37328235294118</v>
      </c>
      <c r="G142" s="24">
        <f t="shared" si="16"/>
        <v>0.4425970633730999</v>
      </c>
    </row>
    <row r="143" spans="1:7" x14ac:dyDescent="0.25">
      <c r="A143" s="56">
        <v>44764</v>
      </c>
      <c r="B143" s="29">
        <v>0.18</v>
      </c>
      <c r="C143" s="36">
        <f t="shared" si="12"/>
        <v>4.5719999999999992</v>
      </c>
      <c r="D143" s="47">
        <f t="shared" si="13"/>
        <v>5.5327176470588206</v>
      </c>
      <c r="E143" s="47">
        <f t="shared" si="14"/>
        <v>9.8809565513420416</v>
      </c>
      <c r="F143" s="47">
        <f t="shared" si="15"/>
        <v>-0.96071764705882146</v>
      </c>
      <c r="G143" s="24">
        <f t="shared" si="16"/>
        <v>-9.7229214810011066E-2</v>
      </c>
    </row>
    <row r="144" spans="1:7" x14ac:dyDescent="0.25">
      <c r="A144" s="56">
        <v>44795</v>
      </c>
      <c r="B144" s="29">
        <v>0.16</v>
      </c>
      <c r="C144" s="36">
        <f t="shared" si="12"/>
        <v>4.0640000000000001</v>
      </c>
      <c r="D144" s="47">
        <f t="shared" si="13"/>
        <v>5.5327176470588206</v>
      </c>
      <c r="E144" s="47">
        <f t="shared" si="14"/>
        <v>9.8809565513420416</v>
      </c>
      <c r="F144" s="47">
        <f t="shared" si="15"/>
        <v>-1.4687176470588206</v>
      </c>
      <c r="G144" s="24">
        <f t="shared" si="16"/>
        <v>-0.14864124130364056</v>
      </c>
    </row>
    <row r="145" spans="1:7" x14ac:dyDescent="0.25">
      <c r="A145" s="56">
        <v>44826</v>
      </c>
      <c r="B145" s="29">
        <v>0.1</v>
      </c>
      <c r="C145" s="36">
        <f t="shared" si="12"/>
        <v>2.54</v>
      </c>
      <c r="D145" s="47">
        <f t="shared" si="13"/>
        <v>5.5327176470588206</v>
      </c>
      <c r="E145" s="47">
        <f t="shared" si="14"/>
        <v>9.8809565513420416</v>
      </c>
      <c r="F145" s="47">
        <f t="shared" si="15"/>
        <v>-2.9927176470588206</v>
      </c>
      <c r="G145" s="24">
        <f>F145/E145</f>
        <v>-0.30287732078452939</v>
      </c>
    </row>
    <row r="146" spans="1:7" x14ac:dyDescent="0.25">
      <c r="A146" s="56">
        <v>44856</v>
      </c>
      <c r="B146" s="29">
        <v>7.0000000000000007E-2</v>
      </c>
      <c r="C146" s="36">
        <f t="shared" si="12"/>
        <v>1.778</v>
      </c>
      <c r="D146" s="47">
        <f t="shared" si="13"/>
        <v>5.5327176470588206</v>
      </c>
      <c r="E146" s="47">
        <f t="shared" si="14"/>
        <v>9.8809565513420416</v>
      </c>
      <c r="F146" s="47">
        <f t="shared" si="15"/>
        <v>-3.7547176470588206</v>
      </c>
      <c r="G146" s="24">
        <f t="shared" ref="G146:G175" si="17">F146/E146</f>
        <v>-0.37999536052497379</v>
      </c>
    </row>
    <row r="147" spans="1:7" x14ac:dyDescent="0.25">
      <c r="A147" s="56">
        <v>44887</v>
      </c>
      <c r="B147" s="29">
        <v>0.28000000000000003</v>
      </c>
      <c r="C147" s="36">
        <f t="shared" si="12"/>
        <v>7.1120000000000001</v>
      </c>
      <c r="D147" s="47">
        <f t="shared" si="13"/>
        <v>5.5327176470588206</v>
      </c>
      <c r="E147" s="47">
        <f t="shared" si="14"/>
        <v>9.8809565513420416</v>
      </c>
      <c r="F147" s="47">
        <f t="shared" si="15"/>
        <v>1.5792823529411795</v>
      </c>
      <c r="G147" s="24">
        <f t="shared" si="17"/>
        <v>0.15983091765813703</v>
      </c>
    </row>
    <row r="148" spans="1:7" x14ac:dyDescent="0.25">
      <c r="A148" s="56">
        <v>44917</v>
      </c>
      <c r="B148" s="29">
        <v>0.6</v>
      </c>
      <c r="C148" s="36">
        <f t="shared" si="12"/>
        <v>15.239999999999998</v>
      </c>
      <c r="D148" s="47">
        <f t="shared" si="13"/>
        <v>5.5327176470588206</v>
      </c>
      <c r="E148" s="47">
        <f t="shared" si="14"/>
        <v>9.8809565513420416</v>
      </c>
      <c r="F148" s="47">
        <f t="shared" si="15"/>
        <v>9.7072823529411778</v>
      </c>
      <c r="G148" s="24">
        <f t="shared" si="17"/>
        <v>0.98242334155621047</v>
      </c>
    </row>
    <row r="149" spans="1:7" x14ac:dyDescent="0.25">
      <c r="A149" s="56">
        <v>44948</v>
      </c>
      <c r="B149" s="29">
        <v>0.47</v>
      </c>
      <c r="C149" s="36">
        <f t="shared" si="12"/>
        <v>11.937999999999999</v>
      </c>
      <c r="D149" s="47">
        <f t="shared" si="13"/>
        <v>5.5327176470588206</v>
      </c>
      <c r="E149" s="47">
        <f t="shared" si="14"/>
        <v>9.8809565513420416</v>
      </c>
      <c r="F149" s="47">
        <f t="shared" si="15"/>
        <v>6.4052823529411782</v>
      </c>
      <c r="G149" s="24">
        <f t="shared" si="17"/>
        <v>0.64824516934761811</v>
      </c>
    </row>
    <row r="150" spans="1:7" x14ac:dyDescent="0.25">
      <c r="A150" s="56">
        <v>44979</v>
      </c>
      <c r="B150" s="29">
        <v>2.31</v>
      </c>
      <c r="C150" s="36">
        <f t="shared" si="12"/>
        <v>58.673999999999999</v>
      </c>
      <c r="D150" s="47">
        <f t="shared" si="13"/>
        <v>5.5327176470588206</v>
      </c>
      <c r="E150" s="47">
        <f t="shared" si="14"/>
        <v>9.8809565513420416</v>
      </c>
      <c r="F150" s="47">
        <f t="shared" si="15"/>
        <v>53.141282352941175</v>
      </c>
      <c r="G150" s="24">
        <f t="shared" si="17"/>
        <v>5.3781516067615405</v>
      </c>
    </row>
    <row r="151" spans="1:7" x14ac:dyDescent="0.25">
      <c r="A151" s="56">
        <v>45007</v>
      </c>
      <c r="B151" s="29">
        <v>0.45</v>
      </c>
      <c r="C151" s="36">
        <f t="shared" si="12"/>
        <v>11.43</v>
      </c>
      <c r="D151" s="47">
        <f t="shared" si="13"/>
        <v>5.5327176470588206</v>
      </c>
      <c r="E151" s="47">
        <f t="shared" si="14"/>
        <v>9.8809565513420416</v>
      </c>
      <c r="F151" s="47">
        <f t="shared" si="15"/>
        <v>5.8972823529411791</v>
      </c>
      <c r="G151" s="24">
        <f t="shared" si="17"/>
        <v>0.59683314285398859</v>
      </c>
    </row>
    <row r="152" spans="1:7" x14ac:dyDescent="0.25">
      <c r="A152" s="56">
        <v>45038</v>
      </c>
      <c r="B152" s="29">
        <v>0.2</v>
      </c>
      <c r="C152" s="36">
        <f t="shared" si="12"/>
        <v>5.08</v>
      </c>
      <c r="D152" s="47">
        <f t="shared" si="13"/>
        <v>5.5327176470588206</v>
      </c>
      <c r="E152" s="47">
        <f t="shared" si="14"/>
        <v>9.8809565513420416</v>
      </c>
      <c r="F152" s="47">
        <f t="shared" si="15"/>
        <v>-0.45271764705882056</v>
      </c>
      <c r="G152" s="24">
        <f t="shared" si="17"/>
        <v>-4.5817188316381374E-2</v>
      </c>
    </row>
    <row r="153" spans="1:7" x14ac:dyDescent="0.25">
      <c r="A153" s="56">
        <v>45068</v>
      </c>
      <c r="B153" s="29">
        <v>0.27</v>
      </c>
      <c r="C153" s="36">
        <f t="shared" si="12"/>
        <v>6.8579999999999997</v>
      </c>
      <c r="D153" s="47">
        <f t="shared" si="13"/>
        <v>5.5327176470588206</v>
      </c>
      <c r="E153" s="47">
        <f t="shared" si="14"/>
        <v>9.8809565513420416</v>
      </c>
      <c r="F153" s="47">
        <f t="shared" si="15"/>
        <v>1.325282352941179</v>
      </c>
      <c r="G153" s="24">
        <f t="shared" si="17"/>
        <v>0.13412490441132219</v>
      </c>
    </row>
    <row r="154" spans="1:7" x14ac:dyDescent="0.25">
      <c r="A154" s="56">
        <v>45099</v>
      </c>
      <c r="B154" s="29">
        <v>0.04</v>
      </c>
      <c r="C154" s="36">
        <f t="shared" si="12"/>
        <v>1.016</v>
      </c>
      <c r="D154" s="47">
        <f t="shared" si="13"/>
        <v>5.5327176470588206</v>
      </c>
      <c r="E154" s="47">
        <f t="shared" si="14"/>
        <v>9.8809565513420416</v>
      </c>
      <c r="F154" s="47">
        <f t="shared" si="15"/>
        <v>-4.5167176470588206</v>
      </c>
      <c r="G154" s="24">
        <f t="shared" si="17"/>
        <v>-0.45711340026541819</v>
      </c>
    </row>
    <row r="155" spans="1:7" x14ac:dyDescent="0.25">
      <c r="A155" s="56">
        <v>45129</v>
      </c>
      <c r="B155" s="29">
        <v>0.14000000000000001</v>
      </c>
      <c r="C155" s="36">
        <f t="shared" si="12"/>
        <v>3.556</v>
      </c>
      <c r="D155" s="47">
        <f t="shared" si="13"/>
        <v>5.5327176470588206</v>
      </c>
      <c r="E155" s="47">
        <f t="shared" si="14"/>
        <v>9.8809565513420416</v>
      </c>
      <c r="F155" s="47">
        <f t="shared" si="15"/>
        <v>-1.9767176470588206</v>
      </c>
      <c r="G155" s="24">
        <f t="shared" si="17"/>
        <v>-0.20005326779727017</v>
      </c>
    </row>
    <row r="156" spans="1:7" x14ac:dyDescent="0.25">
      <c r="A156" s="56">
        <v>45160</v>
      </c>
      <c r="B156" s="29">
        <v>0.05</v>
      </c>
      <c r="C156" s="36">
        <f t="shared" si="12"/>
        <v>1.27</v>
      </c>
      <c r="D156" s="47">
        <f t="shared" si="13"/>
        <v>5.5327176470588206</v>
      </c>
      <c r="E156" s="47">
        <f t="shared" si="14"/>
        <v>9.8809565513420416</v>
      </c>
      <c r="F156" s="47">
        <f t="shared" si="15"/>
        <v>-4.2627176470588211</v>
      </c>
      <c r="G156" s="24">
        <f t="shared" si="17"/>
        <v>-0.43140738701860343</v>
      </c>
    </row>
    <row r="157" spans="1:7" x14ac:dyDescent="0.25">
      <c r="A157" s="56">
        <v>45191</v>
      </c>
      <c r="B157" s="29">
        <v>0.04</v>
      </c>
      <c r="C157" s="36">
        <f t="shared" si="12"/>
        <v>1.016</v>
      </c>
      <c r="D157" s="47">
        <f t="shared" si="13"/>
        <v>5.5327176470588206</v>
      </c>
      <c r="E157" s="47">
        <f t="shared" si="14"/>
        <v>9.8809565513420416</v>
      </c>
      <c r="F157" s="47">
        <f t="shared" si="15"/>
        <v>-4.5167176470588206</v>
      </c>
      <c r="G157" s="24">
        <f t="shared" si="17"/>
        <v>-0.45711340026541819</v>
      </c>
    </row>
    <row r="158" spans="1:7" x14ac:dyDescent="0.25">
      <c r="A158" s="56">
        <v>45221</v>
      </c>
      <c r="B158" s="29">
        <v>0.14000000000000001</v>
      </c>
      <c r="C158" s="36">
        <f t="shared" si="12"/>
        <v>3.556</v>
      </c>
      <c r="D158" s="47">
        <f t="shared" si="13"/>
        <v>5.5327176470588206</v>
      </c>
      <c r="E158" s="47">
        <f t="shared" si="14"/>
        <v>9.8809565513420416</v>
      </c>
      <c r="F158" s="47">
        <f t="shared" si="15"/>
        <v>-1.9767176470588206</v>
      </c>
      <c r="G158" s="24">
        <f t="shared" si="17"/>
        <v>-0.20005326779727017</v>
      </c>
    </row>
    <row r="159" spans="1:7" x14ac:dyDescent="0.25">
      <c r="A159" s="56">
        <v>45252</v>
      </c>
      <c r="B159" s="29">
        <v>0.06</v>
      </c>
      <c r="C159" s="36">
        <f t="shared" si="12"/>
        <v>1.5239999999999998</v>
      </c>
      <c r="D159" s="47">
        <f t="shared" si="13"/>
        <v>5.5327176470588206</v>
      </c>
      <c r="E159" s="47">
        <f t="shared" si="14"/>
        <v>9.8809565513420416</v>
      </c>
      <c r="F159" s="47">
        <f t="shared" si="15"/>
        <v>-4.0087176470588206</v>
      </c>
      <c r="G159" s="24">
        <f t="shared" si="17"/>
        <v>-0.40570137377178855</v>
      </c>
    </row>
    <row r="160" spans="1:7" x14ac:dyDescent="0.25">
      <c r="A160" s="56">
        <v>45282</v>
      </c>
      <c r="B160" s="36">
        <v>0.41</v>
      </c>
      <c r="C160" s="36">
        <f t="shared" si="12"/>
        <v>10.413999999999998</v>
      </c>
      <c r="D160" s="47">
        <f t="shared" si="13"/>
        <v>5.5327176470588206</v>
      </c>
      <c r="E160" s="47">
        <f t="shared" si="14"/>
        <v>9.8809565513420416</v>
      </c>
      <c r="F160" s="47">
        <f t="shared" si="15"/>
        <v>4.8812823529411773</v>
      </c>
      <c r="G160" s="24">
        <f t="shared" si="17"/>
        <v>0.4940090898667292</v>
      </c>
    </row>
    <row r="161" spans="1:7" x14ac:dyDescent="0.25">
      <c r="A161" s="56">
        <v>45313</v>
      </c>
      <c r="B161" s="36">
        <v>0.3</v>
      </c>
      <c r="C161" s="36">
        <f t="shared" si="12"/>
        <v>7.6199999999999992</v>
      </c>
      <c r="D161" s="47">
        <f t="shared" si="13"/>
        <v>5.5327176470588206</v>
      </c>
      <c r="E161" s="47">
        <f t="shared" si="14"/>
        <v>9.8809565513420416</v>
      </c>
      <c r="F161" s="47">
        <f t="shared" si="15"/>
        <v>2.0872823529411786</v>
      </c>
      <c r="G161" s="24">
        <f t="shared" si="17"/>
        <v>0.21124294415176653</v>
      </c>
    </row>
    <row r="162" spans="1:7" x14ac:dyDescent="0.25">
      <c r="A162" s="56">
        <v>45344</v>
      </c>
      <c r="B162" s="36">
        <v>0.19</v>
      </c>
      <c r="C162" s="36">
        <f t="shared" si="12"/>
        <v>4.8259999999999996</v>
      </c>
      <c r="D162" s="47">
        <f t="shared" si="13"/>
        <v>5.5327176470588206</v>
      </c>
      <c r="E162" s="47">
        <f t="shared" si="14"/>
        <v>9.8809565513420416</v>
      </c>
      <c r="F162" s="47">
        <f t="shared" si="15"/>
        <v>-0.70671764705882101</v>
      </c>
      <c r="G162" s="24">
        <f t="shared" si="17"/>
        <v>-7.152320156319622E-2</v>
      </c>
    </row>
    <row r="163" spans="1:7" x14ac:dyDescent="0.25">
      <c r="A163" s="56">
        <v>45373</v>
      </c>
      <c r="B163" s="36">
        <v>0.16</v>
      </c>
      <c r="C163" s="36">
        <f t="shared" si="12"/>
        <v>4.0640000000000001</v>
      </c>
      <c r="D163" s="47">
        <f t="shared" si="13"/>
        <v>5.5327176470588206</v>
      </c>
      <c r="E163" s="47">
        <f t="shared" si="14"/>
        <v>9.8809565513420416</v>
      </c>
      <c r="F163" s="47">
        <f t="shared" si="15"/>
        <v>-1.4687176470588206</v>
      </c>
      <c r="G163" s="24">
        <f t="shared" si="17"/>
        <v>-0.14864124130364056</v>
      </c>
    </row>
    <row r="164" spans="1:7" x14ac:dyDescent="0.25">
      <c r="A164" s="56">
        <v>45404</v>
      </c>
      <c r="B164" s="36">
        <v>0.11</v>
      </c>
      <c r="C164" s="36">
        <f t="shared" si="12"/>
        <v>2.794</v>
      </c>
      <c r="D164" s="47">
        <f t="shared" si="13"/>
        <v>5.5327176470588206</v>
      </c>
      <c r="E164" s="47">
        <f t="shared" si="14"/>
        <v>9.8809565513420416</v>
      </c>
      <c r="F164" s="47">
        <f t="shared" si="15"/>
        <v>-2.7387176470588206</v>
      </c>
      <c r="G164" s="24">
        <f t="shared" si="17"/>
        <v>-0.27717130753771457</v>
      </c>
    </row>
    <row r="165" spans="1:7" x14ac:dyDescent="0.25">
      <c r="A165" s="56">
        <v>45434</v>
      </c>
      <c r="B165" s="29">
        <v>0.05</v>
      </c>
      <c r="C165" s="36">
        <f t="shared" ref="C165:C175" si="18">$D$1*B165</f>
        <v>1.27</v>
      </c>
      <c r="D165" s="47">
        <f t="shared" si="13"/>
        <v>5.5327176470588206</v>
      </c>
      <c r="E165" s="47">
        <f t="shared" si="14"/>
        <v>9.8809565513420416</v>
      </c>
      <c r="F165" s="47">
        <f t="shared" si="15"/>
        <v>-4.2627176470588211</v>
      </c>
      <c r="G165" s="24">
        <f t="shared" si="17"/>
        <v>-0.43140738701860343</v>
      </c>
    </row>
    <row r="166" spans="1:7" x14ac:dyDescent="0.25">
      <c r="A166" s="56">
        <v>45465</v>
      </c>
      <c r="B166" s="1">
        <v>7.0000000000000007E-2</v>
      </c>
      <c r="C166" s="29">
        <f t="shared" si="18"/>
        <v>1.778</v>
      </c>
      <c r="D166" s="47">
        <f t="shared" si="13"/>
        <v>5.5327176470588206</v>
      </c>
      <c r="E166" s="47">
        <f t="shared" si="14"/>
        <v>9.8809565513420416</v>
      </c>
      <c r="F166" s="47">
        <f t="shared" si="15"/>
        <v>-3.7547176470588206</v>
      </c>
      <c r="G166" s="24">
        <f t="shared" si="17"/>
        <v>-0.37999536052497379</v>
      </c>
    </row>
    <row r="167" spans="1:7" x14ac:dyDescent="0.25">
      <c r="A167" s="56">
        <v>45495</v>
      </c>
      <c r="B167" s="1">
        <v>0.01</v>
      </c>
      <c r="C167" s="29">
        <f t="shared" si="18"/>
        <v>0.254</v>
      </c>
      <c r="D167" s="47">
        <f t="shared" si="13"/>
        <v>5.5327176470588206</v>
      </c>
      <c r="E167" s="47">
        <f t="shared" si="14"/>
        <v>9.8809565513420416</v>
      </c>
      <c r="F167" s="47">
        <f t="shared" si="15"/>
        <v>-5.2787176470588211</v>
      </c>
      <c r="G167" s="24">
        <f t="shared" si="17"/>
        <v>-0.53423144000586265</v>
      </c>
    </row>
    <row r="168" spans="1:7" x14ac:dyDescent="0.25">
      <c r="A168" s="56">
        <v>45526</v>
      </c>
      <c r="B168" s="1">
        <v>0.02</v>
      </c>
      <c r="C168" s="29">
        <f t="shared" si="18"/>
        <v>0.50800000000000001</v>
      </c>
      <c r="D168" s="47">
        <f t="shared" si="13"/>
        <v>5.5327176470588206</v>
      </c>
      <c r="E168" s="47">
        <f t="shared" si="14"/>
        <v>9.8809565513420416</v>
      </c>
      <c r="F168" s="47">
        <f t="shared" si="15"/>
        <v>-5.0247176470588206</v>
      </c>
      <c r="G168" s="24">
        <f t="shared" si="17"/>
        <v>-0.50852542675904777</v>
      </c>
    </row>
    <row r="169" spans="1:7" x14ac:dyDescent="0.25">
      <c r="A169" s="56">
        <v>45557</v>
      </c>
      <c r="B169" s="1">
        <v>0.02</v>
      </c>
      <c r="C169" s="29">
        <f t="shared" si="18"/>
        <v>0.50800000000000001</v>
      </c>
      <c r="D169" s="47">
        <f t="shared" si="13"/>
        <v>5.5327176470588206</v>
      </c>
      <c r="E169" s="47">
        <f t="shared" si="14"/>
        <v>9.8809565513420416</v>
      </c>
      <c r="F169" s="47">
        <f t="shared" si="15"/>
        <v>-5.0247176470588206</v>
      </c>
      <c r="G169" s="24">
        <f t="shared" si="17"/>
        <v>-0.50852542675904777</v>
      </c>
    </row>
    <row r="170" spans="1:7" x14ac:dyDescent="0.25">
      <c r="A170" s="56">
        <v>45587</v>
      </c>
      <c r="B170" s="1">
        <v>0.03</v>
      </c>
      <c r="C170" s="29">
        <f t="shared" si="18"/>
        <v>0.7619999999999999</v>
      </c>
      <c r="D170" s="47">
        <f t="shared" si="13"/>
        <v>5.5327176470588206</v>
      </c>
      <c r="E170" s="47">
        <f t="shared" si="14"/>
        <v>9.8809565513420416</v>
      </c>
      <c r="F170" s="47">
        <f t="shared" si="15"/>
        <v>-4.7707176470588211</v>
      </c>
      <c r="G170" s="24">
        <f t="shared" si="17"/>
        <v>-0.48281941351223301</v>
      </c>
    </row>
    <row r="171" spans="1:7" x14ac:dyDescent="0.25">
      <c r="A171" s="56">
        <v>45618</v>
      </c>
      <c r="B171" s="1">
        <v>0.01</v>
      </c>
      <c r="C171" s="29">
        <f t="shared" si="18"/>
        <v>0.254</v>
      </c>
      <c r="D171" s="47">
        <f t="shared" si="13"/>
        <v>5.5327176470588206</v>
      </c>
      <c r="E171" s="47">
        <f t="shared" si="14"/>
        <v>9.8809565513420416</v>
      </c>
      <c r="F171" s="47">
        <f t="shared" si="15"/>
        <v>-5.2787176470588211</v>
      </c>
      <c r="G171" s="24">
        <f t="shared" si="17"/>
        <v>-0.53423144000586265</v>
      </c>
    </row>
    <row r="172" spans="1:7" x14ac:dyDescent="0.25">
      <c r="A172" s="56">
        <v>45648</v>
      </c>
      <c r="B172" s="1">
        <v>7.0000000000000007E-2</v>
      </c>
      <c r="C172" s="29">
        <f t="shared" si="18"/>
        <v>1.778</v>
      </c>
      <c r="D172" s="47">
        <f t="shared" si="13"/>
        <v>5.5327176470588206</v>
      </c>
      <c r="E172" s="47">
        <f t="shared" si="14"/>
        <v>9.8809565513420416</v>
      </c>
      <c r="F172" s="47">
        <f t="shared" si="15"/>
        <v>-3.7547176470588206</v>
      </c>
      <c r="G172" s="24">
        <f t="shared" si="17"/>
        <v>-0.37999536052497379</v>
      </c>
    </row>
    <row r="173" spans="1:7" x14ac:dyDescent="0.25">
      <c r="A173" s="56">
        <v>45679</v>
      </c>
      <c r="B173" s="1">
        <v>1.1100000000000001</v>
      </c>
      <c r="C173" s="29">
        <f t="shared" si="18"/>
        <v>28.194000000000003</v>
      </c>
      <c r="D173" s="47">
        <f t="shared" si="13"/>
        <v>5.5327176470588206</v>
      </c>
      <c r="E173" s="47">
        <f t="shared" si="14"/>
        <v>9.8809565513420416</v>
      </c>
      <c r="F173" s="47">
        <f t="shared" si="15"/>
        <v>22.661282352941182</v>
      </c>
      <c r="G173" s="24">
        <f t="shared" si="17"/>
        <v>2.2934300171437658</v>
      </c>
    </row>
    <row r="174" spans="1:7" x14ac:dyDescent="0.25">
      <c r="A174" s="56">
        <v>45710</v>
      </c>
      <c r="B174" s="1">
        <v>0.53</v>
      </c>
      <c r="C174" s="29">
        <f t="shared" si="18"/>
        <v>13.462</v>
      </c>
      <c r="D174" s="47">
        <f t="shared" si="13"/>
        <v>5.5327176470588206</v>
      </c>
      <c r="E174" s="47">
        <f t="shared" si="14"/>
        <v>9.8809565513420416</v>
      </c>
      <c r="F174" s="47">
        <f t="shared" si="15"/>
        <v>7.9292823529411791</v>
      </c>
      <c r="G174" s="24">
        <f t="shared" si="17"/>
        <v>0.80248124882850702</v>
      </c>
    </row>
    <row r="175" spans="1:7" x14ac:dyDescent="0.25">
      <c r="A175" s="56">
        <v>45739</v>
      </c>
      <c r="B175" s="1">
        <v>0.17</v>
      </c>
      <c r="C175" s="29">
        <f t="shared" si="18"/>
        <v>4.3180000000000005</v>
      </c>
      <c r="D175" s="47">
        <f t="shared" si="13"/>
        <v>5.5327176470588206</v>
      </c>
      <c r="E175" s="47">
        <f t="shared" si="14"/>
        <v>9.8809565513420416</v>
      </c>
      <c r="F175" s="47">
        <f t="shared" si="15"/>
        <v>-1.2147176470588201</v>
      </c>
      <c r="G175" s="24">
        <f t="shared" si="17"/>
        <v>-0.12293522805682573</v>
      </c>
    </row>
    <row r="176" spans="1:7" x14ac:dyDescent="0.25">
      <c r="G176" s="15">
        <f>MAX(G5:G175)</f>
        <v>6.8948063883236141</v>
      </c>
    </row>
  </sheetData>
  <mergeCells count="2">
    <mergeCell ref="A2:G2"/>
    <mergeCell ref="A3:G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39F3-26B0-4B96-A05C-F19A7B4952DC}">
  <dimension ref="A1:H175"/>
  <sheetViews>
    <sheetView topLeftCell="A144" zoomScale="85" zoomScaleNormal="85" workbookViewId="0">
      <selection activeCell="F45" sqref="F45"/>
    </sheetView>
  </sheetViews>
  <sheetFormatPr defaultRowHeight="15" x14ac:dyDescent="0.25"/>
  <cols>
    <col min="1" max="1" width="15.5703125" style="58" customWidth="1"/>
    <col min="2" max="2" width="18.7109375" style="1" customWidth="1"/>
    <col min="3" max="3" width="19.5703125" style="1" customWidth="1"/>
    <col min="4" max="4" width="22.85546875" style="1" customWidth="1"/>
    <col min="5" max="5" width="16" style="1" customWidth="1"/>
    <col min="6" max="6" width="13.7109375" style="1" customWidth="1"/>
    <col min="7" max="7" width="21.5703125" style="15" bestFit="1" customWidth="1"/>
    <col min="8" max="8" width="12.28515625" customWidth="1"/>
  </cols>
  <sheetData>
    <row r="1" spans="1:8" x14ac:dyDescent="0.25">
      <c r="A1" s="60"/>
      <c r="B1" s="61"/>
      <c r="C1" s="61"/>
      <c r="D1" s="16">
        <v>25.4</v>
      </c>
      <c r="E1" s="61"/>
      <c r="F1" s="61"/>
      <c r="G1" s="62"/>
    </row>
    <row r="2" spans="1:8" ht="20.25" customHeight="1" x14ac:dyDescent="0.25">
      <c r="A2" s="72" t="s">
        <v>21</v>
      </c>
      <c r="B2" s="73"/>
      <c r="C2" s="73"/>
      <c r="D2" s="73"/>
      <c r="E2" s="73"/>
      <c r="F2" s="73"/>
      <c r="G2" s="73"/>
      <c r="H2" s="48"/>
    </row>
    <row r="3" spans="1:8" x14ac:dyDescent="0.25">
      <c r="A3" s="67" t="s">
        <v>1</v>
      </c>
      <c r="B3" s="68"/>
      <c r="C3" s="68"/>
      <c r="D3" s="68"/>
      <c r="E3" s="68"/>
      <c r="F3" s="68"/>
      <c r="G3" s="71"/>
    </row>
    <row r="4" spans="1:8" x14ac:dyDescent="0.25">
      <c r="A4" s="55" t="s">
        <v>16</v>
      </c>
      <c r="B4" s="7" t="s">
        <v>3</v>
      </c>
      <c r="C4" s="7" t="s">
        <v>1</v>
      </c>
      <c r="D4" s="8" t="s">
        <v>4</v>
      </c>
      <c r="E4" s="8" t="s">
        <v>5</v>
      </c>
      <c r="F4" s="7"/>
      <c r="G4" s="49" t="s">
        <v>25</v>
      </c>
      <c r="H4" t="s">
        <v>24</v>
      </c>
    </row>
    <row r="5" spans="1:8" x14ac:dyDescent="0.25">
      <c r="A5" s="56">
        <v>40565</v>
      </c>
      <c r="B5" s="29">
        <v>0.96</v>
      </c>
      <c r="C5" s="36">
        <f t="shared" ref="C5:C36" si="0">$D$1*B5</f>
        <v>24.383999999999997</v>
      </c>
      <c r="D5" s="47">
        <f>AVERAGE($C$5:$C$174)</f>
        <v>6.7534117647058789</v>
      </c>
      <c r="E5" s="47">
        <f>_xlfn.STDEV.S($C$5:$C$174)</f>
        <v>19.084278462467395</v>
      </c>
      <c r="F5" s="47">
        <f>C5-D5</f>
        <v>17.63058823529412</v>
      </c>
      <c r="G5" s="24">
        <f>F5/E5</f>
        <v>0.92382786543215589</v>
      </c>
      <c r="H5">
        <v>-0.5</v>
      </c>
    </row>
    <row r="6" spans="1:8" x14ac:dyDescent="0.25">
      <c r="A6" s="56">
        <v>40596</v>
      </c>
      <c r="B6" s="29">
        <v>0.31</v>
      </c>
      <c r="C6" s="36">
        <f t="shared" si="0"/>
        <v>7.8739999999999997</v>
      </c>
      <c r="D6" s="47">
        <f t="shared" ref="D6:D69" si="1">AVERAGE($C$5:$C$174)</f>
        <v>6.7534117647058789</v>
      </c>
      <c r="E6" s="47">
        <f t="shared" ref="E6:E69" si="2">_xlfn.STDEV.S($C$5:$C$174)</f>
        <v>19.084278462467395</v>
      </c>
      <c r="F6" s="47">
        <f t="shared" ref="F6:F69" si="3">C6-D6</f>
        <v>1.1205882352941208</v>
      </c>
      <c r="G6" s="24">
        <f t="shared" ref="G6:G69" si="4">F6/E6</f>
        <v>5.8717872802891417E-2</v>
      </c>
      <c r="H6">
        <v>-0.5</v>
      </c>
    </row>
    <row r="7" spans="1:8" x14ac:dyDescent="0.25">
      <c r="A7" s="56">
        <v>40624</v>
      </c>
      <c r="B7" s="29">
        <v>-0.05</v>
      </c>
      <c r="C7" s="36">
        <f t="shared" si="0"/>
        <v>-1.27</v>
      </c>
      <c r="D7" s="47">
        <f t="shared" si="1"/>
        <v>6.7534117647058789</v>
      </c>
      <c r="E7" s="47">
        <f t="shared" si="2"/>
        <v>19.084278462467395</v>
      </c>
      <c r="F7" s="47">
        <f t="shared" si="3"/>
        <v>-8.0234117647058785</v>
      </c>
      <c r="G7" s="24">
        <f t="shared" si="4"/>
        <v>-0.42041996926870118</v>
      </c>
      <c r="H7">
        <v>-0.5</v>
      </c>
    </row>
    <row r="8" spans="1:8" x14ac:dyDescent="0.25">
      <c r="A8" s="56">
        <v>40655</v>
      </c>
      <c r="B8" s="29">
        <v>0.24</v>
      </c>
      <c r="C8" s="36">
        <f t="shared" si="0"/>
        <v>6.0959999999999992</v>
      </c>
      <c r="D8" s="47">
        <f t="shared" si="1"/>
        <v>6.7534117647058789</v>
      </c>
      <c r="E8" s="47">
        <f t="shared" si="2"/>
        <v>19.084278462467395</v>
      </c>
      <c r="F8" s="47">
        <f t="shared" si="3"/>
        <v>-0.6574117647058797</v>
      </c>
      <c r="G8" s="24">
        <f t="shared" si="4"/>
        <v>-3.44478187110294E-2</v>
      </c>
      <c r="H8">
        <v>-0.5</v>
      </c>
    </row>
    <row r="9" spans="1:8" x14ac:dyDescent="0.25">
      <c r="A9" s="56">
        <v>40685</v>
      </c>
      <c r="B9" s="29">
        <v>7.0000000000000007E-2</v>
      </c>
      <c r="C9" s="36">
        <f t="shared" si="0"/>
        <v>1.778</v>
      </c>
      <c r="D9" s="47">
        <f t="shared" si="1"/>
        <v>6.7534117647058789</v>
      </c>
      <c r="E9" s="47">
        <f t="shared" si="2"/>
        <v>19.084278462467395</v>
      </c>
      <c r="F9" s="47">
        <f t="shared" si="3"/>
        <v>-4.9754117647058784</v>
      </c>
      <c r="G9" s="24">
        <f t="shared" si="4"/>
        <v>-0.26070735524483696</v>
      </c>
      <c r="H9">
        <v>-0.5</v>
      </c>
    </row>
    <row r="10" spans="1:8" x14ac:dyDescent="0.25">
      <c r="A10" s="56">
        <v>40716</v>
      </c>
      <c r="B10" s="29">
        <v>0.11</v>
      </c>
      <c r="C10" s="36">
        <f t="shared" si="0"/>
        <v>2.794</v>
      </c>
      <c r="D10" s="47">
        <f t="shared" si="1"/>
        <v>6.7534117647058789</v>
      </c>
      <c r="E10" s="47">
        <f t="shared" si="2"/>
        <v>19.084278462467395</v>
      </c>
      <c r="F10" s="47">
        <f t="shared" si="3"/>
        <v>-3.9594117647058789</v>
      </c>
      <c r="G10" s="24">
        <f t="shared" si="4"/>
        <v>-0.20746981723688226</v>
      </c>
      <c r="H10">
        <v>-0.5</v>
      </c>
    </row>
    <row r="11" spans="1:8" x14ac:dyDescent="0.25">
      <c r="A11" s="56">
        <v>40746</v>
      </c>
      <c r="B11" s="29">
        <v>0.1</v>
      </c>
      <c r="C11" s="36">
        <f t="shared" si="0"/>
        <v>2.54</v>
      </c>
      <c r="D11" s="47">
        <f t="shared" si="1"/>
        <v>6.7534117647058789</v>
      </c>
      <c r="E11" s="47">
        <f t="shared" si="2"/>
        <v>19.084278462467395</v>
      </c>
      <c r="F11" s="47">
        <f t="shared" si="3"/>
        <v>-4.2134117647058789</v>
      </c>
      <c r="G11" s="24">
        <f t="shared" si="4"/>
        <v>-0.22077920173887094</v>
      </c>
      <c r="H11">
        <v>-0.5</v>
      </c>
    </row>
    <row r="12" spans="1:8" x14ac:dyDescent="0.25">
      <c r="A12" s="56">
        <v>40777</v>
      </c>
      <c r="B12" s="29">
        <v>0.06</v>
      </c>
      <c r="C12" s="36">
        <f t="shared" si="0"/>
        <v>1.5239999999999998</v>
      </c>
      <c r="D12" s="47">
        <f t="shared" si="1"/>
        <v>6.7534117647058789</v>
      </c>
      <c r="E12" s="47">
        <f t="shared" si="2"/>
        <v>19.084278462467395</v>
      </c>
      <c r="F12" s="47">
        <f t="shared" si="3"/>
        <v>-5.2294117647058789</v>
      </c>
      <c r="G12" s="24">
        <f t="shared" si="4"/>
        <v>-0.27401673974682567</v>
      </c>
      <c r="H12">
        <v>-0.5</v>
      </c>
    </row>
    <row r="13" spans="1:8" x14ac:dyDescent="0.25">
      <c r="A13" s="56">
        <v>40808</v>
      </c>
      <c r="B13" s="29">
        <v>0.01</v>
      </c>
      <c r="C13" s="36">
        <f t="shared" si="0"/>
        <v>0.254</v>
      </c>
      <c r="D13" s="47">
        <f t="shared" si="1"/>
        <v>6.7534117647058789</v>
      </c>
      <c r="E13" s="47">
        <f t="shared" si="2"/>
        <v>19.084278462467395</v>
      </c>
      <c r="F13" s="47">
        <f t="shared" si="3"/>
        <v>-6.4994117647058793</v>
      </c>
      <c r="G13" s="24">
        <f t="shared" si="4"/>
        <v>-0.34056366225676915</v>
      </c>
      <c r="H13">
        <v>-0.5</v>
      </c>
    </row>
    <row r="14" spans="1:8" x14ac:dyDescent="0.25">
      <c r="A14" s="56">
        <v>40838</v>
      </c>
      <c r="B14" s="29">
        <v>0.17</v>
      </c>
      <c r="C14" s="36">
        <f t="shared" si="0"/>
        <v>4.3180000000000005</v>
      </c>
      <c r="D14" s="47">
        <f t="shared" si="1"/>
        <v>6.7534117647058789</v>
      </c>
      <c r="E14" s="47">
        <f t="shared" si="2"/>
        <v>19.084278462467395</v>
      </c>
      <c r="F14" s="47">
        <f t="shared" si="3"/>
        <v>-2.4354117647058784</v>
      </c>
      <c r="G14" s="24">
        <f t="shared" si="4"/>
        <v>-0.12761351022495013</v>
      </c>
      <c r="H14">
        <v>-0.5</v>
      </c>
    </row>
    <row r="15" spans="1:8" x14ac:dyDescent="0.25">
      <c r="A15" s="56">
        <v>40869</v>
      </c>
      <c r="B15" s="29">
        <v>0.11</v>
      </c>
      <c r="C15" s="36">
        <f t="shared" si="0"/>
        <v>2.794</v>
      </c>
      <c r="D15" s="47">
        <f t="shared" si="1"/>
        <v>6.7534117647058789</v>
      </c>
      <c r="E15" s="47">
        <f t="shared" si="2"/>
        <v>19.084278462467395</v>
      </c>
      <c r="F15" s="47">
        <f t="shared" si="3"/>
        <v>-3.9594117647058789</v>
      </c>
      <c r="G15" s="24">
        <f t="shared" si="4"/>
        <v>-0.20746981723688226</v>
      </c>
      <c r="H15">
        <v>-0.5</v>
      </c>
    </row>
    <row r="16" spans="1:8" x14ac:dyDescent="0.25">
      <c r="A16" s="56">
        <v>40899</v>
      </c>
      <c r="B16" s="29">
        <v>0.17</v>
      </c>
      <c r="C16" s="36">
        <f t="shared" si="0"/>
        <v>4.3180000000000005</v>
      </c>
      <c r="D16" s="47">
        <f t="shared" si="1"/>
        <v>6.7534117647058789</v>
      </c>
      <c r="E16" s="47">
        <f t="shared" si="2"/>
        <v>19.084278462467395</v>
      </c>
      <c r="F16" s="47">
        <f t="shared" si="3"/>
        <v>-2.4354117647058784</v>
      </c>
      <c r="G16" s="24">
        <f t="shared" si="4"/>
        <v>-0.12761351022495013</v>
      </c>
      <c r="H16">
        <v>-0.5</v>
      </c>
    </row>
    <row r="17" spans="1:8" x14ac:dyDescent="0.25">
      <c r="A17" s="56">
        <v>40930</v>
      </c>
      <c r="B17" s="29">
        <v>0.68</v>
      </c>
      <c r="C17" s="36">
        <f t="shared" si="0"/>
        <v>17.272000000000002</v>
      </c>
      <c r="D17" s="47">
        <f t="shared" si="1"/>
        <v>6.7534117647058789</v>
      </c>
      <c r="E17" s="47">
        <f t="shared" si="2"/>
        <v>19.084278462467395</v>
      </c>
      <c r="F17" s="47">
        <f t="shared" si="3"/>
        <v>10.518588235294123</v>
      </c>
      <c r="G17" s="24">
        <f t="shared" si="4"/>
        <v>0.55116509937647284</v>
      </c>
      <c r="H17">
        <v>-0.5</v>
      </c>
    </row>
    <row r="18" spans="1:8" x14ac:dyDescent="0.25">
      <c r="A18" s="56">
        <v>40961</v>
      </c>
      <c r="B18" s="29">
        <v>0.28999999999999998</v>
      </c>
      <c r="C18" s="36">
        <f t="shared" si="0"/>
        <v>7.3659999999999988</v>
      </c>
      <c r="D18" s="47">
        <f t="shared" si="1"/>
        <v>6.7534117647058789</v>
      </c>
      <c r="E18" s="47">
        <f t="shared" si="2"/>
        <v>19.084278462467395</v>
      </c>
      <c r="F18" s="47">
        <f t="shared" si="3"/>
        <v>0.61258823529411988</v>
      </c>
      <c r="G18" s="24">
        <f t="shared" si="4"/>
        <v>3.2099103798914001E-2</v>
      </c>
      <c r="H18">
        <v>-0.5</v>
      </c>
    </row>
    <row r="19" spans="1:8" x14ac:dyDescent="0.25">
      <c r="A19" s="56">
        <v>40990</v>
      </c>
      <c r="B19" s="29">
        <v>0.02</v>
      </c>
      <c r="C19" s="36">
        <f t="shared" si="0"/>
        <v>0.50800000000000001</v>
      </c>
      <c r="D19" s="47">
        <f t="shared" si="1"/>
        <v>6.7534117647058789</v>
      </c>
      <c r="E19" s="47">
        <f t="shared" si="2"/>
        <v>19.084278462467395</v>
      </c>
      <c r="F19" s="47">
        <f t="shared" si="3"/>
        <v>-6.2454117647058789</v>
      </c>
      <c r="G19" s="24">
        <f t="shared" si="4"/>
        <v>-0.32725427775478044</v>
      </c>
      <c r="H19">
        <v>-0.5</v>
      </c>
    </row>
    <row r="20" spans="1:8" x14ac:dyDescent="0.25">
      <c r="A20" s="56">
        <v>41021</v>
      </c>
      <c r="B20" s="29">
        <v>0.06</v>
      </c>
      <c r="C20" s="36">
        <f t="shared" si="0"/>
        <v>1.5239999999999998</v>
      </c>
      <c r="D20" s="47">
        <f t="shared" si="1"/>
        <v>6.7534117647058789</v>
      </c>
      <c r="E20" s="47">
        <f t="shared" si="2"/>
        <v>19.084278462467395</v>
      </c>
      <c r="F20" s="47">
        <f t="shared" si="3"/>
        <v>-5.2294117647058789</v>
      </c>
      <c r="G20" s="24">
        <f t="shared" si="4"/>
        <v>-0.27401673974682567</v>
      </c>
      <c r="H20">
        <v>-0.5</v>
      </c>
    </row>
    <row r="21" spans="1:8" x14ac:dyDescent="0.25">
      <c r="A21" s="56">
        <v>41051</v>
      </c>
      <c r="B21" s="29">
        <v>0.05</v>
      </c>
      <c r="C21" s="36">
        <f t="shared" si="0"/>
        <v>1.27</v>
      </c>
      <c r="D21" s="47">
        <f t="shared" si="1"/>
        <v>6.7534117647058789</v>
      </c>
      <c r="E21" s="47">
        <f t="shared" si="2"/>
        <v>19.084278462467395</v>
      </c>
      <c r="F21" s="47">
        <f t="shared" si="3"/>
        <v>-5.4834117647058793</v>
      </c>
      <c r="G21" s="24">
        <f t="shared" si="4"/>
        <v>-0.28732612424881437</v>
      </c>
      <c r="H21">
        <v>-0.5</v>
      </c>
    </row>
    <row r="22" spans="1:8" x14ac:dyDescent="0.25">
      <c r="A22" s="56">
        <v>41082</v>
      </c>
      <c r="B22" s="29">
        <v>0.05</v>
      </c>
      <c r="C22" s="36">
        <f t="shared" si="0"/>
        <v>1.27</v>
      </c>
      <c r="D22" s="47">
        <f t="shared" si="1"/>
        <v>6.7534117647058789</v>
      </c>
      <c r="E22" s="47">
        <f t="shared" si="2"/>
        <v>19.084278462467395</v>
      </c>
      <c r="F22" s="47">
        <f t="shared" si="3"/>
        <v>-5.4834117647058793</v>
      </c>
      <c r="G22" s="24">
        <f t="shared" si="4"/>
        <v>-0.28732612424881437</v>
      </c>
      <c r="H22">
        <v>-0.5</v>
      </c>
    </row>
    <row r="23" spans="1:8" x14ac:dyDescent="0.25">
      <c r="A23" s="56">
        <v>41112</v>
      </c>
      <c r="B23" s="29">
        <v>0.06</v>
      </c>
      <c r="C23" s="36">
        <f t="shared" si="0"/>
        <v>1.5239999999999998</v>
      </c>
      <c r="D23" s="47">
        <f t="shared" si="1"/>
        <v>6.7534117647058789</v>
      </c>
      <c r="E23" s="47">
        <f t="shared" si="2"/>
        <v>19.084278462467395</v>
      </c>
      <c r="F23" s="47">
        <f t="shared" si="3"/>
        <v>-5.2294117647058789</v>
      </c>
      <c r="G23" s="24">
        <f t="shared" si="4"/>
        <v>-0.27401673974682567</v>
      </c>
      <c r="H23">
        <v>-0.5</v>
      </c>
    </row>
    <row r="24" spans="1:8" x14ac:dyDescent="0.25">
      <c r="A24" s="56">
        <v>41143</v>
      </c>
      <c r="B24" s="29">
        <v>0.04</v>
      </c>
      <c r="C24" s="36">
        <f t="shared" si="0"/>
        <v>1.016</v>
      </c>
      <c r="D24" s="47">
        <f t="shared" si="1"/>
        <v>6.7534117647058789</v>
      </c>
      <c r="E24" s="47">
        <f t="shared" si="2"/>
        <v>19.084278462467395</v>
      </c>
      <c r="F24" s="47">
        <f t="shared" si="3"/>
        <v>-5.7374117647058789</v>
      </c>
      <c r="G24" s="24">
        <f t="shared" si="4"/>
        <v>-0.30063550875080303</v>
      </c>
      <c r="H24">
        <v>-0.5</v>
      </c>
    </row>
    <row r="25" spans="1:8" x14ac:dyDescent="0.25">
      <c r="A25" s="56">
        <v>41174</v>
      </c>
      <c r="B25" s="29">
        <v>0.25</v>
      </c>
      <c r="C25" s="36">
        <f t="shared" si="0"/>
        <v>6.35</v>
      </c>
      <c r="D25" s="47">
        <f t="shared" si="1"/>
        <v>6.7534117647058789</v>
      </c>
      <c r="E25" s="47">
        <f t="shared" si="2"/>
        <v>19.084278462467395</v>
      </c>
      <c r="F25" s="47">
        <f t="shared" si="3"/>
        <v>-0.40341176470587925</v>
      </c>
      <c r="G25" s="24">
        <f t="shared" si="4"/>
        <v>-2.1138434209040689E-2</v>
      </c>
      <c r="H25">
        <v>-0.5</v>
      </c>
    </row>
    <row r="26" spans="1:8" x14ac:dyDescent="0.25">
      <c r="A26" s="56">
        <v>41204</v>
      </c>
      <c r="B26" s="29">
        <v>0.36</v>
      </c>
      <c r="C26" s="36">
        <f t="shared" si="0"/>
        <v>9.1439999999999984</v>
      </c>
      <c r="D26" s="47">
        <f t="shared" si="1"/>
        <v>6.7534117647058789</v>
      </c>
      <c r="E26" s="47">
        <f t="shared" si="2"/>
        <v>19.084278462467395</v>
      </c>
      <c r="F26" s="47">
        <f t="shared" si="3"/>
        <v>2.3905882352941195</v>
      </c>
      <c r="G26" s="24">
        <f t="shared" si="4"/>
        <v>0.12526479531283477</v>
      </c>
      <c r="H26">
        <v>-0.5</v>
      </c>
    </row>
    <row r="27" spans="1:8" x14ac:dyDescent="0.25">
      <c r="A27" s="56">
        <v>41235</v>
      </c>
      <c r="B27" s="29">
        <v>0.34</v>
      </c>
      <c r="C27" s="36">
        <f t="shared" si="0"/>
        <v>8.636000000000001</v>
      </c>
      <c r="D27" s="47">
        <f t="shared" si="1"/>
        <v>6.7534117647058789</v>
      </c>
      <c r="E27" s="47">
        <f t="shared" si="2"/>
        <v>19.084278462467395</v>
      </c>
      <c r="F27" s="47">
        <f t="shared" si="3"/>
        <v>1.8825882352941221</v>
      </c>
      <c r="G27" s="24">
        <f t="shared" si="4"/>
        <v>9.8646026308857548E-2</v>
      </c>
      <c r="H27">
        <v>-0.5</v>
      </c>
    </row>
    <row r="28" spans="1:8" x14ac:dyDescent="0.25">
      <c r="A28" s="56">
        <v>41265</v>
      </c>
      <c r="B28" s="29">
        <v>0.34</v>
      </c>
      <c r="C28" s="36">
        <f t="shared" si="0"/>
        <v>8.636000000000001</v>
      </c>
      <c r="D28" s="47">
        <f t="shared" si="1"/>
        <v>6.7534117647058789</v>
      </c>
      <c r="E28" s="47">
        <f t="shared" si="2"/>
        <v>19.084278462467395</v>
      </c>
      <c r="F28" s="47">
        <f t="shared" si="3"/>
        <v>1.8825882352941221</v>
      </c>
      <c r="G28" s="24">
        <f t="shared" si="4"/>
        <v>9.8646026308857548E-2</v>
      </c>
      <c r="H28">
        <v>-0.5</v>
      </c>
    </row>
    <row r="29" spans="1:8" x14ac:dyDescent="0.25">
      <c r="A29" s="56">
        <v>41296</v>
      </c>
      <c r="B29" s="29">
        <v>1.49</v>
      </c>
      <c r="C29" s="36">
        <f t="shared" si="0"/>
        <v>37.845999999999997</v>
      </c>
      <c r="D29" s="47">
        <f t="shared" si="1"/>
        <v>6.7534117647058789</v>
      </c>
      <c r="E29" s="47">
        <f t="shared" si="2"/>
        <v>19.084278462467395</v>
      </c>
      <c r="F29" s="47">
        <f t="shared" si="3"/>
        <v>31.092588235294116</v>
      </c>
      <c r="G29" s="24">
        <f t="shared" si="4"/>
        <v>1.6292252440375561</v>
      </c>
      <c r="H29">
        <v>-0.5</v>
      </c>
    </row>
    <row r="30" spans="1:8" x14ac:dyDescent="0.25">
      <c r="A30" s="56">
        <v>41327</v>
      </c>
      <c r="B30" s="29">
        <v>0.32</v>
      </c>
      <c r="C30" s="36">
        <f t="shared" si="0"/>
        <v>8.1280000000000001</v>
      </c>
      <c r="D30" s="47">
        <f t="shared" si="1"/>
        <v>6.7534117647058789</v>
      </c>
      <c r="E30" s="47">
        <f t="shared" si="2"/>
        <v>19.084278462467395</v>
      </c>
      <c r="F30" s="47">
        <f t="shared" si="3"/>
        <v>1.3745882352941212</v>
      </c>
      <c r="G30" s="24">
        <f t="shared" si="4"/>
        <v>7.2027257304880132E-2</v>
      </c>
      <c r="H30">
        <v>-0.5</v>
      </c>
    </row>
    <row r="31" spans="1:8" x14ac:dyDescent="0.25">
      <c r="A31" s="56">
        <v>41355</v>
      </c>
      <c r="B31" s="29">
        <v>1.17</v>
      </c>
      <c r="C31" s="36">
        <f t="shared" si="0"/>
        <v>29.717999999999996</v>
      </c>
      <c r="D31" s="47">
        <f t="shared" si="1"/>
        <v>6.7534117647058789</v>
      </c>
      <c r="E31" s="47">
        <f t="shared" si="2"/>
        <v>19.084278462467395</v>
      </c>
      <c r="F31" s="47">
        <f t="shared" si="3"/>
        <v>22.964588235294116</v>
      </c>
      <c r="G31" s="24">
        <f t="shared" si="4"/>
        <v>1.2033249399739181</v>
      </c>
      <c r="H31">
        <v>-0.5</v>
      </c>
    </row>
    <row r="32" spans="1:8" x14ac:dyDescent="0.25">
      <c r="A32" s="56">
        <v>41386</v>
      </c>
      <c r="B32" s="29">
        <v>0.67</v>
      </c>
      <c r="C32" s="36">
        <f t="shared" si="0"/>
        <v>17.018000000000001</v>
      </c>
      <c r="D32" s="47">
        <f t="shared" si="1"/>
        <v>6.7534117647058789</v>
      </c>
      <c r="E32" s="47">
        <f t="shared" si="2"/>
        <v>19.084278462467395</v>
      </c>
      <c r="F32" s="47">
        <f t="shared" si="3"/>
        <v>10.264588235294122</v>
      </c>
      <c r="G32" s="24">
        <f t="shared" si="4"/>
        <v>0.53785571487448414</v>
      </c>
      <c r="H32">
        <v>-0.5</v>
      </c>
    </row>
    <row r="33" spans="1:8" x14ac:dyDescent="0.25">
      <c r="A33" s="56">
        <v>41416</v>
      </c>
      <c r="B33" s="29">
        <v>0.25</v>
      </c>
      <c r="C33" s="36">
        <f t="shared" si="0"/>
        <v>6.35</v>
      </c>
      <c r="D33" s="47">
        <f t="shared" si="1"/>
        <v>6.7534117647058789</v>
      </c>
      <c r="E33" s="47">
        <f t="shared" si="2"/>
        <v>19.084278462467395</v>
      </c>
      <c r="F33" s="47">
        <f t="shared" si="3"/>
        <v>-0.40341176470587925</v>
      </c>
      <c r="G33" s="24">
        <f t="shared" si="4"/>
        <v>-2.1138434209040689E-2</v>
      </c>
      <c r="H33">
        <v>-0.5</v>
      </c>
    </row>
    <row r="34" spans="1:8" x14ac:dyDescent="0.25">
      <c r="A34" s="56">
        <v>41447</v>
      </c>
      <c r="B34" s="29">
        <v>0.09</v>
      </c>
      <c r="C34" s="36">
        <f t="shared" si="0"/>
        <v>2.2859999999999996</v>
      </c>
      <c r="D34" s="47">
        <f t="shared" si="1"/>
        <v>6.7534117647058789</v>
      </c>
      <c r="E34" s="47">
        <f t="shared" si="2"/>
        <v>19.084278462467395</v>
      </c>
      <c r="F34" s="47">
        <f t="shared" si="3"/>
        <v>-4.4674117647058793</v>
      </c>
      <c r="G34" s="24">
        <f t="shared" si="4"/>
        <v>-0.23408858624085965</v>
      </c>
      <c r="H34">
        <v>-0.5</v>
      </c>
    </row>
    <row r="35" spans="1:8" x14ac:dyDescent="0.25">
      <c r="A35" s="56">
        <v>41477</v>
      </c>
      <c r="B35" s="29">
        <v>0.12</v>
      </c>
      <c r="C35" s="36">
        <f t="shared" si="0"/>
        <v>3.0479999999999996</v>
      </c>
      <c r="D35" s="47">
        <f t="shared" si="1"/>
        <v>6.7534117647058789</v>
      </c>
      <c r="E35" s="47">
        <f t="shared" si="2"/>
        <v>19.084278462467395</v>
      </c>
      <c r="F35" s="47">
        <f t="shared" si="3"/>
        <v>-3.7054117647058793</v>
      </c>
      <c r="G35" s="24">
        <f t="shared" si="4"/>
        <v>-0.19416043273489358</v>
      </c>
      <c r="H35">
        <v>-0.5</v>
      </c>
    </row>
    <row r="36" spans="1:8" x14ac:dyDescent="0.25">
      <c r="A36" s="56">
        <v>41508</v>
      </c>
      <c r="B36" s="29">
        <v>7.0000000000000007E-2</v>
      </c>
      <c r="C36" s="36">
        <f t="shared" si="0"/>
        <v>1.778</v>
      </c>
      <c r="D36" s="47">
        <f t="shared" si="1"/>
        <v>6.7534117647058789</v>
      </c>
      <c r="E36" s="47">
        <f t="shared" si="2"/>
        <v>19.084278462467395</v>
      </c>
      <c r="F36" s="47">
        <f t="shared" si="3"/>
        <v>-4.9754117647058784</v>
      </c>
      <c r="G36" s="24">
        <f t="shared" si="4"/>
        <v>-0.26070735524483696</v>
      </c>
      <c r="H36">
        <v>-0.5</v>
      </c>
    </row>
    <row r="37" spans="1:8" x14ac:dyDescent="0.25">
      <c r="A37" s="56">
        <v>41539</v>
      </c>
      <c r="B37" s="29">
        <v>7.0000000000000007E-2</v>
      </c>
      <c r="C37" s="36">
        <f t="shared" ref="C37:C68" si="5">$D$1*B37</f>
        <v>1.778</v>
      </c>
      <c r="D37" s="47">
        <f t="shared" si="1"/>
        <v>6.7534117647058789</v>
      </c>
      <c r="E37" s="47">
        <f t="shared" si="2"/>
        <v>19.084278462467395</v>
      </c>
      <c r="F37" s="47">
        <f t="shared" si="3"/>
        <v>-4.9754117647058784</v>
      </c>
      <c r="G37" s="24">
        <f t="shared" si="4"/>
        <v>-0.26070735524483696</v>
      </c>
      <c r="H37">
        <v>-0.5</v>
      </c>
    </row>
    <row r="38" spans="1:8" x14ac:dyDescent="0.25">
      <c r="A38" s="56">
        <v>41569</v>
      </c>
      <c r="B38" s="29">
        <v>0.14000000000000001</v>
      </c>
      <c r="C38" s="36">
        <f t="shared" si="5"/>
        <v>3.556</v>
      </c>
      <c r="D38" s="47">
        <f t="shared" si="1"/>
        <v>6.7534117647058789</v>
      </c>
      <c r="E38" s="47">
        <f t="shared" si="2"/>
        <v>19.084278462467395</v>
      </c>
      <c r="F38" s="47">
        <f t="shared" si="3"/>
        <v>-3.1974117647058788</v>
      </c>
      <c r="G38" s="24">
        <f t="shared" si="4"/>
        <v>-0.1675416637309162</v>
      </c>
      <c r="H38">
        <v>-0.5</v>
      </c>
    </row>
    <row r="39" spans="1:8" x14ac:dyDescent="0.25">
      <c r="A39" s="56">
        <v>41600</v>
      </c>
      <c r="B39" s="29">
        <v>0.12</v>
      </c>
      <c r="C39" s="36">
        <f t="shared" si="5"/>
        <v>3.0479999999999996</v>
      </c>
      <c r="D39" s="47">
        <f t="shared" si="1"/>
        <v>6.7534117647058789</v>
      </c>
      <c r="E39" s="47">
        <f t="shared" si="2"/>
        <v>19.084278462467395</v>
      </c>
      <c r="F39" s="47">
        <f t="shared" si="3"/>
        <v>-3.7054117647058793</v>
      </c>
      <c r="G39" s="24">
        <f t="shared" si="4"/>
        <v>-0.19416043273489358</v>
      </c>
      <c r="H39">
        <v>-0.5</v>
      </c>
    </row>
    <row r="40" spans="1:8" x14ac:dyDescent="0.25">
      <c r="A40" s="56">
        <v>41630</v>
      </c>
      <c r="B40" s="29">
        <v>1.39</v>
      </c>
      <c r="C40" s="36">
        <f t="shared" si="5"/>
        <v>35.305999999999997</v>
      </c>
      <c r="D40" s="47">
        <f t="shared" si="1"/>
        <v>6.7534117647058789</v>
      </c>
      <c r="E40" s="47">
        <f t="shared" si="2"/>
        <v>19.084278462467395</v>
      </c>
      <c r="F40" s="47">
        <f t="shared" si="3"/>
        <v>28.552588235294117</v>
      </c>
      <c r="G40" s="24">
        <f t="shared" si="4"/>
        <v>1.4961313990176692</v>
      </c>
      <c r="H40">
        <v>-0.5</v>
      </c>
    </row>
    <row r="41" spans="1:8" x14ac:dyDescent="0.25">
      <c r="A41" s="56">
        <v>41661</v>
      </c>
      <c r="B41" s="29">
        <v>0.56000000000000005</v>
      </c>
      <c r="C41" s="36">
        <f t="shared" si="5"/>
        <v>14.224</v>
      </c>
      <c r="D41" s="47">
        <f t="shared" si="1"/>
        <v>6.7534117647058789</v>
      </c>
      <c r="E41" s="47">
        <f t="shared" si="2"/>
        <v>19.084278462467395</v>
      </c>
      <c r="F41" s="47">
        <f t="shared" si="3"/>
        <v>7.4705882352941213</v>
      </c>
      <c r="G41" s="24">
        <f t="shared" si="4"/>
        <v>0.39145248535260857</v>
      </c>
      <c r="H41">
        <v>-0.5</v>
      </c>
    </row>
    <row r="42" spans="1:8" x14ac:dyDescent="0.25">
      <c r="A42" s="56">
        <v>41692</v>
      </c>
      <c r="B42" s="29">
        <v>0.06</v>
      </c>
      <c r="C42" s="36">
        <f t="shared" si="5"/>
        <v>1.5239999999999998</v>
      </c>
      <c r="D42" s="47">
        <f t="shared" si="1"/>
        <v>6.7534117647058789</v>
      </c>
      <c r="E42" s="47">
        <f t="shared" si="2"/>
        <v>19.084278462467395</v>
      </c>
      <c r="F42" s="47">
        <f t="shared" si="3"/>
        <v>-5.2294117647058789</v>
      </c>
      <c r="G42" s="24">
        <f t="shared" si="4"/>
        <v>-0.27401673974682567</v>
      </c>
      <c r="H42">
        <v>-0.5</v>
      </c>
    </row>
    <row r="43" spans="1:8" x14ac:dyDescent="0.25">
      <c r="A43" s="56">
        <v>41720</v>
      </c>
      <c r="B43" s="29">
        <v>0.9</v>
      </c>
      <c r="C43" s="36">
        <f t="shared" si="5"/>
        <v>22.86</v>
      </c>
      <c r="D43" s="47">
        <f t="shared" si="1"/>
        <v>6.7534117647058789</v>
      </c>
      <c r="E43" s="47">
        <f t="shared" si="2"/>
        <v>19.084278462467395</v>
      </c>
      <c r="F43" s="47">
        <f t="shared" si="3"/>
        <v>16.106588235294119</v>
      </c>
      <c r="G43" s="24">
        <f t="shared" si="4"/>
        <v>0.84397155842022376</v>
      </c>
      <c r="H43">
        <v>-0.5</v>
      </c>
    </row>
    <row r="44" spans="1:8" x14ac:dyDescent="0.25">
      <c r="A44" s="56">
        <v>41751</v>
      </c>
      <c r="B44" s="29">
        <v>0.09</v>
      </c>
      <c r="C44" s="36">
        <f t="shared" si="5"/>
        <v>2.2859999999999996</v>
      </c>
      <c r="D44" s="47">
        <f t="shared" si="1"/>
        <v>6.7534117647058789</v>
      </c>
      <c r="E44" s="47">
        <f t="shared" si="2"/>
        <v>19.084278462467395</v>
      </c>
      <c r="F44" s="47">
        <f t="shared" si="3"/>
        <v>-4.4674117647058793</v>
      </c>
      <c r="G44" s="24">
        <f t="shared" si="4"/>
        <v>-0.23408858624085965</v>
      </c>
      <c r="H44">
        <v>-0.5</v>
      </c>
    </row>
    <row r="45" spans="1:8" x14ac:dyDescent="0.25">
      <c r="A45" s="56">
        <v>41781</v>
      </c>
      <c r="B45" s="29">
        <v>0.14000000000000001</v>
      </c>
      <c r="C45" s="36">
        <f t="shared" si="5"/>
        <v>3.556</v>
      </c>
      <c r="D45" s="47">
        <f t="shared" si="1"/>
        <v>6.7534117647058789</v>
      </c>
      <c r="E45" s="47">
        <f t="shared" si="2"/>
        <v>19.084278462467395</v>
      </c>
      <c r="F45" s="47">
        <f t="shared" si="3"/>
        <v>-3.1974117647058788</v>
      </c>
      <c r="G45" s="24">
        <f t="shared" si="4"/>
        <v>-0.1675416637309162</v>
      </c>
      <c r="H45">
        <v>-0.5</v>
      </c>
    </row>
    <row r="46" spans="1:8" x14ac:dyDescent="0.25">
      <c r="A46" s="56">
        <v>41812</v>
      </c>
      <c r="B46" s="29">
        <v>0.05</v>
      </c>
      <c r="C46" s="36">
        <f t="shared" si="5"/>
        <v>1.27</v>
      </c>
      <c r="D46" s="47">
        <f t="shared" si="1"/>
        <v>6.7534117647058789</v>
      </c>
      <c r="E46" s="47">
        <f t="shared" si="2"/>
        <v>19.084278462467395</v>
      </c>
      <c r="F46" s="47">
        <f t="shared" si="3"/>
        <v>-5.4834117647058793</v>
      </c>
      <c r="G46" s="24">
        <f t="shared" si="4"/>
        <v>-0.28732612424881437</v>
      </c>
      <c r="H46">
        <v>-0.5</v>
      </c>
    </row>
    <row r="47" spans="1:8" x14ac:dyDescent="0.25">
      <c r="A47" s="56">
        <v>41842</v>
      </c>
      <c r="B47" s="29">
        <v>7.0000000000000007E-2</v>
      </c>
      <c r="C47" s="36">
        <f t="shared" si="5"/>
        <v>1.778</v>
      </c>
      <c r="D47" s="47">
        <f t="shared" si="1"/>
        <v>6.7534117647058789</v>
      </c>
      <c r="E47" s="47">
        <f t="shared" si="2"/>
        <v>19.084278462467395</v>
      </c>
      <c r="F47" s="47">
        <f t="shared" si="3"/>
        <v>-4.9754117647058784</v>
      </c>
      <c r="G47" s="24">
        <f t="shared" si="4"/>
        <v>-0.26070735524483696</v>
      </c>
      <c r="H47">
        <v>-0.5</v>
      </c>
    </row>
    <row r="48" spans="1:8" x14ac:dyDescent="0.25">
      <c r="A48" s="56">
        <v>41873</v>
      </c>
      <c r="B48" s="29">
        <v>0.04</v>
      </c>
      <c r="C48" s="36">
        <f t="shared" si="5"/>
        <v>1.016</v>
      </c>
      <c r="D48" s="47">
        <f t="shared" si="1"/>
        <v>6.7534117647058789</v>
      </c>
      <c r="E48" s="47">
        <f t="shared" si="2"/>
        <v>19.084278462467395</v>
      </c>
      <c r="F48" s="47">
        <f t="shared" si="3"/>
        <v>-5.7374117647058789</v>
      </c>
      <c r="G48" s="24">
        <f t="shared" si="4"/>
        <v>-0.30063550875080303</v>
      </c>
      <c r="H48">
        <v>-0.5</v>
      </c>
    </row>
    <row r="49" spans="1:8" x14ac:dyDescent="0.25">
      <c r="A49" s="56">
        <v>41904</v>
      </c>
      <c r="B49" s="29">
        <v>0.05</v>
      </c>
      <c r="C49" s="36">
        <f t="shared" si="5"/>
        <v>1.27</v>
      </c>
      <c r="D49" s="47">
        <f t="shared" si="1"/>
        <v>6.7534117647058789</v>
      </c>
      <c r="E49" s="47">
        <f t="shared" si="2"/>
        <v>19.084278462467395</v>
      </c>
      <c r="F49" s="47">
        <f t="shared" si="3"/>
        <v>-5.4834117647058793</v>
      </c>
      <c r="G49" s="24">
        <f t="shared" si="4"/>
        <v>-0.28732612424881437</v>
      </c>
      <c r="H49">
        <v>-0.5</v>
      </c>
    </row>
    <row r="50" spans="1:8" x14ac:dyDescent="0.25">
      <c r="A50" s="56">
        <v>41934</v>
      </c>
      <c r="B50" s="29">
        <v>0.05</v>
      </c>
      <c r="C50" s="36">
        <f t="shared" si="5"/>
        <v>1.27</v>
      </c>
      <c r="D50" s="47">
        <f t="shared" si="1"/>
        <v>6.7534117647058789</v>
      </c>
      <c r="E50" s="47">
        <f t="shared" si="2"/>
        <v>19.084278462467395</v>
      </c>
      <c r="F50" s="47">
        <f t="shared" si="3"/>
        <v>-5.4834117647058793</v>
      </c>
      <c r="G50" s="24">
        <f t="shared" si="4"/>
        <v>-0.28732612424881437</v>
      </c>
      <c r="H50">
        <v>-0.5</v>
      </c>
    </row>
    <row r="51" spans="1:8" x14ac:dyDescent="0.25">
      <c r="A51" s="56">
        <v>41965</v>
      </c>
      <c r="B51" s="29">
        <v>0.13</v>
      </c>
      <c r="C51" s="36">
        <f t="shared" si="5"/>
        <v>3.302</v>
      </c>
      <c r="D51" s="47">
        <f t="shared" si="1"/>
        <v>6.7534117647058789</v>
      </c>
      <c r="E51" s="47">
        <f t="shared" si="2"/>
        <v>19.084278462467395</v>
      </c>
      <c r="F51" s="47">
        <f t="shared" si="3"/>
        <v>-3.4514117647058788</v>
      </c>
      <c r="G51" s="24">
        <f t="shared" si="4"/>
        <v>-0.18085104823290488</v>
      </c>
      <c r="H51">
        <v>-0.5</v>
      </c>
    </row>
    <row r="52" spans="1:8" x14ac:dyDescent="0.25">
      <c r="A52" s="56">
        <v>41995</v>
      </c>
      <c r="B52" s="29">
        <v>0.97</v>
      </c>
      <c r="C52" s="36">
        <f t="shared" si="5"/>
        <v>24.637999999999998</v>
      </c>
      <c r="D52" s="47">
        <f t="shared" si="1"/>
        <v>6.7534117647058789</v>
      </c>
      <c r="E52" s="47">
        <f t="shared" si="2"/>
        <v>19.084278462467395</v>
      </c>
      <c r="F52" s="47">
        <f t="shared" si="3"/>
        <v>17.884588235294117</v>
      </c>
      <c r="G52" s="24">
        <f t="shared" si="4"/>
        <v>0.93713724993414449</v>
      </c>
      <c r="H52">
        <v>-0.5</v>
      </c>
    </row>
    <row r="53" spans="1:8" x14ac:dyDescent="0.25">
      <c r="A53" s="56">
        <v>42026</v>
      </c>
      <c r="B53" s="29">
        <v>-0.02</v>
      </c>
      <c r="C53" s="36">
        <f t="shared" si="5"/>
        <v>-0.50800000000000001</v>
      </c>
      <c r="D53" s="47">
        <f t="shared" si="1"/>
        <v>6.7534117647058789</v>
      </c>
      <c r="E53" s="47">
        <f t="shared" si="2"/>
        <v>19.084278462467395</v>
      </c>
      <c r="F53" s="47">
        <f t="shared" si="3"/>
        <v>-7.2614117647058789</v>
      </c>
      <c r="G53" s="24">
        <f t="shared" si="4"/>
        <v>-0.38049181576273516</v>
      </c>
      <c r="H53">
        <v>-0.5</v>
      </c>
    </row>
    <row r="54" spans="1:8" x14ac:dyDescent="0.25">
      <c r="A54" s="56">
        <v>42057</v>
      </c>
      <c r="B54" s="29">
        <v>0.01</v>
      </c>
      <c r="C54" s="36">
        <f t="shared" si="5"/>
        <v>0.254</v>
      </c>
      <c r="D54" s="47">
        <f t="shared" si="1"/>
        <v>6.7534117647058789</v>
      </c>
      <c r="E54" s="47">
        <f t="shared" si="2"/>
        <v>19.084278462467395</v>
      </c>
      <c r="F54" s="47">
        <f t="shared" si="3"/>
        <v>-6.4994117647058793</v>
      </c>
      <c r="G54" s="24">
        <f t="shared" si="4"/>
        <v>-0.34056366225676915</v>
      </c>
      <c r="H54">
        <v>-0.5</v>
      </c>
    </row>
    <row r="55" spans="1:8" x14ac:dyDescent="0.25">
      <c r="A55" s="56">
        <v>42085</v>
      </c>
      <c r="B55" s="29">
        <v>0.08</v>
      </c>
      <c r="C55" s="36">
        <f t="shared" si="5"/>
        <v>2.032</v>
      </c>
      <c r="D55" s="47">
        <f t="shared" si="1"/>
        <v>6.7534117647058789</v>
      </c>
      <c r="E55" s="47">
        <f t="shared" si="2"/>
        <v>19.084278462467395</v>
      </c>
      <c r="F55" s="47">
        <f t="shared" si="3"/>
        <v>-4.7214117647058789</v>
      </c>
      <c r="G55" s="24">
        <f t="shared" si="4"/>
        <v>-0.24739797074284831</v>
      </c>
      <c r="H55">
        <v>-0.5</v>
      </c>
    </row>
    <row r="56" spans="1:8" x14ac:dyDescent="0.25">
      <c r="A56" s="56">
        <v>42116</v>
      </c>
      <c r="B56" s="29">
        <v>0.06</v>
      </c>
      <c r="C56" s="36">
        <f t="shared" si="5"/>
        <v>1.5239999999999998</v>
      </c>
      <c r="D56" s="47">
        <f t="shared" si="1"/>
        <v>6.7534117647058789</v>
      </c>
      <c r="E56" s="47">
        <f t="shared" si="2"/>
        <v>19.084278462467395</v>
      </c>
      <c r="F56" s="47">
        <f t="shared" si="3"/>
        <v>-5.2294117647058789</v>
      </c>
      <c r="G56" s="24">
        <f t="shared" si="4"/>
        <v>-0.27401673974682567</v>
      </c>
      <c r="H56">
        <v>-0.5</v>
      </c>
    </row>
    <row r="57" spans="1:8" x14ac:dyDescent="0.25">
      <c r="A57" s="56">
        <v>42146</v>
      </c>
      <c r="B57" s="29">
        <v>0.03</v>
      </c>
      <c r="C57" s="36">
        <f t="shared" si="5"/>
        <v>0.7619999999999999</v>
      </c>
      <c r="D57" s="47">
        <f t="shared" si="1"/>
        <v>6.7534117647058789</v>
      </c>
      <c r="E57" s="47">
        <f t="shared" si="2"/>
        <v>19.084278462467395</v>
      </c>
      <c r="F57" s="47">
        <f t="shared" si="3"/>
        <v>-5.9914117647058793</v>
      </c>
      <c r="G57" s="24">
        <f t="shared" si="4"/>
        <v>-0.31394489325279173</v>
      </c>
      <c r="H57">
        <v>-0.5</v>
      </c>
    </row>
    <row r="58" spans="1:8" x14ac:dyDescent="0.25">
      <c r="A58" s="56">
        <v>42177</v>
      </c>
      <c r="B58" s="29">
        <v>0.04</v>
      </c>
      <c r="C58" s="36">
        <f t="shared" si="5"/>
        <v>1.016</v>
      </c>
      <c r="D58" s="47">
        <f t="shared" si="1"/>
        <v>6.7534117647058789</v>
      </c>
      <c r="E58" s="47">
        <f t="shared" si="2"/>
        <v>19.084278462467395</v>
      </c>
      <c r="F58" s="47">
        <f t="shared" si="3"/>
        <v>-5.7374117647058789</v>
      </c>
      <c r="G58" s="24">
        <f t="shared" si="4"/>
        <v>-0.30063550875080303</v>
      </c>
      <c r="H58">
        <v>-0.5</v>
      </c>
    </row>
    <row r="59" spans="1:8" x14ac:dyDescent="0.25">
      <c r="A59" s="56">
        <v>42207</v>
      </c>
      <c r="B59" s="29">
        <v>0.03</v>
      </c>
      <c r="C59" s="36">
        <f t="shared" si="5"/>
        <v>0.7619999999999999</v>
      </c>
      <c r="D59" s="47">
        <f t="shared" si="1"/>
        <v>6.7534117647058789</v>
      </c>
      <c r="E59" s="47">
        <f t="shared" si="2"/>
        <v>19.084278462467395</v>
      </c>
      <c r="F59" s="47">
        <f t="shared" si="3"/>
        <v>-5.9914117647058793</v>
      </c>
      <c r="G59" s="24">
        <f t="shared" si="4"/>
        <v>-0.31394489325279173</v>
      </c>
      <c r="H59">
        <v>-0.5</v>
      </c>
    </row>
    <row r="60" spans="1:8" x14ac:dyDescent="0.25">
      <c r="A60" s="56">
        <v>42238</v>
      </c>
      <c r="B60" s="29">
        <v>0.02</v>
      </c>
      <c r="C60" s="36">
        <f t="shared" si="5"/>
        <v>0.50800000000000001</v>
      </c>
      <c r="D60" s="47">
        <f t="shared" si="1"/>
        <v>6.7534117647058789</v>
      </c>
      <c r="E60" s="47">
        <f t="shared" si="2"/>
        <v>19.084278462467395</v>
      </c>
      <c r="F60" s="47">
        <f t="shared" si="3"/>
        <v>-6.2454117647058789</v>
      </c>
      <c r="G60" s="24">
        <f t="shared" si="4"/>
        <v>-0.32725427775478044</v>
      </c>
      <c r="H60">
        <v>-0.5</v>
      </c>
    </row>
    <row r="61" spans="1:8" x14ac:dyDescent="0.25">
      <c r="A61" s="56">
        <v>42269</v>
      </c>
      <c r="B61" s="29">
        <v>0.02</v>
      </c>
      <c r="C61" s="36">
        <f t="shared" si="5"/>
        <v>0.50800000000000001</v>
      </c>
      <c r="D61" s="47">
        <f t="shared" si="1"/>
        <v>6.7534117647058789</v>
      </c>
      <c r="E61" s="47">
        <f t="shared" si="2"/>
        <v>19.084278462467395</v>
      </c>
      <c r="F61" s="47">
        <f t="shared" si="3"/>
        <v>-6.2454117647058789</v>
      </c>
      <c r="G61" s="24">
        <f t="shared" si="4"/>
        <v>-0.32725427775478044</v>
      </c>
      <c r="H61">
        <v>-0.5</v>
      </c>
    </row>
    <row r="62" spans="1:8" x14ac:dyDescent="0.25">
      <c r="A62" s="56">
        <v>42299</v>
      </c>
      <c r="B62" s="29">
        <v>0.02</v>
      </c>
      <c r="C62" s="36">
        <f t="shared" si="5"/>
        <v>0.50800000000000001</v>
      </c>
      <c r="D62" s="47">
        <f t="shared" si="1"/>
        <v>6.7534117647058789</v>
      </c>
      <c r="E62" s="47">
        <f t="shared" si="2"/>
        <v>19.084278462467395</v>
      </c>
      <c r="F62" s="47">
        <f t="shared" si="3"/>
        <v>-6.2454117647058789</v>
      </c>
      <c r="G62" s="24">
        <f t="shared" si="4"/>
        <v>-0.32725427775478044</v>
      </c>
      <c r="H62">
        <v>-0.5</v>
      </c>
    </row>
    <row r="63" spans="1:8" x14ac:dyDescent="0.25">
      <c r="A63" s="56">
        <v>42330</v>
      </c>
      <c r="B63" s="29">
        <v>0</v>
      </c>
      <c r="C63" s="36">
        <f t="shared" si="5"/>
        <v>0</v>
      </c>
      <c r="D63" s="47">
        <f t="shared" si="1"/>
        <v>6.7534117647058789</v>
      </c>
      <c r="E63" s="47">
        <f t="shared" si="2"/>
        <v>19.084278462467395</v>
      </c>
      <c r="F63" s="47">
        <f t="shared" si="3"/>
        <v>-6.7534117647058789</v>
      </c>
      <c r="G63" s="24">
        <f t="shared" si="4"/>
        <v>-0.3538730467587578</v>
      </c>
      <c r="H63">
        <v>-0.5</v>
      </c>
    </row>
    <row r="64" spans="1:8" x14ac:dyDescent="0.25">
      <c r="A64" s="56">
        <v>42360</v>
      </c>
      <c r="B64" s="29">
        <v>0.03</v>
      </c>
      <c r="C64" s="36">
        <f t="shared" si="5"/>
        <v>0.7619999999999999</v>
      </c>
      <c r="D64" s="47">
        <f t="shared" si="1"/>
        <v>6.7534117647058789</v>
      </c>
      <c r="E64" s="47">
        <f t="shared" si="2"/>
        <v>19.084278462467395</v>
      </c>
      <c r="F64" s="47">
        <f t="shared" si="3"/>
        <v>-5.9914117647058793</v>
      </c>
      <c r="G64" s="24">
        <f t="shared" si="4"/>
        <v>-0.31394489325279173</v>
      </c>
      <c r="H64">
        <v>-0.5</v>
      </c>
    </row>
    <row r="65" spans="1:8" x14ac:dyDescent="0.25">
      <c r="A65" s="56">
        <v>42391</v>
      </c>
      <c r="B65" s="29">
        <v>0.11</v>
      </c>
      <c r="C65" s="36">
        <f t="shared" si="5"/>
        <v>2.794</v>
      </c>
      <c r="D65" s="47">
        <f t="shared" si="1"/>
        <v>6.7534117647058789</v>
      </c>
      <c r="E65" s="47">
        <f t="shared" si="2"/>
        <v>19.084278462467395</v>
      </c>
      <c r="F65" s="47">
        <f t="shared" si="3"/>
        <v>-3.9594117647058789</v>
      </c>
      <c r="G65" s="24">
        <f t="shared" si="4"/>
        <v>-0.20746981723688226</v>
      </c>
      <c r="H65">
        <v>-0.5</v>
      </c>
    </row>
    <row r="66" spans="1:8" x14ac:dyDescent="0.25">
      <c r="A66" s="56">
        <v>42422</v>
      </c>
      <c r="B66" s="29">
        <v>0.04</v>
      </c>
      <c r="C66" s="36">
        <f t="shared" si="5"/>
        <v>1.016</v>
      </c>
      <c r="D66" s="47">
        <f t="shared" si="1"/>
        <v>6.7534117647058789</v>
      </c>
      <c r="E66" s="47">
        <f t="shared" si="2"/>
        <v>19.084278462467395</v>
      </c>
      <c r="F66" s="47">
        <f t="shared" si="3"/>
        <v>-5.7374117647058789</v>
      </c>
      <c r="G66" s="24">
        <f t="shared" si="4"/>
        <v>-0.30063550875080303</v>
      </c>
      <c r="H66">
        <v>-0.5</v>
      </c>
    </row>
    <row r="67" spans="1:8" x14ac:dyDescent="0.25">
      <c r="A67" s="56">
        <v>42451</v>
      </c>
      <c r="B67" s="29">
        <v>0.16</v>
      </c>
      <c r="C67" s="36">
        <f t="shared" si="5"/>
        <v>4.0640000000000001</v>
      </c>
      <c r="D67" s="47">
        <f t="shared" si="1"/>
        <v>6.7534117647058789</v>
      </c>
      <c r="E67" s="47">
        <f t="shared" si="2"/>
        <v>19.084278462467395</v>
      </c>
      <c r="F67" s="47">
        <f t="shared" si="3"/>
        <v>-2.6894117647058788</v>
      </c>
      <c r="G67" s="24">
        <f t="shared" si="4"/>
        <v>-0.14092289472693884</v>
      </c>
      <c r="H67">
        <v>-0.5</v>
      </c>
    </row>
    <row r="68" spans="1:8" x14ac:dyDescent="0.25">
      <c r="A68" s="56">
        <v>42482</v>
      </c>
      <c r="B68" s="29">
        <v>0.03</v>
      </c>
      <c r="C68" s="36">
        <f t="shared" si="5"/>
        <v>0.7619999999999999</v>
      </c>
      <c r="D68" s="47">
        <f t="shared" si="1"/>
        <v>6.7534117647058789</v>
      </c>
      <c r="E68" s="47">
        <f t="shared" si="2"/>
        <v>19.084278462467395</v>
      </c>
      <c r="F68" s="47">
        <f t="shared" si="3"/>
        <v>-5.9914117647058793</v>
      </c>
      <c r="G68" s="24">
        <f t="shared" si="4"/>
        <v>-0.31394489325279173</v>
      </c>
      <c r="H68">
        <v>-0.5</v>
      </c>
    </row>
    <row r="69" spans="1:8" x14ac:dyDescent="0.25">
      <c r="A69" s="56">
        <v>42512</v>
      </c>
      <c r="B69" s="29">
        <v>0.05</v>
      </c>
      <c r="C69" s="36">
        <f t="shared" ref="C69:C100" si="6">$D$1*B69</f>
        <v>1.27</v>
      </c>
      <c r="D69" s="47">
        <f t="shared" si="1"/>
        <v>6.7534117647058789</v>
      </c>
      <c r="E69" s="47">
        <f t="shared" si="2"/>
        <v>19.084278462467395</v>
      </c>
      <c r="F69" s="47">
        <f t="shared" si="3"/>
        <v>-5.4834117647058793</v>
      </c>
      <c r="G69" s="24">
        <f t="shared" si="4"/>
        <v>-0.28732612424881437</v>
      </c>
      <c r="H69">
        <v>-0.5</v>
      </c>
    </row>
    <row r="70" spans="1:8" x14ac:dyDescent="0.25">
      <c r="A70" s="56">
        <v>42543</v>
      </c>
      <c r="B70" s="29">
        <v>0.02</v>
      </c>
      <c r="C70" s="36">
        <f t="shared" si="6"/>
        <v>0.50800000000000001</v>
      </c>
      <c r="D70" s="47">
        <f t="shared" ref="D70:D133" si="7">AVERAGE($C$5:$C$174)</f>
        <v>6.7534117647058789</v>
      </c>
      <c r="E70" s="47">
        <f t="shared" ref="E70:E133" si="8">_xlfn.STDEV.S($C$5:$C$174)</f>
        <v>19.084278462467395</v>
      </c>
      <c r="F70" s="47">
        <f t="shared" ref="F70:F133" si="9">C70-D70</f>
        <v>-6.2454117647058789</v>
      </c>
      <c r="G70" s="24">
        <f t="shared" ref="G70:G133" si="10">F70/E70</f>
        <v>-0.32725427775478044</v>
      </c>
      <c r="H70">
        <v>-0.5</v>
      </c>
    </row>
    <row r="71" spans="1:8" x14ac:dyDescent="0.25">
      <c r="A71" s="56">
        <v>42573</v>
      </c>
      <c r="B71" s="29">
        <v>0.02</v>
      </c>
      <c r="C71" s="36">
        <f t="shared" si="6"/>
        <v>0.50800000000000001</v>
      </c>
      <c r="D71" s="47">
        <f t="shared" si="7"/>
        <v>6.7534117647058789</v>
      </c>
      <c r="E71" s="47">
        <f t="shared" si="8"/>
        <v>19.084278462467395</v>
      </c>
      <c r="F71" s="47">
        <f t="shared" si="9"/>
        <v>-6.2454117647058789</v>
      </c>
      <c r="G71" s="24">
        <f t="shared" si="10"/>
        <v>-0.32725427775478044</v>
      </c>
      <c r="H71">
        <v>-0.5</v>
      </c>
    </row>
    <row r="72" spans="1:8" x14ac:dyDescent="0.25">
      <c r="A72" s="56">
        <v>42604</v>
      </c>
      <c r="B72" s="29">
        <v>0.01</v>
      </c>
      <c r="C72" s="36">
        <f t="shared" si="6"/>
        <v>0.254</v>
      </c>
      <c r="D72" s="47">
        <f t="shared" si="7"/>
        <v>6.7534117647058789</v>
      </c>
      <c r="E72" s="47">
        <f t="shared" si="8"/>
        <v>19.084278462467395</v>
      </c>
      <c r="F72" s="47">
        <f t="shared" si="9"/>
        <v>-6.4994117647058793</v>
      </c>
      <c r="G72" s="24">
        <f t="shared" si="10"/>
        <v>-0.34056366225676915</v>
      </c>
      <c r="H72">
        <v>-0.5</v>
      </c>
    </row>
    <row r="73" spans="1:8" x14ac:dyDescent="0.25">
      <c r="A73" s="56">
        <v>42635</v>
      </c>
      <c r="B73" s="29">
        <v>0.01</v>
      </c>
      <c r="C73" s="36">
        <f t="shared" si="6"/>
        <v>0.254</v>
      </c>
      <c r="D73" s="47">
        <f t="shared" si="7"/>
        <v>6.7534117647058789</v>
      </c>
      <c r="E73" s="47">
        <f t="shared" si="8"/>
        <v>19.084278462467395</v>
      </c>
      <c r="F73" s="47">
        <f t="shared" si="9"/>
        <v>-6.4994117647058793</v>
      </c>
      <c r="G73" s="24">
        <f t="shared" si="10"/>
        <v>-0.34056366225676915</v>
      </c>
      <c r="H73">
        <v>-0.5</v>
      </c>
    </row>
    <row r="74" spans="1:8" x14ac:dyDescent="0.25">
      <c r="A74" s="56">
        <v>42665</v>
      </c>
      <c r="B74" s="29">
        <v>0.02</v>
      </c>
      <c r="C74" s="36">
        <f t="shared" si="6"/>
        <v>0.50800000000000001</v>
      </c>
      <c r="D74" s="47">
        <f t="shared" si="7"/>
        <v>6.7534117647058789</v>
      </c>
      <c r="E74" s="47">
        <f t="shared" si="8"/>
        <v>19.084278462467395</v>
      </c>
      <c r="F74" s="47">
        <f t="shared" si="9"/>
        <v>-6.2454117647058789</v>
      </c>
      <c r="G74" s="24">
        <f t="shared" si="10"/>
        <v>-0.32725427775478044</v>
      </c>
      <c r="H74">
        <v>-0.5</v>
      </c>
    </row>
    <row r="75" spans="1:8" x14ac:dyDescent="0.25">
      <c r="A75" s="56">
        <v>42696</v>
      </c>
      <c r="B75" s="29">
        <v>0.15</v>
      </c>
      <c r="C75" s="36">
        <f t="shared" si="6"/>
        <v>3.8099999999999996</v>
      </c>
      <c r="D75" s="47">
        <f t="shared" si="7"/>
        <v>6.7534117647058789</v>
      </c>
      <c r="E75" s="47">
        <f t="shared" si="8"/>
        <v>19.084278462467395</v>
      </c>
      <c r="F75" s="47">
        <f t="shared" si="9"/>
        <v>-2.9434117647058793</v>
      </c>
      <c r="G75" s="24">
        <f t="shared" si="10"/>
        <v>-0.15423227922892754</v>
      </c>
      <c r="H75">
        <v>-0.5</v>
      </c>
    </row>
    <row r="76" spans="1:8" x14ac:dyDescent="0.25">
      <c r="A76" s="56">
        <v>42726</v>
      </c>
      <c r="B76" s="29">
        <v>0.09</v>
      </c>
      <c r="C76" s="36">
        <f t="shared" si="6"/>
        <v>2.2859999999999996</v>
      </c>
      <c r="D76" s="47">
        <f t="shared" si="7"/>
        <v>6.7534117647058789</v>
      </c>
      <c r="E76" s="47">
        <f t="shared" si="8"/>
        <v>19.084278462467395</v>
      </c>
      <c r="F76" s="47">
        <f t="shared" si="9"/>
        <v>-4.4674117647058793</v>
      </c>
      <c r="G76" s="24">
        <f t="shared" si="10"/>
        <v>-0.23408858624085965</v>
      </c>
      <c r="H76">
        <v>-0.5</v>
      </c>
    </row>
    <row r="77" spans="1:8" x14ac:dyDescent="0.25">
      <c r="A77" s="56">
        <v>42757</v>
      </c>
      <c r="B77" s="29">
        <v>0.09</v>
      </c>
      <c r="C77" s="36">
        <f t="shared" si="6"/>
        <v>2.2859999999999996</v>
      </c>
      <c r="D77" s="47">
        <f t="shared" si="7"/>
        <v>6.7534117647058789</v>
      </c>
      <c r="E77" s="47">
        <f t="shared" si="8"/>
        <v>19.084278462467395</v>
      </c>
      <c r="F77" s="47">
        <f t="shared" si="9"/>
        <v>-4.4674117647058793</v>
      </c>
      <c r="G77" s="24">
        <f t="shared" si="10"/>
        <v>-0.23408858624085965</v>
      </c>
      <c r="H77">
        <v>-0.5</v>
      </c>
    </row>
    <row r="78" spans="1:8" x14ac:dyDescent="0.25">
      <c r="A78" s="56">
        <v>42788</v>
      </c>
      <c r="B78" s="29">
        <v>0.14000000000000001</v>
      </c>
      <c r="C78" s="36">
        <f t="shared" si="6"/>
        <v>3.556</v>
      </c>
      <c r="D78" s="47">
        <f t="shared" si="7"/>
        <v>6.7534117647058789</v>
      </c>
      <c r="E78" s="47">
        <f t="shared" si="8"/>
        <v>19.084278462467395</v>
      </c>
      <c r="F78" s="47">
        <f t="shared" si="9"/>
        <v>-3.1974117647058788</v>
      </c>
      <c r="G78" s="24">
        <f t="shared" si="10"/>
        <v>-0.1675416637309162</v>
      </c>
      <c r="H78">
        <v>-0.5</v>
      </c>
    </row>
    <row r="79" spans="1:8" x14ac:dyDescent="0.25">
      <c r="A79" s="56">
        <v>42816</v>
      </c>
      <c r="B79" s="29">
        <v>0.11</v>
      </c>
      <c r="C79" s="36">
        <f t="shared" si="6"/>
        <v>2.794</v>
      </c>
      <c r="D79" s="47">
        <f t="shared" si="7"/>
        <v>6.7534117647058789</v>
      </c>
      <c r="E79" s="47">
        <f t="shared" si="8"/>
        <v>19.084278462467395</v>
      </c>
      <c r="F79" s="47">
        <f t="shared" si="9"/>
        <v>-3.9594117647058789</v>
      </c>
      <c r="G79" s="24">
        <f t="shared" si="10"/>
        <v>-0.20746981723688226</v>
      </c>
      <c r="H79">
        <v>-0.5</v>
      </c>
    </row>
    <row r="80" spans="1:8" x14ac:dyDescent="0.25">
      <c r="A80" s="56">
        <v>42847</v>
      </c>
      <c r="B80" s="29">
        <v>0.02</v>
      </c>
      <c r="C80" s="36">
        <f t="shared" si="6"/>
        <v>0.50800000000000001</v>
      </c>
      <c r="D80" s="47">
        <f t="shared" si="7"/>
        <v>6.7534117647058789</v>
      </c>
      <c r="E80" s="47">
        <f t="shared" si="8"/>
        <v>19.084278462467395</v>
      </c>
      <c r="F80" s="47">
        <f t="shared" si="9"/>
        <v>-6.2454117647058789</v>
      </c>
      <c r="G80" s="24">
        <f t="shared" si="10"/>
        <v>-0.32725427775478044</v>
      </c>
      <c r="H80">
        <v>-0.5</v>
      </c>
    </row>
    <row r="81" spans="1:8" x14ac:dyDescent="0.25">
      <c r="A81" s="56">
        <v>42877</v>
      </c>
      <c r="B81" s="29">
        <v>0.04</v>
      </c>
      <c r="C81" s="36">
        <f t="shared" si="6"/>
        <v>1.016</v>
      </c>
      <c r="D81" s="47">
        <f t="shared" si="7"/>
        <v>6.7534117647058789</v>
      </c>
      <c r="E81" s="47">
        <f t="shared" si="8"/>
        <v>19.084278462467395</v>
      </c>
      <c r="F81" s="47">
        <f t="shared" si="9"/>
        <v>-5.7374117647058789</v>
      </c>
      <c r="G81" s="24">
        <f t="shared" si="10"/>
        <v>-0.30063550875080303</v>
      </c>
      <c r="H81">
        <v>-0.5</v>
      </c>
    </row>
    <row r="82" spans="1:8" x14ac:dyDescent="0.25">
      <c r="A82" s="56">
        <v>42908</v>
      </c>
      <c r="B82" s="29">
        <v>0.03</v>
      </c>
      <c r="C82" s="36">
        <f t="shared" si="6"/>
        <v>0.7619999999999999</v>
      </c>
      <c r="D82" s="47">
        <f t="shared" si="7"/>
        <v>6.7534117647058789</v>
      </c>
      <c r="E82" s="47">
        <f t="shared" si="8"/>
        <v>19.084278462467395</v>
      </c>
      <c r="F82" s="47">
        <f t="shared" si="9"/>
        <v>-5.9914117647058793</v>
      </c>
      <c r="G82" s="24">
        <f t="shared" si="10"/>
        <v>-0.31394489325279173</v>
      </c>
      <c r="H82">
        <v>-0.5</v>
      </c>
    </row>
    <row r="83" spans="1:8" x14ac:dyDescent="0.25">
      <c r="A83" s="56">
        <v>42938</v>
      </c>
      <c r="B83" s="29">
        <v>0.05</v>
      </c>
      <c r="C83" s="36">
        <f t="shared" si="6"/>
        <v>1.27</v>
      </c>
      <c r="D83" s="47">
        <f t="shared" si="7"/>
        <v>6.7534117647058789</v>
      </c>
      <c r="E83" s="47">
        <f t="shared" si="8"/>
        <v>19.084278462467395</v>
      </c>
      <c r="F83" s="47">
        <f t="shared" si="9"/>
        <v>-5.4834117647058793</v>
      </c>
      <c r="G83" s="24">
        <f t="shared" si="10"/>
        <v>-0.28732612424881437</v>
      </c>
      <c r="H83">
        <v>-0.5</v>
      </c>
    </row>
    <row r="84" spans="1:8" x14ac:dyDescent="0.25">
      <c r="A84" s="56">
        <v>42969</v>
      </c>
      <c r="B84" s="29">
        <v>0.03</v>
      </c>
      <c r="C84" s="36">
        <f t="shared" si="6"/>
        <v>0.7619999999999999</v>
      </c>
      <c r="D84" s="47">
        <f t="shared" si="7"/>
        <v>6.7534117647058789</v>
      </c>
      <c r="E84" s="47">
        <f t="shared" si="8"/>
        <v>19.084278462467395</v>
      </c>
      <c r="F84" s="47">
        <f t="shared" si="9"/>
        <v>-5.9914117647058793</v>
      </c>
      <c r="G84" s="24">
        <f t="shared" si="10"/>
        <v>-0.31394489325279173</v>
      </c>
      <c r="H84">
        <v>-0.5</v>
      </c>
    </row>
    <row r="85" spans="1:8" x14ac:dyDescent="0.25">
      <c r="A85" s="56">
        <v>43000</v>
      </c>
      <c r="B85" s="29">
        <v>0</v>
      </c>
      <c r="C85" s="36">
        <f t="shared" si="6"/>
        <v>0</v>
      </c>
      <c r="D85" s="47">
        <f t="shared" si="7"/>
        <v>6.7534117647058789</v>
      </c>
      <c r="E85" s="47">
        <f t="shared" si="8"/>
        <v>19.084278462467395</v>
      </c>
      <c r="F85" s="47">
        <f t="shared" si="9"/>
        <v>-6.7534117647058789</v>
      </c>
      <c r="G85" s="24">
        <f t="shared" si="10"/>
        <v>-0.3538730467587578</v>
      </c>
      <c r="H85">
        <v>-0.5</v>
      </c>
    </row>
    <row r="86" spans="1:8" x14ac:dyDescent="0.25">
      <c r="A86" s="56">
        <v>43030</v>
      </c>
      <c r="B86" s="29">
        <v>7.0000000000000007E-2</v>
      </c>
      <c r="C86" s="36">
        <f t="shared" si="6"/>
        <v>1.778</v>
      </c>
      <c r="D86" s="47">
        <f t="shared" si="7"/>
        <v>6.7534117647058789</v>
      </c>
      <c r="E86" s="47">
        <f t="shared" si="8"/>
        <v>19.084278462467395</v>
      </c>
      <c r="F86" s="47">
        <f t="shared" si="9"/>
        <v>-4.9754117647058784</v>
      </c>
      <c r="G86" s="24">
        <f t="shared" si="10"/>
        <v>-0.26070735524483696</v>
      </c>
      <c r="H86">
        <v>-0.5</v>
      </c>
    </row>
    <row r="87" spans="1:8" x14ac:dyDescent="0.25">
      <c r="A87" s="56">
        <v>43061</v>
      </c>
      <c r="B87" s="29">
        <v>0.09</v>
      </c>
      <c r="C87" s="36">
        <f t="shared" si="6"/>
        <v>2.2859999999999996</v>
      </c>
      <c r="D87" s="47">
        <f t="shared" si="7"/>
        <v>6.7534117647058789</v>
      </c>
      <c r="E87" s="47">
        <f t="shared" si="8"/>
        <v>19.084278462467395</v>
      </c>
      <c r="F87" s="47">
        <f t="shared" si="9"/>
        <v>-4.4674117647058793</v>
      </c>
      <c r="G87" s="24">
        <f t="shared" si="10"/>
        <v>-0.23408858624085965</v>
      </c>
      <c r="H87">
        <v>-0.5</v>
      </c>
    </row>
    <row r="88" spans="1:8" x14ac:dyDescent="0.25">
      <c r="A88" s="56">
        <v>43091</v>
      </c>
      <c r="B88" s="29">
        <v>0.24</v>
      </c>
      <c r="C88" s="36">
        <f t="shared" si="6"/>
        <v>6.0959999999999992</v>
      </c>
      <c r="D88" s="47">
        <f t="shared" si="7"/>
        <v>6.7534117647058789</v>
      </c>
      <c r="E88" s="47">
        <f t="shared" si="8"/>
        <v>19.084278462467395</v>
      </c>
      <c r="F88" s="47">
        <f t="shared" si="9"/>
        <v>-0.6574117647058797</v>
      </c>
      <c r="G88" s="24">
        <f t="shared" si="10"/>
        <v>-3.44478187110294E-2</v>
      </c>
      <c r="H88">
        <v>-0.5</v>
      </c>
    </row>
    <row r="89" spans="1:8" x14ac:dyDescent="0.25">
      <c r="A89" s="56">
        <v>43122</v>
      </c>
      <c r="B89" s="29">
        <v>0.11</v>
      </c>
      <c r="C89" s="36">
        <f t="shared" si="6"/>
        <v>2.794</v>
      </c>
      <c r="D89" s="47">
        <f t="shared" si="7"/>
        <v>6.7534117647058789</v>
      </c>
      <c r="E89" s="47">
        <f t="shared" si="8"/>
        <v>19.084278462467395</v>
      </c>
      <c r="F89" s="47">
        <f t="shared" si="9"/>
        <v>-3.9594117647058789</v>
      </c>
      <c r="G89" s="24">
        <f t="shared" si="10"/>
        <v>-0.20746981723688226</v>
      </c>
      <c r="H89">
        <v>-0.5</v>
      </c>
    </row>
    <row r="90" spans="1:8" x14ac:dyDescent="0.25">
      <c r="A90" s="56">
        <v>43153</v>
      </c>
      <c r="B90" s="29">
        <v>0.2</v>
      </c>
      <c r="C90" s="36">
        <f t="shared" si="6"/>
        <v>5.08</v>
      </c>
      <c r="D90" s="47">
        <f t="shared" si="7"/>
        <v>6.7534117647058789</v>
      </c>
      <c r="E90" s="47">
        <f t="shared" si="8"/>
        <v>19.084278462467395</v>
      </c>
      <c r="F90" s="47">
        <f t="shared" si="9"/>
        <v>-1.6734117647058788</v>
      </c>
      <c r="G90" s="24">
        <f t="shared" si="10"/>
        <v>-8.7685356718984087E-2</v>
      </c>
      <c r="H90">
        <v>-0.5</v>
      </c>
    </row>
    <row r="91" spans="1:8" x14ac:dyDescent="0.25">
      <c r="A91" s="56">
        <v>43181</v>
      </c>
      <c r="B91" s="29">
        <v>0.3</v>
      </c>
      <c r="C91" s="36">
        <f t="shared" si="6"/>
        <v>7.6199999999999992</v>
      </c>
      <c r="D91" s="47">
        <f t="shared" si="7"/>
        <v>6.7534117647058789</v>
      </c>
      <c r="E91" s="47">
        <f t="shared" si="8"/>
        <v>19.084278462467395</v>
      </c>
      <c r="F91" s="47">
        <f t="shared" si="9"/>
        <v>0.86658823529412032</v>
      </c>
      <c r="G91" s="24">
        <f t="shared" si="10"/>
        <v>4.5408488300902709E-2</v>
      </c>
      <c r="H91">
        <v>-0.5</v>
      </c>
    </row>
    <row r="92" spans="1:8" x14ac:dyDescent="0.25">
      <c r="A92" s="56">
        <v>43212</v>
      </c>
      <c r="B92" s="29">
        <v>0.08</v>
      </c>
      <c r="C92" s="36">
        <f t="shared" si="6"/>
        <v>2.032</v>
      </c>
      <c r="D92" s="47">
        <f t="shared" si="7"/>
        <v>6.7534117647058789</v>
      </c>
      <c r="E92" s="47">
        <f t="shared" si="8"/>
        <v>19.084278462467395</v>
      </c>
      <c r="F92" s="47">
        <f t="shared" si="9"/>
        <v>-4.7214117647058789</v>
      </c>
      <c r="G92" s="24">
        <f t="shared" si="10"/>
        <v>-0.24739797074284831</v>
      </c>
      <c r="H92">
        <v>-0.5</v>
      </c>
    </row>
    <row r="93" spans="1:8" x14ac:dyDescent="0.25">
      <c r="A93" s="56">
        <v>43242</v>
      </c>
      <c r="B93" s="29">
        <v>7.0000000000000007E-2</v>
      </c>
      <c r="C93" s="36">
        <f t="shared" si="6"/>
        <v>1.778</v>
      </c>
      <c r="D93" s="47">
        <f t="shared" si="7"/>
        <v>6.7534117647058789</v>
      </c>
      <c r="E93" s="47">
        <f t="shared" si="8"/>
        <v>19.084278462467395</v>
      </c>
      <c r="F93" s="47">
        <f t="shared" si="9"/>
        <v>-4.9754117647058784</v>
      </c>
      <c r="G93" s="24">
        <f t="shared" si="10"/>
        <v>-0.26070735524483696</v>
      </c>
      <c r="H93">
        <v>-0.5</v>
      </c>
    </row>
    <row r="94" spans="1:8" x14ac:dyDescent="0.25">
      <c r="A94" s="56">
        <v>43273</v>
      </c>
      <c r="B94" s="29">
        <v>0.02</v>
      </c>
      <c r="C94" s="36">
        <f t="shared" si="6"/>
        <v>0.50800000000000001</v>
      </c>
      <c r="D94" s="47">
        <f t="shared" si="7"/>
        <v>6.7534117647058789</v>
      </c>
      <c r="E94" s="47">
        <f t="shared" si="8"/>
        <v>19.084278462467395</v>
      </c>
      <c r="F94" s="47">
        <f t="shared" si="9"/>
        <v>-6.2454117647058789</v>
      </c>
      <c r="G94" s="24">
        <f t="shared" si="10"/>
        <v>-0.32725427775478044</v>
      </c>
      <c r="H94">
        <v>-0.5</v>
      </c>
    </row>
    <row r="95" spans="1:8" x14ac:dyDescent="0.25">
      <c r="A95" s="56">
        <v>43303</v>
      </c>
      <c r="B95" s="29">
        <v>0.03</v>
      </c>
      <c r="C95" s="36">
        <f t="shared" si="6"/>
        <v>0.7619999999999999</v>
      </c>
      <c r="D95" s="47">
        <f t="shared" si="7"/>
        <v>6.7534117647058789</v>
      </c>
      <c r="E95" s="47">
        <f t="shared" si="8"/>
        <v>19.084278462467395</v>
      </c>
      <c r="F95" s="47">
        <f t="shared" si="9"/>
        <v>-5.9914117647058793</v>
      </c>
      <c r="G95" s="24">
        <f t="shared" si="10"/>
        <v>-0.31394489325279173</v>
      </c>
      <c r="H95">
        <v>-0.5</v>
      </c>
    </row>
    <row r="96" spans="1:8" x14ac:dyDescent="0.25">
      <c r="A96" s="56">
        <v>43334</v>
      </c>
      <c r="B96" s="29">
        <v>0.03</v>
      </c>
      <c r="C96" s="36">
        <f t="shared" si="6"/>
        <v>0.7619999999999999</v>
      </c>
      <c r="D96" s="47">
        <f t="shared" si="7"/>
        <v>6.7534117647058789</v>
      </c>
      <c r="E96" s="47">
        <f t="shared" si="8"/>
        <v>19.084278462467395</v>
      </c>
      <c r="F96" s="47">
        <f t="shared" si="9"/>
        <v>-5.9914117647058793</v>
      </c>
      <c r="G96" s="24">
        <f t="shared" si="10"/>
        <v>-0.31394489325279173</v>
      </c>
      <c r="H96">
        <v>-0.5</v>
      </c>
    </row>
    <row r="97" spans="1:8" x14ac:dyDescent="0.25">
      <c r="A97" s="56">
        <v>43365</v>
      </c>
      <c r="B97" s="29">
        <v>0.05</v>
      </c>
      <c r="C97" s="36">
        <f t="shared" si="6"/>
        <v>1.27</v>
      </c>
      <c r="D97" s="47">
        <f t="shared" si="7"/>
        <v>6.7534117647058789</v>
      </c>
      <c r="E97" s="47">
        <f t="shared" si="8"/>
        <v>19.084278462467395</v>
      </c>
      <c r="F97" s="47">
        <f t="shared" si="9"/>
        <v>-5.4834117647058793</v>
      </c>
      <c r="G97" s="24">
        <f t="shared" si="10"/>
        <v>-0.28732612424881437</v>
      </c>
      <c r="H97">
        <v>-0.5</v>
      </c>
    </row>
    <row r="98" spans="1:8" x14ac:dyDescent="0.25">
      <c r="A98" s="56">
        <v>43395</v>
      </c>
      <c r="B98" s="29">
        <v>7.0000000000000007E-2</v>
      </c>
      <c r="C98" s="36">
        <f t="shared" si="6"/>
        <v>1.778</v>
      </c>
      <c r="D98" s="47">
        <f t="shared" si="7"/>
        <v>6.7534117647058789</v>
      </c>
      <c r="E98" s="47">
        <f t="shared" si="8"/>
        <v>19.084278462467395</v>
      </c>
      <c r="F98" s="47">
        <f t="shared" si="9"/>
        <v>-4.9754117647058784</v>
      </c>
      <c r="G98" s="24">
        <f t="shared" si="10"/>
        <v>-0.26070735524483696</v>
      </c>
      <c r="H98">
        <v>-0.5</v>
      </c>
    </row>
    <row r="99" spans="1:8" x14ac:dyDescent="0.25">
      <c r="A99" s="56">
        <v>43426</v>
      </c>
      <c r="B99" s="29">
        <v>0</v>
      </c>
      <c r="C99" s="36">
        <f t="shared" si="6"/>
        <v>0</v>
      </c>
      <c r="D99" s="47">
        <f t="shared" si="7"/>
        <v>6.7534117647058789</v>
      </c>
      <c r="E99" s="47">
        <f t="shared" si="8"/>
        <v>19.084278462467395</v>
      </c>
      <c r="F99" s="47">
        <f t="shared" si="9"/>
        <v>-6.7534117647058789</v>
      </c>
      <c r="G99" s="24">
        <f t="shared" si="10"/>
        <v>-0.3538730467587578</v>
      </c>
      <c r="H99">
        <v>-0.5</v>
      </c>
    </row>
    <row r="100" spans="1:8" x14ac:dyDescent="0.25">
      <c r="A100" s="56">
        <v>43456</v>
      </c>
      <c r="B100" s="29">
        <v>0</v>
      </c>
      <c r="C100" s="36">
        <f t="shared" si="6"/>
        <v>0</v>
      </c>
      <c r="D100" s="47">
        <f t="shared" si="7"/>
        <v>6.7534117647058789</v>
      </c>
      <c r="E100" s="47">
        <f t="shared" si="8"/>
        <v>19.084278462467395</v>
      </c>
      <c r="F100" s="47">
        <f t="shared" si="9"/>
        <v>-6.7534117647058789</v>
      </c>
      <c r="G100" s="24">
        <f t="shared" si="10"/>
        <v>-0.3538730467587578</v>
      </c>
      <c r="H100">
        <v>-0.5</v>
      </c>
    </row>
    <row r="101" spans="1:8" x14ac:dyDescent="0.25">
      <c r="A101" s="56">
        <v>43487</v>
      </c>
      <c r="B101" s="29">
        <v>0</v>
      </c>
      <c r="C101" s="36">
        <f t="shared" ref="C101:C132" si="11">$D$1*B101</f>
        <v>0</v>
      </c>
      <c r="D101" s="47">
        <f t="shared" si="7"/>
        <v>6.7534117647058789</v>
      </c>
      <c r="E101" s="47">
        <f t="shared" si="8"/>
        <v>19.084278462467395</v>
      </c>
      <c r="F101" s="47">
        <f t="shared" si="9"/>
        <v>-6.7534117647058789</v>
      </c>
      <c r="G101" s="24">
        <f t="shared" si="10"/>
        <v>-0.3538730467587578</v>
      </c>
      <c r="H101">
        <v>-0.5</v>
      </c>
    </row>
    <row r="102" spans="1:8" x14ac:dyDescent="0.25">
      <c r="A102" s="56">
        <v>43518</v>
      </c>
      <c r="B102" s="29">
        <v>0</v>
      </c>
      <c r="C102" s="36">
        <f t="shared" si="11"/>
        <v>0</v>
      </c>
      <c r="D102" s="47">
        <f t="shared" si="7"/>
        <v>6.7534117647058789</v>
      </c>
      <c r="E102" s="47">
        <f t="shared" si="8"/>
        <v>19.084278462467395</v>
      </c>
      <c r="F102" s="47">
        <f t="shared" si="9"/>
        <v>-6.7534117647058789</v>
      </c>
      <c r="G102" s="24">
        <f t="shared" si="10"/>
        <v>-0.3538730467587578</v>
      </c>
      <c r="H102">
        <v>-0.5</v>
      </c>
    </row>
    <row r="103" spans="1:8" x14ac:dyDescent="0.25">
      <c r="A103" s="56">
        <v>43546</v>
      </c>
      <c r="B103" s="29">
        <v>0</v>
      </c>
      <c r="C103" s="36">
        <f t="shared" si="11"/>
        <v>0</v>
      </c>
      <c r="D103" s="47">
        <f t="shared" si="7"/>
        <v>6.7534117647058789</v>
      </c>
      <c r="E103" s="47">
        <f t="shared" si="8"/>
        <v>19.084278462467395</v>
      </c>
      <c r="F103" s="47">
        <f t="shared" si="9"/>
        <v>-6.7534117647058789</v>
      </c>
      <c r="G103" s="24">
        <f t="shared" si="10"/>
        <v>-0.3538730467587578</v>
      </c>
      <c r="H103">
        <v>-0.5</v>
      </c>
    </row>
    <row r="104" spans="1:8" x14ac:dyDescent="0.25">
      <c r="A104" s="56">
        <v>43577</v>
      </c>
      <c r="B104" s="29">
        <v>0</v>
      </c>
      <c r="C104" s="36">
        <f t="shared" si="11"/>
        <v>0</v>
      </c>
      <c r="D104" s="47">
        <f t="shared" si="7"/>
        <v>6.7534117647058789</v>
      </c>
      <c r="E104" s="47">
        <f t="shared" si="8"/>
        <v>19.084278462467395</v>
      </c>
      <c r="F104" s="47">
        <f t="shared" si="9"/>
        <v>-6.7534117647058789</v>
      </c>
      <c r="G104" s="24">
        <f t="shared" si="10"/>
        <v>-0.3538730467587578</v>
      </c>
      <c r="H104">
        <v>-0.5</v>
      </c>
    </row>
    <row r="105" spans="1:8" x14ac:dyDescent="0.25">
      <c r="A105" s="56">
        <v>43607</v>
      </c>
      <c r="B105" s="29">
        <v>0</v>
      </c>
      <c r="C105" s="36">
        <f t="shared" si="11"/>
        <v>0</v>
      </c>
      <c r="D105" s="47">
        <f t="shared" si="7"/>
        <v>6.7534117647058789</v>
      </c>
      <c r="E105" s="47">
        <f t="shared" si="8"/>
        <v>19.084278462467395</v>
      </c>
      <c r="F105" s="47">
        <f t="shared" si="9"/>
        <v>-6.7534117647058789</v>
      </c>
      <c r="G105" s="24">
        <f t="shared" si="10"/>
        <v>-0.3538730467587578</v>
      </c>
      <c r="H105">
        <v>-0.5</v>
      </c>
    </row>
    <row r="106" spans="1:8" x14ac:dyDescent="0.25">
      <c r="A106" s="56">
        <v>43638</v>
      </c>
      <c r="B106" s="29">
        <v>0.04</v>
      </c>
      <c r="C106" s="36">
        <f t="shared" si="11"/>
        <v>1.016</v>
      </c>
      <c r="D106" s="47">
        <f t="shared" si="7"/>
        <v>6.7534117647058789</v>
      </c>
      <c r="E106" s="47">
        <f t="shared" si="8"/>
        <v>19.084278462467395</v>
      </c>
      <c r="F106" s="47">
        <f t="shared" si="9"/>
        <v>-5.7374117647058789</v>
      </c>
      <c r="G106" s="24">
        <f t="shared" si="10"/>
        <v>-0.30063550875080303</v>
      </c>
      <c r="H106">
        <v>-0.5</v>
      </c>
    </row>
    <row r="107" spans="1:8" x14ac:dyDescent="0.25">
      <c r="A107" s="56">
        <v>43668</v>
      </c>
      <c r="B107" s="29">
        <v>0.03</v>
      </c>
      <c r="C107" s="36">
        <f t="shared" si="11"/>
        <v>0.7619999999999999</v>
      </c>
      <c r="D107" s="47">
        <f t="shared" si="7"/>
        <v>6.7534117647058789</v>
      </c>
      <c r="E107" s="47">
        <f t="shared" si="8"/>
        <v>19.084278462467395</v>
      </c>
      <c r="F107" s="47">
        <f t="shared" si="9"/>
        <v>-5.9914117647058793</v>
      </c>
      <c r="G107" s="24">
        <f t="shared" si="10"/>
        <v>-0.31394489325279173</v>
      </c>
      <c r="H107">
        <v>-0.5</v>
      </c>
    </row>
    <row r="108" spans="1:8" x14ac:dyDescent="0.25">
      <c r="A108" s="56">
        <v>43699</v>
      </c>
      <c r="B108" s="29">
        <v>0.03</v>
      </c>
      <c r="C108" s="36">
        <f t="shared" si="11"/>
        <v>0.7619999999999999</v>
      </c>
      <c r="D108" s="47">
        <f t="shared" si="7"/>
        <v>6.7534117647058789</v>
      </c>
      <c r="E108" s="47">
        <f t="shared" si="8"/>
        <v>19.084278462467395</v>
      </c>
      <c r="F108" s="47">
        <f t="shared" si="9"/>
        <v>-5.9914117647058793</v>
      </c>
      <c r="G108" s="24">
        <f t="shared" si="10"/>
        <v>-0.31394489325279173</v>
      </c>
      <c r="H108">
        <v>-0.5</v>
      </c>
    </row>
    <row r="109" spans="1:8" x14ac:dyDescent="0.25">
      <c r="A109" s="56">
        <v>43730</v>
      </c>
      <c r="B109" s="29">
        <v>0.03</v>
      </c>
      <c r="C109" s="36">
        <f t="shared" si="11"/>
        <v>0.7619999999999999</v>
      </c>
      <c r="D109" s="47">
        <f t="shared" si="7"/>
        <v>6.7534117647058789</v>
      </c>
      <c r="E109" s="47">
        <f t="shared" si="8"/>
        <v>19.084278462467395</v>
      </c>
      <c r="F109" s="47">
        <f t="shared" si="9"/>
        <v>-5.9914117647058793</v>
      </c>
      <c r="G109" s="24">
        <f t="shared" si="10"/>
        <v>-0.31394489325279173</v>
      </c>
      <c r="H109">
        <v>-0.5</v>
      </c>
    </row>
    <row r="110" spans="1:8" x14ac:dyDescent="0.25">
      <c r="A110" s="56">
        <v>43760</v>
      </c>
      <c r="B110" s="29">
        <v>0.03</v>
      </c>
      <c r="C110" s="36">
        <f t="shared" si="11"/>
        <v>0.7619999999999999</v>
      </c>
      <c r="D110" s="47">
        <f t="shared" si="7"/>
        <v>6.7534117647058789</v>
      </c>
      <c r="E110" s="47">
        <f t="shared" si="8"/>
        <v>19.084278462467395</v>
      </c>
      <c r="F110" s="47">
        <f t="shared" si="9"/>
        <v>-5.9914117647058793</v>
      </c>
      <c r="G110" s="24">
        <f t="shared" si="10"/>
        <v>-0.31394489325279173</v>
      </c>
      <c r="H110">
        <v>-0.5</v>
      </c>
    </row>
    <row r="111" spans="1:8" x14ac:dyDescent="0.25">
      <c r="A111" s="56">
        <v>43791</v>
      </c>
      <c r="B111" s="29">
        <v>0.06</v>
      </c>
      <c r="C111" s="36">
        <f t="shared" si="11"/>
        <v>1.5239999999999998</v>
      </c>
      <c r="D111" s="47">
        <f t="shared" si="7"/>
        <v>6.7534117647058789</v>
      </c>
      <c r="E111" s="47">
        <f t="shared" si="8"/>
        <v>19.084278462467395</v>
      </c>
      <c r="F111" s="47">
        <f t="shared" si="9"/>
        <v>-5.2294117647058789</v>
      </c>
      <c r="G111" s="24">
        <f t="shared" si="10"/>
        <v>-0.27401673974682567</v>
      </c>
      <c r="H111">
        <v>-0.5</v>
      </c>
    </row>
    <row r="112" spans="1:8" x14ac:dyDescent="0.25">
      <c r="A112" s="56">
        <v>43821</v>
      </c>
      <c r="B112" s="29">
        <v>0.11</v>
      </c>
      <c r="C112" s="36">
        <f t="shared" si="11"/>
        <v>2.794</v>
      </c>
      <c r="D112" s="47">
        <f t="shared" si="7"/>
        <v>6.7534117647058789</v>
      </c>
      <c r="E112" s="47">
        <f t="shared" si="8"/>
        <v>19.084278462467395</v>
      </c>
      <c r="F112" s="47">
        <f t="shared" si="9"/>
        <v>-3.9594117647058789</v>
      </c>
      <c r="G112" s="24">
        <f t="shared" si="10"/>
        <v>-0.20746981723688226</v>
      </c>
      <c r="H112">
        <v>-0.5</v>
      </c>
    </row>
    <row r="113" spans="1:8" x14ac:dyDescent="0.25">
      <c r="A113" s="56">
        <v>43852</v>
      </c>
      <c r="B113" s="29">
        <v>0.16</v>
      </c>
      <c r="C113" s="36">
        <f t="shared" si="11"/>
        <v>4.0640000000000001</v>
      </c>
      <c r="D113" s="47">
        <f t="shared" si="7"/>
        <v>6.7534117647058789</v>
      </c>
      <c r="E113" s="47">
        <f t="shared" si="8"/>
        <v>19.084278462467395</v>
      </c>
      <c r="F113" s="47">
        <f t="shared" si="9"/>
        <v>-2.6894117647058788</v>
      </c>
      <c r="G113" s="24">
        <f t="shared" si="10"/>
        <v>-0.14092289472693884</v>
      </c>
      <c r="H113">
        <v>-0.5</v>
      </c>
    </row>
    <row r="114" spans="1:8" x14ac:dyDescent="0.25">
      <c r="A114" s="56">
        <v>43883</v>
      </c>
      <c r="B114" s="29">
        <v>0.15</v>
      </c>
      <c r="C114" s="36">
        <f t="shared" si="11"/>
        <v>3.8099999999999996</v>
      </c>
      <c r="D114" s="47">
        <f t="shared" si="7"/>
        <v>6.7534117647058789</v>
      </c>
      <c r="E114" s="47">
        <f t="shared" si="8"/>
        <v>19.084278462467395</v>
      </c>
      <c r="F114" s="47">
        <f t="shared" si="9"/>
        <v>-2.9434117647058793</v>
      </c>
      <c r="G114" s="24">
        <f t="shared" si="10"/>
        <v>-0.15423227922892754</v>
      </c>
      <c r="H114">
        <v>-0.5</v>
      </c>
    </row>
    <row r="115" spans="1:8" x14ac:dyDescent="0.25">
      <c r="A115" s="56">
        <v>43912</v>
      </c>
      <c r="B115" s="29">
        <v>0.13</v>
      </c>
      <c r="C115" s="36">
        <f t="shared" si="11"/>
        <v>3.302</v>
      </c>
      <c r="D115" s="47">
        <f t="shared" si="7"/>
        <v>6.7534117647058789</v>
      </c>
      <c r="E115" s="47">
        <f t="shared" si="8"/>
        <v>19.084278462467395</v>
      </c>
      <c r="F115" s="47">
        <f t="shared" si="9"/>
        <v>-3.4514117647058788</v>
      </c>
      <c r="G115" s="24">
        <f t="shared" si="10"/>
        <v>-0.18085104823290488</v>
      </c>
      <c r="H115">
        <v>-0.5</v>
      </c>
    </row>
    <row r="116" spans="1:8" x14ac:dyDescent="0.25">
      <c r="A116" s="56">
        <v>43943</v>
      </c>
      <c r="B116" s="29">
        <v>0.17</v>
      </c>
      <c r="C116" s="36">
        <f t="shared" si="11"/>
        <v>4.3180000000000005</v>
      </c>
      <c r="D116" s="47">
        <f t="shared" si="7"/>
        <v>6.7534117647058789</v>
      </c>
      <c r="E116" s="47">
        <f t="shared" si="8"/>
        <v>19.084278462467395</v>
      </c>
      <c r="F116" s="47">
        <f t="shared" si="9"/>
        <v>-2.4354117647058784</v>
      </c>
      <c r="G116" s="24">
        <f t="shared" si="10"/>
        <v>-0.12761351022495013</v>
      </c>
      <c r="H116">
        <v>-0.5</v>
      </c>
    </row>
    <row r="117" spans="1:8" x14ac:dyDescent="0.25">
      <c r="A117" s="56">
        <v>43973</v>
      </c>
      <c r="B117" s="29">
        <v>0.01</v>
      </c>
      <c r="C117" s="36">
        <f t="shared" si="11"/>
        <v>0.254</v>
      </c>
      <c r="D117" s="47">
        <f t="shared" si="7"/>
        <v>6.7534117647058789</v>
      </c>
      <c r="E117" s="47">
        <f t="shared" si="8"/>
        <v>19.084278462467395</v>
      </c>
      <c r="F117" s="47">
        <f t="shared" si="9"/>
        <v>-6.4994117647058793</v>
      </c>
      <c r="G117" s="24">
        <f t="shared" si="10"/>
        <v>-0.34056366225676915</v>
      </c>
      <c r="H117">
        <v>-0.5</v>
      </c>
    </row>
    <row r="118" spans="1:8" x14ac:dyDescent="0.25">
      <c r="A118" s="56">
        <v>44004</v>
      </c>
      <c r="B118" s="29">
        <v>0.05</v>
      </c>
      <c r="C118" s="36">
        <f t="shared" si="11"/>
        <v>1.27</v>
      </c>
      <c r="D118" s="47">
        <f t="shared" si="7"/>
        <v>6.7534117647058789</v>
      </c>
      <c r="E118" s="47">
        <f t="shared" si="8"/>
        <v>19.084278462467395</v>
      </c>
      <c r="F118" s="47">
        <f t="shared" si="9"/>
        <v>-5.4834117647058793</v>
      </c>
      <c r="G118" s="24">
        <f t="shared" si="10"/>
        <v>-0.28732612424881437</v>
      </c>
      <c r="H118">
        <v>-0.5</v>
      </c>
    </row>
    <row r="119" spans="1:8" x14ac:dyDescent="0.25">
      <c r="A119" s="56">
        <v>44034</v>
      </c>
      <c r="B119" s="29">
        <v>0.02</v>
      </c>
      <c r="C119" s="36">
        <f t="shared" si="11"/>
        <v>0.50800000000000001</v>
      </c>
      <c r="D119" s="47">
        <f t="shared" si="7"/>
        <v>6.7534117647058789</v>
      </c>
      <c r="E119" s="47">
        <f t="shared" si="8"/>
        <v>19.084278462467395</v>
      </c>
      <c r="F119" s="47">
        <f t="shared" si="9"/>
        <v>-6.2454117647058789</v>
      </c>
      <c r="G119" s="24">
        <f t="shared" si="10"/>
        <v>-0.32725427775478044</v>
      </c>
      <c r="H119">
        <v>-0.5</v>
      </c>
    </row>
    <row r="120" spans="1:8" x14ac:dyDescent="0.25">
      <c r="A120" s="56">
        <v>44065</v>
      </c>
      <c r="B120" s="29">
        <v>0.03</v>
      </c>
      <c r="C120" s="36">
        <f t="shared" si="11"/>
        <v>0.7619999999999999</v>
      </c>
      <c r="D120" s="47">
        <f t="shared" si="7"/>
        <v>6.7534117647058789</v>
      </c>
      <c r="E120" s="47">
        <f t="shared" si="8"/>
        <v>19.084278462467395</v>
      </c>
      <c r="F120" s="47">
        <f t="shared" si="9"/>
        <v>-5.9914117647058793</v>
      </c>
      <c r="G120" s="24">
        <f t="shared" si="10"/>
        <v>-0.31394489325279173</v>
      </c>
      <c r="H120">
        <v>-0.5</v>
      </c>
    </row>
    <row r="121" spans="1:8" x14ac:dyDescent="0.25">
      <c r="A121" s="56">
        <v>44096</v>
      </c>
      <c r="B121" s="29">
        <v>0.04</v>
      </c>
      <c r="C121" s="36">
        <f t="shared" si="11"/>
        <v>1.016</v>
      </c>
      <c r="D121" s="47">
        <f t="shared" si="7"/>
        <v>6.7534117647058789</v>
      </c>
      <c r="E121" s="47">
        <f t="shared" si="8"/>
        <v>19.084278462467395</v>
      </c>
      <c r="F121" s="47">
        <f t="shared" si="9"/>
        <v>-5.7374117647058789</v>
      </c>
      <c r="G121" s="24">
        <f t="shared" si="10"/>
        <v>-0.30063550875080303</v>
      </c>
      <c r="H121">
        <v>-0.5</v>
      </c>
    </row>
    <row r="122" spans="1:8" x14ac:dyDescent="0.25">
      <c r="A122" s="56">
        <v>44126</v>
      </c>
      <c r="B122" s="29">
        <v>0.06</v>
      </c>
      <c r="C122" s="36">
        <f t="shared" si="11"/>
        <v>1.5239999999999998</v>
      </c>
      <c r="D122" s="47">
        <f t="shared" si="7"/>
        <v>6.7534117647058789</v>
      </c>
      <c r="E122" s="47">
        <f t="shared" si="8"/>
        <v>19.084278462467395</v>
      </c>
      <c r="F122" s="47">
        <f t="shared" si="9"/>
        <v>-5.2294117647058789</v>
      </c>
      <c r="G122" s="24">
        <f t="shared" si="10"/>
        <v>-0.27401673974682567</v>
      </c>
      <c r="H122">
        <v>-0.5</v>
      </c>
    </row>
    <row r="123" spans="1:8" x14ac:dyDescent="0.25">
      <c r="A123" s="56">
        <v>44157</v>
      </c>
      <c r="B123" s="29">
        <v>0.06</v>
      </c>
      <c r="C123" s="36">
        <f t="shared" si="11"/>
        <v>1.5239999999999998</v>
      </c>
      <c r="D123" s="47">
        <f t="shared" si="7"/>
        <v>6.7534117647058789</v>
      </c>
      <c r="E123" s="47">
        <f t="shared" si="8"/>
        <v>19.084278462467395</v>
      </c>
      <c r="F123" s="47">
        <f t="shared" si="9"/>
        <v>-5.2294117647058789</v>
      </c>
      <c r="G123" s="24">
        <f t="shared" si="10"/>
        <v>-0.27401673974682567</v>
      </c>
      <c r="H123">
        <v>-0.5</v>
      </c>
    </row>
    <row r="124" spans="1:8" x14ac:dyDescent="0.25">
      <c r="A124" s="56">
        <v>44187</v>
      </c>
      <c r="B124" s="29">
        <v>0.14000000000000001</v>
      </c>
      <c r="C124" s="36">
        <f t="shared" si="11"/>
        <v>3.556</v>
      </c>
      <c r="D124" s="47">
        <f t="shared" si="7"/>
        <v>6.7534117647058789</v>
      </c>
      <c r="E124" s="47">
        <f t="shared" si="8"/>
        <v>19.084278462467395</v>
      </c>
      <c r="F124" s="47">
        <f t="shared" si="9"/>
        <v>-3.1974117647058788</v>
      </c>
      <c r="G124" s="24">
        <f t="shared" si="10"/>
        <v>-0.1675416637309162</v>
      </c>
      <c r="H124">
        <v>-0.5</v>
      </c>
    </row>
    <row r="125" spans="1:8" x14ac:dyDescent="0.25">
      <c r="A125" s="56">
        <v>44218</v>
      </c>
      <c r="B125" s="29">
        <v>0.49</v>
      </c>
      <c r="C125" s="36">
        <f t="shared" si="11"/>
        <v>12.446</v>
      </c>
      <c r="D125" s="47">
        <f t="shared" si="7"/>
        <v>6.7534117647058789</v>
      </c>
      <c r="E125" s="47">
        <f t="shared" si="8"/>
        <v>19.084278462467395</v>
      </c>
      <c r="F125" s="47">
        <f t="shared" si="9"/>
        <v>5.6925882352941208</v>
      </c>
      <c r="G125" s="24">
        <f t="shared" si="10"/>
        <v>0.29828679383868772</v>
      </c>
      <c r="H125">
        <v>-0.5</v>
      </c>
    </row>
    <row r="126" spans="1:8" x14ac:dyDescent="0.25">
      <c r="A126" s="56">
        <v>44249</v>
      </c>
      <c r="B126" s="29">
        <v>0.8</v>
      </c>
      <c r="C126" s="36">
        <f t="shared" si="11"/>
        <v>20.32</v>
      </c>
      <c r="D126" s="47">
        <f t="shared" si="7"/>
        <v>6.7534117647058789</v>
      </c>
      <c r="E126" s="47">
        <f t="shared" si="8"/>
        <v>19.084278462467395</v>
      </c>
      <c r="F126" s="47">
        <f t="shared" si="9"/>
        <v>13.566588235294121</v>
      </c>
      <c r="G126" s="24">
        <f t="shared" si="10"/>
        <v>0.71087771340033701</v>
      </c>
      <c r="H126">
        <v>-0.5</v>
      </c>
    </row>
    <row r="127" spans="1:8" x14ac:dyDescent="0.25">
      <c r="A127" s="56">
        <v>44277</v>
      </c>
      <c r="B127" s="29">
        <v>0</v>
      </c>
      <c r="C127" s="36">
        <f t="shared" si="11"/>
        <v>0</v>
      </c>
      <c r="D127" s="47">
        <f t="shared" si="7"/>
        <v>6.7534117647058789</v>
      </c>
      <c r="E127" s="47">
        <f t="shared" si="8"/>
        <v>19.084278462467395</v>
      </c>
      <c r="F127" s="47">
        <f t="shared" si="9"/>
        <v>-6.7534117647058789</v>
      </c>
      <c r="G127" s="24">
        <f t="shared" si="10"/>
        <v>-0.3538730467587578</v>
      </c>
      <c r="H127">
        <v>-0.5</v>
      </c>
    </row>
    <row r="128" spans="1:8" x14ac:dyDescent="0.25">
      <c r="A128" s="56">
        <v>44308</v>
      </c>
      <c r="B128" s="29">
        <v>0.06</v>
      </c>
      <c r="C128" s="36">
        <f t="shared" si="11"/>
        <v>1.5239999999999998</v>
      </c>
      <c r="D128" s="47">
        <f t="shared" si="7"/>
        <v>6.7534117647058789</v>
      </c>
      <c r="E128" s="47">
        <f t="shared" si="8"/>
        <v>19.084278462467395</v>
      </c>
      <c r="F128" s="47">
        <f t="shared" si="9"/>
        <v>-5.2294117647058789</v>
      </c>
      <c r="G128" s="24">
        <f t="shared" si="10"/>
        <v>-0.27401673974682567</v>
      </c>
      <c r="H128">
        <v>-0.5</v>
      </c>
    </row>
    <row r="129" spans="1:8" x14ac:dyDescent="0.25">
      <c r="A129" s="56">
        <v>44338</v>
      </c>
      <c r="B129" s="29">
        <v>0.06</v>
      </c>
      <c r="C129" s="36">
        <f t="shared" si="11"/>
        <v>1.5239999999999998</v>
      </c>
      <c r="D129" s="47">
        <f t="shared" si="7"/>
        <v>6.7534117647058789</v>
      </c>
      <c r="E129" s="47">
        <f t="shared" si="8"/>
        <v>19.084278462467395</v>
      </c>
      <c r="F129" s="47">
        <f t="shared" si="9"/>
        <v>-5.2294117647058789</v>
      </c>
      <c r="G129" s="24">
        <f t="shared" si="10"/>
        <v>-0.27401673974682567</v>
      </c>
      <c r="H129">
        <v>-0.5</v>
      </c>
    </row>
    <row r="130" spans="1:8" x14ac:dyDescent="0.25">
      <c r="A130" s="56">
        <v>44369</v>
      </c>
      <c r="B130" s="29">
        <v>0.06</v>
      </c>
      <c r="C130" s="36">
        <f t="shared" si="11"/>
        <v>1.5239999999999998</v>
      </c>
      <c r="D130" s="47">
        <f t="shared" si="7"/>
        <v>6.7534117647058789</v>
      </c>
      <c r="E130" s="47">
        <f t="shared" si="8"/>
        <v>19.084278462467395</v>
      </c>
      <c r="F130" s="47">
        <f t="shared" si="9"/>
        <v>-5.2294117647058789</v>
      </c>
      <c r="G130" s="24">
        <f t="shared" si="10"/>
        <v>-0.27401673974682567</v>
      </c>
      <c r="H130">
        <v>-0.5</v>
      </c>
    </row>
    <row r="131" spans="1:8" x14ac:dyDescent="0.25">
      <c r="A131" s="56">
        <v>44399</v>
      </c>
      <c r="B131" s="29">
        <v>0.03</v>
      </c>
      <c r="C131" s="36">
        <f t="shared" si="11"/>
        <v>0.7619999999999999</v>
      </c>
      <c r="D131" s="47">
        <f t="shared" si="7"/>
        <v>6.7534117647058789</v>
      </c>
      <c r="E131" s="47">
        <f t="shared" si="8"/>
        <v>19.084278462467395</v>
      </c>
      <c r="F131" s="47">
        <f t="shared" si="9"/>
        <v>-5.9914117647058793</v>
      </c>
      <c r="G131" s="24">
        <f t="shared" si="10"/>
        <v>-0.31394489325279173</v>
      </c>
      <c r="H131">
        <v>-0.5</v>
      </c>
    </row>
    <row r="132" spans="1:8" x14ac:dyDescent="0.25">
      <c r="A132" s="56">
        <v>44430</v>
      </c>
      <c r="B132" s="29">
        <v>7.0000000000000007E-2</v>
      </c>
      <c r="C132" s="36">
        <f t="shared" si="11"/>
        <v>1.778</v>
      </c>
      <c r="D132" s="47">
        <f t="shared" si="7"/>
        <v>6.7534117647058789</v>
      </c>
      <c r="E132" s="47">
        <f t="shared" si="8"/>
        <v>19.084278462467395</v>
      </c>
      <c r="F132" s="47">
        <f t="shared" si="9"/>
        <v>-4.9754117647058784</v>
      </c>
      <c r="G132" s="24">
        <f t="shared" si="10"/>
        <v>-0.26070735524483696</v>
      </c>
      <c r="H132">
        <v>-0.5</v>
      </c>
    </row>
    <row r="133" spans="1:8" x14ac:dyDescent="0.25">
      <c r="A133" s="56">
        <v>44461</v>
      </c>
      <c r="B133" s="29">
        <v>0.03</v>
      </c>
      <c r="C133" s="36">
        <f t="shared" ref="C133:C164" si="12">$D$1*B133</f>
        <v>0.7619999999999999</v>
      </c>
      <c r="D133" s="47">
        <f t="shared" si="7"/>
        <v>6.7534117647058789</v>
      </c>
      <c r="E133" s="47">
        <f t="shared" si="8"/>
        <v>19.084278462467395</v>
      </c>
      <c r="F133" s="47">
        <f t="shared" si="9"/>
        <v>-5.9914117647058793</v>
      </c>
      <c r="G133" s="24">
        <f t="shared" si="10"/>
        <v>-0.31394489325279173</v>
      </c>
      <c r="H133">
        <v>-0.5</v>
      </c>
    </row>
    <row r="134" spans="1:8" x14ac:dyDescent="0.25">
      <c r="A134" s="56">
        <v>44491</v>
      </c>
      <c r="B134" s="29">
        <v>7.0000000000000007E-2</v>
      </c>
      <c r="C134" s="36">
        <f t="shared" si="12"/>
        <v>1.778</v>
      </c>
      <c r="D134" s="47">
        <f t="shared" ref="D134:D175" si="13">AVERAGE($C$5:$C$174)</f>
        <v>6.7534117647058789</v>
      </c>
      <c r="E134" s="47">
        <f t="shared" ref="E134:E175" si="14">_xlfn.STDEV.S($C$5:$C$174)</f>
        <v>19.084278462467395</v>
      </c>
      <c r="F134" s="47">
        <f t="shared" ref="F134:F175" si="15">C134-D134</f>
        <v>-4.9754117647058784</v>
      </c>
      <c r="G134" s="24">
        <f t="shared" ref="G134:G144" si="16">F134/E134</f>
        <v>-0.26070735524483696</v>
      </c>
      <c r="H134">
        <v>-0.5</v>
      </c>
    </row>
    <row r="135" spans="1:8" x14ac:dyDescent="0.25">
      <c r="A135" s="56">
        <v>44522</v>
      </c>
      <c r="B135" s="29">
        <v>0.11</v>
      </c>
      <c r="C135" s="36">
        <f t="shared" si="12"/>
        <v>2.794</v>
      </c>
      <c r="D135" s="47">
        <f t="shared" si="13"/>
        <v>6.7534117647058789</v>
      </c>
      <c r="E135" s="47">
        <f t="shared" si="14"/>
        <v>19.084278462467395</v>
      </c>
      <c r="F135" s="47">
        <f t="shared" si="15"/>
        <v>-3.9594117647058789</v>
      </c>
      <c r="G135" s="24">
        <f t="shared" si="16"/>
        <v>-0.20746981723688226</v>
      </c>
      <c r="H135">
        <v>-0.5</v>
      </c>
    </row>
    <row r="136" spans="1:8" x14ac:dyDescent="0.25">
      <c r="A136" s="56">
        <v>44552</v>
      </c>
      <c r="B136" s="29">
        <v>0.85</v>
      </c>
      <c r="C136" s="36">
        <f t="shared" si="12"/>
        <v>21.59</v>
      </c>
      <c r="D136" s="47">
        <f t="shared" si="13"/>
        <v>6.7534117647058789</v>
      </c>
      <c r="E136" s="47">
        <f t="shared" si="14"/>
        <v>19.084278462467395</v>
      </c>
      <c r="F136" s="47">
        <f t="shared" si="15"/>
        <v>14.836588235294121</v>
      </c>
      <c r="G136" s="24">
        <f t="shared" si="16"/>
        <v>0.77742463591028044</v>
      </c>
      <c r="H136">
        <v>-0.5</v>
      </c>
    </row>
    <row r="137" spans="1:8" x14ac:dyDescent="0.25">
      <c r="A137" s="56">
        <v>44583</v>
      </c>
      <c r="B137" s="29">
        <v>1.43</v>
      </c>
      <c r="C137" s="36">
        <f t="shared" si="12"/>
        <v>36.321999999999996</v>
      </c>
      <c r="D137" s="47">
        <f t="shared" si="13"/>
        <v>6.7534117647058789</v>
      </c>
      <c r="E137" s="47">
        <f t="shared" si="14"/>
        <v>19.084278462467395</v>
      </c>
      <c r="F137" s="47">
        <f t="shared" si="15"/>
        <v>29.568588235294115</v>
      </c>
      <c r="G137" s="24">
        <f t="shared" si="16"/>
        <v>1.5493689370256238</v>
      </c>
      <c r="H137">
        <v>-0.5</v>
      </c>
    </row>
    <row r="138" spans="1:8" x14ac:dyDescent="0.25">
      <c r="A138" s="56">
        <v>44614</v>
      </c>
      <c r="B138" s="29">
        <v>0.1</v>
      </c>
      <c r="C138" s="36">
        <f t="shared" si="12"/>
        <v>2.54</v>
      </c>
      <c r="D138" s="47">
        <f t="shared" si="13"/>
        <v>6.7534117647058789</v>
      </c>
      <c r="E138" s="47">
        <f t="shared" si="14"/>
        <v>19.084278462467395</v>
      </c>
      <c r="F138" s="47">
        <f t="shared" si="15"/>
        <v>-4.2134117647058789</v>
      </c>
      <c r="G138" s="24">
        <f t="shared" si="16"/>
        <v>-0.22077920173887094</v>
      </c>
      <c r="H138">
        <v>-0.5</v>
      </c>
    </row>
    <row r="139" spans="1:8" x14ac:dyDescent="0.25">
      <c r="A139" s="56">
        <v>44642</v>
      </c>
      <c r="B139" s="29">
        <v>0.79</v>
      </c>
      <c r="C139" s="36">
        <f t="shared" si="12"/>
        <v>20.065999999999999</v>
      </c>
      <c r="D139" s="47">
        <f t="shared" si="13"/>
        <v>6.7534117647058789</v>
      </c>
      <c r="E139" s="47">
        <f t="shared" si="14"/>
        <v>19.084278462467395</v>
      </c>
      <c r="F139" s="47">
        <f t="shared" si="15"/>
        <v>13.31258823529412</v>
      </c>
      <c r="G139" s="24">
        <f t="shared" si="16"/>
        <v>0.6975683288983483</v>
      </c>
      <c r="H139">
        <v>-0.5</v>
      </c>
    </row>
    <row r="140" spans="1:8" x14ac:dyDescent="0.25">
      <c r="A140" s="56">
        <v>44673</v>
      </c>
      <c r="B140" s="29">
        <v>1.36</v>
      </c>
      <c r="C140" s="36">
        <f t="shared" si="12"/>
        <v>34.544000000000004</v>
      </c>
      <c r="D140" s="47">
        <f t="shared" si="13"/>
        <v>6.7534117647058789</v>
      </c>
      <c r="E140" s="47">
        <f t="shared" si="14"/>
        <v>19.084278462467395</v>
      </c>
      <c r="F140" s="47">
        <f t="shared" si="15"/>
        <v>27.790588235294123</v>
      </c>
      <c r="G140" s="24">
        <f t="shared" si="16"/>
        <v>1.4562032455117035</v>
      </c>
      <c r="H140">
        <v>-0.5</v>
      </c>
    </row>
    <row r="141" spans="1:8" x14ac:dyDescent="0.25">
      <c r="A141" s="56">
        <v>44703</v>
      </c>
      <c r="B141" s="29">
        <v>0.25</v>
      </c>
      <c r="C141" s="36">
        <f t="shared" si="12"/>
        <v>6.35</v>
      </c>
      <c r="D141" s="47">
        <f t="shared" si="13"/>
        <v>6.7534117647058789</v>
      </c>
      <c r="E141" s="47">
        <f t="shared" si="14"/>
        <v>19.084278462467395</v>
      </c>
      <c r="F141" s="47">
        <f t="shared" si="15"/>
        <v>-0.40341176470587925</v>
      </c>
      <c r="G141" s="24">
        <f t="shared" si="16"/>
        <v>-2.1138434209040689E-2</v>
      </c>
      <c r="H141">
        <v>-0.5</v>
      </c>
    </row>
    <row r="142" spans="1:8" x14ac:dyDescent="0.25">
      <c r="A142" s="56">
        <v>44734</v>
      </c>
      <c r="B142" s="29">
        <v>0.16</v>
      </c>
      <c r="C142" s="36">
        <f t="shared" si="12"/>
        <v>4.0640000000000001</v>
      </c>
      <c r="D142" s="47">
        <f t="shared" si="13"/>
        <v>6.7534117647058789</v>
      </c>
      <c r="E142" s="47">
        <f t="shared" si="14"/>
        <v>19.084278462467395</v>
      </c>
      <c r="F142" s="47">
        <f t="shared" si="15"/>
        <v>-2.6894117647058788</v>
      </c>
      <c r="G142" s="24">
        <f t="shared" si="16"/>
        <v>-0.14092289472693884</v>
      </c>
      <c r="H142">
        <v>-0.5</v>
      </c>
    </row>
    <row r="143" spans="1:8" x14ac:dyDescent="0.25">
      <c r="A143" s="56">
        <v>44764</v>
      </c>
      <c r="B143" s="29">
        <v>0.09</v>
      </c>
      <c r="C143" s="36">
        <f t="shared" si="12"/>
        <v>2.2859999999999996</v>
      </c>
      <c r="D143" s="47">
        <f t="shared" si="13"/>
        <v>6.7534117647058789</v>
      </c>
      <c r="E143" s="47">
        <f t="shared" si="14"/>
        <v>19.084278462467395</v>
      </c>
      <c r="F143" s="47">
        <f t="shared" si="15"/>
        <v>-4.4674117647058793</v>
      </c>
      <c r="G143" s="24">
        <f t="shared" si="16"/>
        <v>-0.23408858624085965</v>
      </c>
      <c r="H143">
        <v>-0.5</v>
      </c>
    </row>
    <row r="144" spans="1:8" x14ac:dyDescent="0.25">
      <c r="A144" s="56">
        <v>44795</v>
      </c>
      <c r="B144" s="29">
        <v>0.09</v>
      </c>
      <c r="C144" s="36">
        <f t="shared" si="12"/>
        <v>2.2859999999999996</v>
      </c>
      <c r="D144" s="47">
        <f t="shared" si="13"/>
        <v>6.7534117647058789</v>
      </c>
      <c r="E144" s="47">
        <f t="shared" si="14"/>
        <v>19.084278462467395</v>
      </c>
      <c r="F144" s="47">
        <f t="shared" si="15"/>
        <v>-4.4674117647058793</v>
      </c>
      <c r="G144" s="24">
        <f t="shared" si="16"/>
        <v>-0.23408858624085965</v>
      </c>
      <c r="H144">
        <v>-0.5</v>
      </c>
    </row>
    <row r="145" spans="1:8" x14ac:dyDescent="0.25">
      <c r="A145" s="56">
        <v>44826</v>
      </c>
      <c r="B145" s="29">
        <v>0.09</v>
      </c>
      <c r="C145" s="36">
        <f t="shared" si="12"/>
        <v>2.2859999999999996</v>
      </c>
      <c r="D145" s="47">
        <f t="shared" si="13"/>
        <v>6.7534117647058789</v>
      </c>
      <c r="E145" s="47">
        <f t="shared" si="14"/>
        <v>19.084278462467395</v>
      </c>
      <c r="F145" s="47">
        <f t="shared" si="15"/>
        <v>-4.4674117647058793</v>
      </c>
      <c r="G145" s="24">
        <f>F145/E145</f>
        <v>-0.23408858624085965</v>
      </c>
      <c r="H145">
        <v>-0.5</v>
      </c>
    </row>
    <row r="146" spans="1:8" x14ac:dyDescent="0.25">
      <c r="A146" s="56">
        <v>44856</v>
      </c>
      <c r="B146" s="29">
        <v>0.06</v>
      </c>
      <c r="C146" s="36">
        <f t="shared" si="12"/>
        <v>1.5239999999999998</v>
      </c>
      <c r="D146" s="47">
        <f t="shared" si="13"/>
        <v>6.7534117647058789</v>
      </c>
      <c r="E146" s="47">
        <f t="shared" si="14"/>
        <v>19.084278462467395</v>
      </c>
      <c r="F146" s="47">
        <f t="shared" si="15"/>
        <v>-5.2294117647058789</v>
      </c>
      <c r="G146" s="24">
        <f t="shared" ref="G146:G175" si="17">F146/E146</f>
        <v>-0.27401673974682567</v>
      </c>
      <c r="H146">
        <v>-0.5</v>
      </c>
    </row>
    <row r="147" spans="1:8" x14ac:dyDescent="0.25">
      <c r="A147" s="56">
        <v>44887</v>
      </c>
      <c r="B147" s="29">
        <v>0.2</v>
      </c>
      <c r="C147" s="36">
        <f t="shared" si="12"/>
        <v>5.08</v>
      </c>
      <c r="D147" s="47">
        <f t="shared" si="13"/>
        <v>6.7534117647058789</v>
      </c>
      <c r="E147" s="47">
        <f t="shared" si="14"/>
        <v>19.084278462467395</v>
      </c>
      <c r="F147" s="47">
        <f t="shared" si="15"/>
        <v>-1.6734117647058788</v>
      </c>
      <c r="G147" s="24">
        <f t="shared" si="17"/>
        <v>-8.7685356718984087E-2</v>
      </c>
      <c r="H147">
        <v>-0.5</v>
      </c>
    </row>
    <row r="148" spans="1:8" x14ac:dyDescent="0.25">
      <c r="A148" s="56">
        <v>44917</v>
      </c>
      <c r="B148" s="29">
        <v>3.18</v>
      </c>
      <c r="C148" s="36">
        <f t="shared" si="12"/>
        <v>80.772000000000006</v>
      </c>
      <c r="D148" s="47">
        <f t="shared" si="13"/>
        <v>6.7534117647058789</v>
      </c>
      <c r="E148" s="47">
        <f t="shared" si="14"/>
        <v>19.084278462467395</v>
      </c>
      <c r="F148" s="47">
        <f t="shared" si="15"/>
        <v>74.018588235294132</v>
      </c>
      <c r="G148" s="24">
        <f t="shared" si="17"/>
        <v>3.8785112248736446</v>
      </c>
      <c r="H148">
        <v>-0.5</v>
      </c>
    </row>
    <row r="149" spans="1:8" x14ac:dyDescent="0.25">
      <c r="A149" s="56">
        <v>44948</v>
      </c>
      <c r="B149" s="29">
        <v>1.1599999999999999</v>
      </c>
      <c r="C149" s="36">
        <f t="shared" si="12"/>
        <v>29.463999999999995</v>
      </c>
      <c r="D149" s="47">
        <f t="shared" si="13"/>
        <v>6.7534117647058789</v>
      </c>
      <c r="E149" s="47">
        <f t="shared" si="14"/>
        <v>19.084278462467395</v>
      </c>
      <c r="F149" s="47">
        <f t="shared" si="15"/>
        <v>22.710588235294118</v>
      </c>
      <c r="G149" s="24">
        <f t="shared" si="17"/>
        <v>1.1900155554719294</v>
      </c>
      <c r="H149">
        <v>-0.5</v>
      </c>
    </row>
    <row r="150" spans="1:8" x14ac:dyDescent="0.25">
      <c r="A150" s="56">
        <v>44979</v>
      </c>
      <c r="B150" s="29">
        <v>5.55</v>
      </c>
      <c r="C150" s="36">
        <f t="shared" si="12"/>
        <v>140.97</v>
      </c>
      <c r="D150" s="47">
        <f t="shared" si="13"/>
        <v>6.7534117647058789</v>
      </c>
      <c r="E150" s="47">
        <f t="shared" si="14"/>
        <v>19.084278462467395</v>
      </c>
      <c r="F150" s="47">
        <f t="shared" si="15"/>
        <v>134.21658823529413</v>
      </c>
      <c r="G150" s="24">
        <f t="shared" si="17"/>
        <v>7.0328353518449624</v>
      </c>
      <c r="H150">
        <v>-0.5</v>
      </c>
    </row>
    <row r="151" spans="1:8" x14ac:dyDescent="0.25">
      <c r="A151" s="56">
        <v>45007</v>
      </c>
      <c r="B151" s="29">
        <v>-0.2</v>
      </c>
      <c r="C151" s="36">
        <f t="shared" si="12"/>
        <v>-5.08</v>
      </c>
      <c r="D151" s="47">
        <f t="shared" si="13"/>
        <v>6.7534117647058789</v>
      </c>
      <c r="E151" s="47">
        <f t="shared" si="14"/>
        <v>19.084278462467395</v>
      </c>
      <c r="F151" s="47">
        <f t="shared" si="15"/>
        <v>-11.833411764705879</v>
      </c>
      <c r="G151" s="24">
        <f t="shared" si="17"/>
        <v>-0.62006073679853146</v>
      </c>
      <c r="H151">
        <v>-0.5</v>
      </c>
    </row>
    <row r="152" spans="1:8" x14ac:dyDescent="0.25">
      <c r="A152" s="56">
        <v>45038</v>
      </c>
      <c r="B152" s="29">
        <v>-0.05</v>
      </c>
      <c r="C152" s="36">
        <f t="shared" si="12"/>
        <v>-1.27</v>
      </c>
      <c r="D152" s="47">
        <f t="shared" si="13"/>
        <v>6.7534117647058789</v>
      </c>
      <c r="E152" s="47">
        <f t="shared" si="14"/>
        <v>19.084278462467395</v>
      </c>
      <c r="F152" s="47">
        <f t="shared" si="15"/>
        <v>-8.0234117647058785</v>
      </c>
      <c r="G152" s="24">
        <f t="shared" si="17"/>
        <v>-0.42041996926870118</v>
      </c>
      <c r="H152">
        <v>-0.5</v>
      </c>
    </row>
    <row r="153" spans="1:8" x14ac:dyDescent="0.25">
      <c r="A153" s="56">
        <v>45068</v>
      </c>
      <c r="B153" s="29">
        <v>0.16</v>
      </c>
      <c r="C153" s="36">
        <f t="shared" si="12"/>
        <v>4.0640000000000001</v>
      </c>
      <c r="D153" s="47">
        <f t="shared" si="13"/>
        <v>6.7534117647058789</v>
      </c>
      <c r="E153" s="47">
        <f t="shared" si="14"/>
        <v>19.084278462467395</v>
      </c>
      <c r="F153" s="47">
        <f t="shared" si="15"/>
        <v>-2.6894117647058788</v>
      </c>
      <c r="G153" s="24">
        <f t="shared" si="17"/>
        <v>-0.14092289472693884</v>
      </c>
      <c r="H153">
        <v>-0.5</v>
      </c>
    </row>
    <row r="154" spans="1:8" x14ac:dyDescent="0.25">
      <c r="A154" s="56">
        <v>45099</v>
      </c>
      <c r="B154" s="29">
        <v>7.0000000000000007E-2</v>
      </c>
      <c r="C154" s="36">
        <f t="shared" si="12"/>
        <v>1.778</v>
      </c>
      <c r="D154" s="47">
        <f t="shared" si="13"/>
        <v>6.7534117647058789</v>
      </c>
      <c r="E154" s="47">
        <f t="shared" si="14"/>
        <v>19.084278462467395</v>
      </c>
      <c r="F154" s="47">
        <f t="shared" si="15"/>
        <v>-4.9754117647058784</v>
      </c>
      <c r="G154" s="24">
        <f t="shared" si="17"/>
        <v>-0.26070735524483696</v>
      </c>
      <c r="H154">
        <v>-0.5</v>
      </c>
    </row>
    <row r="155" spans="1:8" x14ac:dyDescent="0.25">
      <c r="A155" s="56">
        <v>45129</v>
      </c>
      <c r="B155" s="29">
        <v>7.0000000000000007E-2</v>
      </c>
      <c r="C155" s="36">
        <f t="shared" si="12"/>
        <v>1.778</v>
      </c>
      <c r="D155" s="47">
        <f t="shared" si="13"/>
        <v>6.7534117647058789</v>
      </c>
      <c r="E155" s="47">
        <f t="shared" si="14"/>
        <v>19.084278462467395</v>
      </c>
      <c r="F155" s="47">
        <f t="shared" si="15"/>
        <v>-4.9754117647058784</v>
      </c>
      <c r="G155" s="24">
        <f t="shared" si="17"/>
        <v>-0.26070735524483696</v>
      </c>
      <c r="H155">
        <v>-0.5</v>
      </c>
    </row>
    <row r="156" spans="1:8" x14ac:dyDescent="0.25">
      <c r="A156" s="56">
        <v>45160</v>
      </c>
      <c r="B156" s="29">
        <v>0.04</v>
      </c>
      <c r="C156" s="36">
        <f t="shared" si="12"/>
        <v>1.016</v>
      </c>
      <c r="D156" s="47">
        <f t="shared" si="13"/>
        <v>6.7534117647058789</v>
      </c>
      <c r="E156" s="47">
        <f t="shared" si="14"/>
        <v>19.084278462467395</v>
      </c>
      <c r="F156" s="47">
        <f t="shared" si="15"/>
        <v>-5.7374117647058789</v>
      </c>
      <c r="G156" s="24">
        <f t="shared" si="17"/>
        <v>-0.30063550875080303</v>
      </c>
      <c r="H156">
        <v>-0.5</v>
      </c>
    </row>
    <row r="157" spans="1:8" x14ac:dyDescent="0.25">
      <c r="A157" s="56">
        <v>45191</v>
      </c>
      <c r="B157" s="29">
        <v>0.02</v>
      </c>
      <c r="C157" s="36">
        <f t="shared" si="12"/>
        <v>0.50800000000000001</v>
      </c>
      <c r="D157" s="47">
        <f t="shared" si="13"/>
        <v>6.7534117647058789</v>
      </c>
      <c r="E157" s="47">
        <f t="shared" si="14"/>
        <v>19.084278462467395</v>
      </c>
      <c r="F157" s="47">
        <f t="shared" si="15"/>
        <v>-6.2454117647058789</v>
      </c>
      <c r="G157" s="24">
        <f t="shared" si="17"/>
        <v>-0.32725427775478044</v>
      </c>
      <c r="H157">
        <v>-0.5</v>
      </c>
    </row>
    <row r="158" spans="1:8" x14ac:dyDescent="0.25">
      <c r="A158" s="56">
        <v>45221</v>
      </c>
      <c r="B158" s="29">
        <v>0.09</v>
      </c>
      <c r="C158" s="36">
        <f t="shared" si="12"/>
        <v>2.2859999999999996</v>
      </c>
      <c r="D158" s="47">
        <f t="shared" si="13"/>
        <v>6.7534117647058789</v>
      </c>
      <c r="E158" s="47">
        <f t="shared" si="14"/>
        <v>19.084278462467395</v>
      </c>
      <c r="F158" s="47">
        <f t="shared" si="15"/>
        <v>-4.4674117647058793</v>
      </c>
      <c r="G158" s="24">
        <f t="shared" si="17"/>
        <v>-0.23408858624085965</v>
      </c>
      <c r="H158">
        <v>-0.5</v>
      </c>
    </row>
    <row r="159" spans="1:8" x14ac:dyDescent="0.25">
      <c r="A159" s="56">
        <v>45252</v>
      </c>
      <c r="B159" s="29">
        <v>0.04</v>
      </c>
      <c r="C159" s="36">
        <f t="shared" si="12"/>
        <v>1.016</v>
      </c>
      <c r="D159" s="47">
        <f t="shared" si="13"/>
        <v>6.7534117647058789</v>
      </c>
      <c r="E159" s="47">
        <f t="shared" si="14"/>
        <v>19.084278462467395</v>
      </c>
      <c r="F159" s="47">
        <f t="shared" si="15"/>
        <v>-5.7374117647058789</v>
      </c>
      <c r="G159" s="24">
        <f t="shared" si="17"/>
        <v>-0.30063550875080303</v>
      </c>
      <c r="H159">
        <v>-0.5</v>
      </c>
    </row>
    <row r="160" spans="1:8" x14ac:dyDescent="0.25">
      <c r="A160" s="56">
        <v>45282</v>
      </c>
      <c r="B160" s="36">
        <v>0.33</v>
      </c>
      <c r="C160" s="36">
        <f t="shared" si="12"/>
        <v>8.3819999999999997</v>
      </c>
      <c r="D160" s="47">
        <f t="shared" si="13"/>
        <v>6.7534117647058789</v>
      </c>
      <c r="E160" s="47">
        <f t="shared" si="14"/>
        <v>19.084278462467395</v>
      </c>
      <c r="F160" s="47">
        <f t="shared" si="15"/>
        <v>1.6285882352941208</v>
      </c>
      <c r="G160" s="24">
        <f t="shared" si="17"/>
        <v>8.5336641806868785E-2</v>
      </c>
      <c r="H160">
        <v>-0.5</v>
      </c>
    </row>
    <row r="161" spans="1:8" x14ac:dyDescent="0.25">
      <c r="A161" s="56">
        <v>45313</v>
      </c>
      <c r="B161" s="36">
        <v>0.43</v>
      </c>
      <c r="C161" s="36">
        <f t="shared" si="12"/>
        <v>10.921999999999999</v>
      </c>
      <c r="D161" s="47">
        <f t="shared" si="13"/>
        <v>6.7534117647058789</v>
      </c>
      <c r="E161" s="47">
        <f t="shared" si="14"/>
        <v>19.084278462467395</v>
      </c>
      <c r="F161" s="47">
        <f t="shared" si="15"/>
        <v>4.1685882352941199</v>
      </c>
      <c r="G161" s="24">
        <f t="shared" si="17"/>
        <v>0.21843048682675559</v>
      </c>
      <c r="H161">
        <v>-0.5</v>
      </c>
    </row>
    <row r="162" spans="1:8" x14ac:dyDescent="0.25">
      <c r="A162" s="56">
        <v>45344</v>
      </c>
      <c r="B162" s="36">
        <v>0.3</v>
      </c>
      <c r="C162" s="36">
        <f t="shared" si="12"/>
        <v>7.6199999999999992</v>
      </c>
      <c r="D162" s="47">
        <f t="shared" si="13"/>
        <v>6.7534117647058789</v>
      </c>
      <c r="E162" s="47">
        <f t="shared" si="14"/>
        <v>19.084278462467395</v>
      </c>
      <c r="F162" s="47">
        <f t="shared" si="15"/>
        <v>0.86658823529412032</v>
      </c>
      <c r="G162" s="24">
        <f t="shared" si="17"/>
        <v>4.5408488300902709E-2</v>
      </c>
      <c r="H162">
        <v>-0.5</v>
      </c>
    </row>
    <row r="163" spans="1:8" x14ac:dyDescent="0.25">
      <c r="A163" s="56">
        <v>45373</v>
      </c>
      <c r="B163" s="36">
        <v>0.09</v>
      </c>
      <c r="C163" s="36">
        <f t="shared" si="12"/>
        <v>2.2859999999999996</v>
      </c>
      <c r="D163" s="47">
        <f t="shared" si="13"/>
        <v>6.7534117647058789</v>
      </c>
      <c r="E163" s="47">
        <f t="shared" si="14"/>
        <v>19.084278462467395</v>
      </c>
      <c r="F163" s="47">
        <f t="shared" si="15"/>
        <v>-4.4674117647058793</v>
      </c>
      <c r="G163" s="24">
        <f t="shared" si="17"/>
        <v>-0.23408858624085965</v>
      </c>
      <c r="H163">
        <v>-0.5</v>
      </c>
    </row>
    <row r="164" spans="1:8" x14ac:dyDescent="0.25">
      <c r="A164" s="56">
        <v>45404</v>
      </c>
      <c r="B164" s="36">
        <v>0.42</v>
      </c>
      <c r="C164" s="36">
        <f t="shared" si="12"/>
        <v>10.667999999999999</v>
      </c>
      <c r="D164" s="47">
        <f t="shared" si="13"/>
        <v>6.7534117647058789</v>
      </c>
      <c r="E164" s="47">
        <f t="shared" si="14"/>
        <v>19.084278462467395</v>
      </c>
      <c r="F164" s="47">
        <f t="shared" si="15"/>
        <v>3.9145882352941204</v>
      </c>
      <c r="G164" s="24">
        <f t="shared" si="17"/>
        <v>0.20512110232476694</v>
      </c>
      <c r="H164">
        <v>-0.5</v>
      </c>
    </row>
    <row r="165" spans="1:8" x14ac:dyDescent="0.25">
      <c r="A165" s="56">
        <v>45434</v>
      </c>
      <c r="B165" s="29">
        <v>0</v>
      </c>
      <c r="C165" s="36">
        <f t="shared" ref="C165:C175" si="18">$D$1*B165</f>
        <v>0</v>
      </c>
      <c r="D165" s="47">
        <f t="shared" si="13"/>
        <v>6.7534117647058789</v>
      </c>
      <c r="E165" s="47">
        <f t="shared" si="14"/>
        <v>19.084278462467395</v>
      </c>
      <c r="F165" s="47">
        <f t="shared" si="15"/>
        <v>-6.7534117647058789</v>
      </c>
      <c r="G165" s="24">
        <f t="shared" si="17"/>
        <v>-0.3538730467587578</v>
      </c>
      <c r="H165">
        <v>-0.5</v>
      </c>
    </row>
    <row r="166" spans="1:8" x14ac:dyDescent="0.25">
      <c r="A166" s="56">
        <v>45465</v>
      </c>
      <c r="B166" s="1">
        <v>0.04</v>
      </c>
      <c r="C166" s="29">
        <f t="shared" si="18"/>
        <v>1.016</v>
      </c>
      <c r="D166" s="47">
        <f t="shared" si="13"/>
        <v>6.7534117647058789</v>
      </c>
      <c r="E166" s="47">
        <f t="shared" si="14"/>
        <v>19.084278462467395</v>
      </c>
      <c r="F166" s="47">
        <f t="shared" si="15"/>
        <v>-5.7374117647058789</v>
      </c>
      <c r="G166" s="24">
        <f t="shared" si="17"/>
        <v>-0.30063550875080303</v>
      </c>
      <c r="H166">
        <v>-0.5</v>
      </c>
    </row>
    <row r="167" spans="1:8" x14ac:dyDescent="0.25">
      <c r="A167" s="56">
        <v>45495</v>
      </c>
      <c r="B167" s="1">
        <v>0.02</v>
      </c>
      <c r="C167" s="29">
        <f t="shared" si="18"/>
        <v>0.50800000000000001</v>
      </c>
      <c r="D167" s="47">
        <f t="shared" si="13"/>
        <v>6.7534117647058789</v>
      </c>
      <c r="E167" s="47">
        <f t="shared" si="14"/>
        <v>19.084278462467395</v>
      </c>
      <c r="F167" s="47">
        <f t="shared" si="15"/>
        <v>-6.2454117647058789</v>
      </c>
      <c r="G167" s="24">
        <f t="shared" si="17"/>
        <v>-0.32725427775478044</v>
      </c>
      <c r="H167">
        <v>-0.5</v>
      </c>
    </row>
    <row r="168" spans="1:8" x14ac:dyDescent="0.25">
      <c r="A168" s="56">
        <v>45526</v>
      </c>
      <c r="B168" s="1">
        <v>0.01</v>
      </c>
      <c r="C168" s="29">
        <f t="shared" si="18"/>
        <v>0.254</v>
      </c>
      <c r="D168" s="47">
        <f t="shared" si="13"/>
        <v>6.7534117647058789</v>
      </c>
      <c r="E168" s="47">
        <f t="shared" si="14"/>
        <v>19.084278462467395</v>
      </c>
      <c r="F168" s="47">
        <f t="shared" si="15"/>
        <v>-6.4994117647058793</v>
      </c>
      <c r="G168" s="24">
        <f t="shared" si="17"/>
        <v>-0.34056366225676915</v>
      </c>
      <c r="H168">
        <v>-0.5</v>
      </c>
    </row>
    <row r="169" spans="1:8" x14ac:dyDescent="0.25">
      <c r="A169" s="56">
        <v>45557</v>
      </c>
      <c r="B169" s="1">
        <v>0.05</v>
      </c>
      <c r="C169" s="29">
        <f t="shared" si="18"/>
        <v>1.27</v>
      </c>
      <c r="D169" s="47">
        <f t="shared" si="13"/>
        <v>6.7534117647058789</v>
      </c>
      <c r="E169" s="47">
        <f t="shared" si="14"/>
        <v>19.084278462467395</v>
      </c>
      <c r="F169" s="47">
        <f t="shared" si="15"/>
        <v>-5.4834117647058793</v>
      </c>
      <c r="G169" s="24">
        <f t="shared" si="17"/>
        <v>-0.28732612424881437</v>
      </c>
      <c r="H169">
        <v>-0.5</v>
      </c>
    </row>
    <row r="170" spans="1:8" x14ac:dyDescent="0.25">
      <c r="A170" s="56">
        <v>45587</v>
      </c>
      <c r="B170" s="1">
        <v>0.04</v>
      </c>
      <c r="C170" s="29">
        <f t="shared" si="18"/>
        <v>1.016</v>
      </c>
      <c r="D170" s="47">
        <f t="shared" si="13"/>
        <v>6.7534117647058789</v>
      </c>
      <c r="E170" s="47">
        <f t="shared" si="14"/>
        <v>19.084278462467395</v>
      </c>
      <c r="F170" s="47">
        <f t="shared" si="15"/>
        <v>-5.7374117647058789</v>
      </c>
      <c r="G170" s="24">
        <f t="shared" si="17"/>
        <v>-0.30063550875080303</v>
      </c>
      <c r="H170">
        <v>-0.5</v>
      </c>
    </row>
    <row r="171" spans="1:8" x14ac:dyDescent="0.25">
      <c r="A171" s="56">
        <v>45618</v>
      </c>
      <c r="B171" s="1">
        <v>0.02</v>
      </c>
      <c r="C171" s="29">
        <f t="shared" si="18"/>
        <v>0.50800000000000001</v>
      </c>
      <c r="D171" s="47">
        <f t="shared" si="13"/>
        <v>6.7534117647058789</v>
      </c>
      <c r="E171" s="47">
        <f t="shared" si="14"/>
        <v>19.084278462467395</v>
      </c>
      <c r="F171" s="47">
        <f t="shared" si="15"/>
        <v>-6.2454117647058789</v>
      </c>
      <c r="G171" s="24">
        <f t="shared" si="17"/>
        <v>-0.32725427775478044</v>
      </c>
      <c r="H171">
        <v>-0.5</v>
      </c>
    </row>
    <row r="172" spans="1:8" x14ac:dyDescent="0.25">
      <c r="A172" s="56">
        <v>45648</v>
      </c>
      <c r="B172" s="1">
        <v>0.79</v>
      </c>
      <c r="C172" s="29">
        <f t="shared" si="18"/>
        <v>20.065999999999999</v>
      </c>
      <c r="D172" s="47">
        <f t="shared" si="13"/>
        <v>6.7534117647058789</v>
      </c>
      <c r="E172" s="47">
        <f t="shared" si="14"/>
        <v>19.084278462467395</v>
      </c>
      <c r="F172" s="47">
        <f t="shared" si="15"/>
        <v>13.31258823529412</v>
      </c>
      <c r="G172" s="24">
        <f t="shared" si="17"/>
        <v>0.6975683288983483</v>
      </c>
      <c r="H172">
        <v>-0.5</v>
      </c>
    </row>
    <row r="173" spans="1:8" x14ac:dyDescent="0.25">
      <c r="A173" s="56">
        <v>45679</v>
      </c>
      <c r="B173" s="1">
        <v>6.81</v>
      </c>
      <c r="C173" s="29">
        <f t="shared" si="18"/>
        <v>172.97399999999999</v>
      </c>
      <c r="D173" s="47">
        <f t="shared" si="13"/>
        <v>6.7534117647058789</v>
      </c>
      <c r="E173" s="47">
        <f t="shared" si="14"/>
        <v>19.084278462467395</v>
      </c>
      <c r="F173" s="47">
        <f t="shared" si="15"/>
        <v>166.22058823529412</v>
      </c>
      <c r="G173" s="24">
        <f t="shared" si="17"/>
        <v>8.7098177990955357</v>
      </c>
      <c r="H173">
        <v>-0.5</v>
      </c>
    </row>
    <row r="174" spans="1:8" x14ac:dyDescent="0.25">
      <c r="A174" s="56">
        <v>45710</v>
      </c>
      <c r="B174" s="1">
        <v>0.41</v>
      </c>
      <c r="C174" s="29">
        <f t="shared" si="18"/>
        <v>10.413999999999998</v>
      </c>
      <c r="D174" s="47">
        <f t="shared" si="13"/>
        <v>6.7534117647058789</v>
      </c>
      <c r="E174" s="47">
        <f t="shared" si="14"/>
        <v>19.084278462467395</v>
      </c>
      <c r="F174" s="47">
        <f t="shared" si="15"/>
        <v>3.660588235294119</v>
      </c>
      <c r="G174" s="24">
        <f t="shared" si="17"/>
        <v>0.19181171782277817</v>
      </c>
      <c r="H174">
        <v>-0.5</v>
      </c>
    </row>
    <row r="175" spans="1:8" x14ac:dyDescent="0.25">
      <c r="A175" s="56">
        <v>45739</v>
      </c>
      <c r="B175" s="1">
        <v>0.82</v>
      </c>
      <c r="C175" s="29">
        <f t="shared" si="18"/>
        <v>20.827999999999996</v>
      </c>
      <c r="D175" s="47">
        <f t="shared" si="13"/>
        <v>6.7534117647058789</v>
      </c>
      <c r="E175" s="47">
        <f t="shared" si="14"/>
        <v>19.084278462467395</v>
      </c>
      <c r="F175" s="47">
        <f t="shared" si="15"/>
        <v>14.074588235294117</v>
      </c>
      <c r="G175" s="24">
        <f t="shared" si="17"/>
        <v>0.7374964824043142</v>
      </c>
      <c r="H175">
        <v>-0.5</v>
      </c>
    </row>
  </sheetData>
  <mergeCells count="2">
    <mergeCell ref="A2:G2"/>
    <mergeCell ref="A3:G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Crocodile workbook</vt:lpstr>
      <vt:lpstr>Sabie workbook</vt:lpstr>
      <vt:lpstr>Sand workbook</vt:lpstr>
      <vt:lpstr> Upper Komati</vt:lpstr>
      <vt:lpstr> Lower Komati</vt:lpstr>
      <vt:lpstr>Ngwempisi</vt:lpstr>
      <vt:lpstr>Assegai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Dr Teboho Shakhane</cp:lastModifiedBy>
  <cp:revision/>
  <dcterms:created xsi:type="dcterms:W3CDTF">2024-06-21T06:56:18Z</dcterms:created>
  <dcterms:modified xsi:type="dcterms:W3CDTF">2025-10-27T07:54:16Z</dcterms:modified>
  <cp:category/>
  <cp:contentStatus/>
</cp:coreProperties>
</file>