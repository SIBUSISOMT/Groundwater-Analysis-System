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90A11321-7B0E-4E62-A5BE-D842E0BB42E0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abie workbook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D119" i="7"/>
  <c r="D127" i="7"/>
  <c r="D135" i="7"/>
  <c r="D143" i="7"/>
  <c r="D151" i="7"/>
  <c r="D159" i="7"/>
  <c r="D167" i="7"/>
  <c r="C4" i="7"/>
  <c r="E4" i="7" s="1"/>
  <c r="C12" i="7"/>
  <c r="E12" i="7" s="1"/>
  <c r="C20" i="7"/>
  <c r="C28" i="7"/>
  <c r="C36" i="7"/>
  <c r="C44" i="7"/>
  <c r="C52" i="7"/>
  <c r="C60" i="7"/>
  <c r="C68" i="7"/>
  <c r="E68" i="7" s="1"/>
  <c r="C76" i="7"/>
  <c r="E76" i="7" s="1"/>
  <c r="C84" i="7"/>
  <c r="E84" i="7" s="1"/>
  <c r="C92" i="7"/>
  <c r="C100" i="7"/>
  <c r="C108" i="7"/>
  <c r="E108" i="7" s="1"/>
  <c r="C116" i="7"/>
  <c r="C124" i="7"/>
  <c r="E124" i="7" s="1"/>
  <c r="C132" i="7"/>
  <c r="E132" i="7" s="1"/>
  <c r="C140" i="7"/>
  <c r="E140" i="7" s="1"/>
  <c r="C148" i="7"/>
  <c r="E148" i="7" s="1"/>
  <c r="F148" i="7" s="1"/>
  <c r="C156" i="7"/>
  <c r="E156" i="7" s="1"/>
  <c r="C164" i="7"/>
  <c r="C172" i="7"/>
  <c r="E172" i="7" s="1"/>
  <c r="D12" i="7"/>
  <c r="D108" i="7"/>
  <c r="D148" i="7"/>
  <c r="C9" i="7"/>
  <c r="E9" i="7" s="1"/>
  <c r="C41" i="7"/>
  <c r="E41" i="7" s="1"/>
  <c r="C81" i="7"/>
  <c r="C105" i="7"/>
  <c r="C137" i="7"/>
  <c r="E137" i="7" s="1"/>
  <c r="F137" i="7" s="1"/>
  <c r="C35" i="7"/>
  <c r="C99" i="7"/>
  <c r="E99" i="7" s="1"/>
  <c r="C123" i="7"/>
  <c r="E123" i="7" s="1"/>
  <c r="C163" i="7"/>
  <c r="E163" i="7" s="1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D120" i="7"/>
  <c r="D128" i="7"/>
  <c r="D136" i="7"/>
  <c r="D144" i="7"/>
  <c r="D152" i="7"/>
  <c r="D160" i="7"/>
  <c r="D168" i="7"/>
  <c r="C5" i="7"/>
  <c r="E5" i="7" s="1"/>
  <c r="F5" i="7" s="1"/>
  <c r="C13" i="7"/>
  <c r="E13" i="7" s="1"/>
  <c r="C21" i="7"/>
  <c r="E21" i="7" s="1"/>
  <c r="F21" i="7" s="1"/>
  <c r="C29" i="7"/>
  <c r="E29" i="7" s="1"/>
  <c r="C37" i="7"/>
  <c r="C45" i="7"/>
  <c r="C53" i="7"/>
  <c r="E53" i="7" s="1"/>
  <c r="C61" i="7"/>
  <c r="C69" i="7"/>
  <c r="E69" i="7" s="1"/>
  <c r="C77" i="7"/>
  <c r="C85" i="7"/>
  <c r="E85" i="7" s="1"/>
  <c r="F85" i="7" s="1"/>
  <c r="C93" i="7"/>
  <c r="E93" i="7" s="1"/>
  <c r="C101" i="7"/>
  <c r="E101" i="7" s="1"/>
  <c r="C109" i="7"/>
  <c r="C117" i="7"/>
  <c r="E117" i="7" s="1"/>
  <c r="C125" i="7"/>
  <c r="C133" i="7"/>
  <c r="E133" i="7" s="1"/>
  <c r="C141" i="7"/>
  <c r="E141" i="7" s="1"/>
  <c r="C149" i="7"/>
  <c r="E149" i="7" s="1"/>
  <c r="C157" i="7"/>
  <c r="E157" i="7" s="1"/>
  <c r="C165" i="7"/>
  <c r="E165" i="7" s="1"/>
  <c r="C2" i="7"/>
  <c r="E2" i="7" s="1"/>
  <c r="D76" i="7"/>
  <c r="D140" i="7"/>
  <c r="C25" i="7"/>
  <c r="E25" i="7" s="1"/>
  <c r="C65" i="7"/>
  <c r="E65" i="7" s="1"/>
  <c r="C121" i="7"/>
  <c r="E121" i="7" s="1"/>
  <c r="F121" i="7" s="1"/>
  <c r="C161" i="7"/>
  <c r="E161" i="7" s="1"/>
  <c r="C59" i="7"/>
  <c r="E59" i="7" s="1"/>
  <c r="C139" i="7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D121" i="7"/>
  <c r="D129" i="7"/>
  <c r="D137" i="7"/>
  <c r="D145" i="7"/>
  <c r="D153" i="7"/>
  <c r="D161" i="7"/>
  <c r="D169" i="7"/>
  <c r="C6" i="7"/>
  <c r="E6" i="7" s="1"/>
  <c r="F6" i="7" s="1"/>
  <c r="C14" i="7"/>
  <c r="E14" i="7" s="1"/>
  <c r="C22" i="7"/>
  <c r="C30" i="7"/>
  <c r="E30" i="7" s="1"/>
  <c r="C38" i="7"/>
  <c r="C46" i="7"/>
  <c r="E46" i="7" s="1"/>
  <c r="C54" i="7"/>
  <c r="E54" i="7" s="1"/>
  <c r="C62" i="7"/>
  <c r="E62" i="7" s="1"/>
  <c r="C70" i="7"/>
  <c r="E70" i="7" s="1"/>
  <c r="C78" i="7"/>
  <c r="E78" i="7" s="1"/>
  <c r="C86" i="7"/>
  <c r="C94" i="7"/>
  <c r="E94" i="7" s="1"/>
  <c r="C102" i="7"/>
  <c r="C110" i="7"/>
  <c r="E110" i="7" s="1"/>
  <c r="C118" i="7"/>
  <c r="E118" i="7" s="1"/>
  <c r="C126" i="7"/>
  <c r="E126" i="7" s="1"/>
  <c r="C134" i="7"/>
  <c r="E134" i="7" s="1"/>
  <c r="C142" i="7"/>
  <c r="E142" i="7" s="1"/>
  <c r="C150" i="7"/>
  <c r="C158" i="7"/>
  <c r="E158" i="7" s="1"/>
  <c r="C166" i="7"/>
  <c r="E166" i="7" s="1"/>
  <c r="D4" i="7"/>
  <c r="D28" i="7"/>
  <c r="D44" i="7"/>
  <c r="D52" i="7"/>
  <c r="D60" i="7"/>
  <c r="D68" i="7"/>
  <c r="D84" i="7"/>
  <c r="D116" i="7"/>
  <c r="D124" i="7"/>
  <c r="D164" i="7"/>
  <c r="C33" i="7"/>
  <c r="E33" i="7" s="1"/>
  <c r="F33" i="7" s="1"/>
  <c r="C73" i="7"/>
  <c r="E73" i="7" s="1"/>
  <c r="F73" i="7" s="1"/>
  <c r="C129" i="7"/>
  <c r="E129" i="7" s="1"/>
  <c r="F129" i="7" s="1"/>
  <c r="C169" i="7"/>
  <c r="E169" i="7" s="1"/>
  <c r="C51" i="7"/>
  <c r="C131" i="7"/>
  <c r="E131" i="7" s="1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D122" i="7"/>
  <c r="D130" i="7"/>
  <c r="D138" i="7"/>
  <c r="D146" i="7"/>
  <c r="D154" i="7"/>
  <c r="D162" i="7"/>
  <c r="D170" i="7"/>
  <c r="C7" i="7"/>
  <c r="C15" i="7"/>
  <c r="E15" i="7" s="1"/>
  <c r="F15" i="7" s="1"/>
  <c r="C23" i="7"/>
  <c r="C31" i="7"/>
  <c r="E31" i="7" s="1"/>
  <c r="C39" i="7"/>
  <c r="E39" i="7" s="1"/>
  <c r="C47" i="7"/>
  <c r="E47" i="7" s="1"/>
  <c r="C55" i="7"/>
  <c r="E55" i="7" s="1"/>
  <c r="C63" i="7"/>
  <c r="E63" i="7" s="1"/>
  <c r="C71" i="7"/>
  <c r="C79" i="7"/>
  <c r="E79" i="7" s="1"/>
  <c r="C87" i="7"/>
  <c r="C95" i="7"/>
  <c r="E95" i="7" s="1"/>
  <c r="C103" i="7"/>
  <c r="E103" i="7" s="1"/>
  <c r="C111" i="7"/>
  <c r="E111" i="7" s="1"/>
  <c r="C119" i="7"/>
  <c r="E119" i="7" s="1"/>
  <c r="C127" i="7"/>
  <c r="E127" i="7" s="1"/>
  <c r="C135" i="7"/>
  <c r="C143" i="7"/>
  <c r="C151" i="7"/>
  <c r="C159" i="7"/>
  <c r="E159" i="7" s="1"/>
  <c r="F159" i="7" s="1"/>
  <c r="C167" i="7"/>
  <c r="E167" i="7" s="1"/>
  <c r="D20" i="7"/>
  <c r="D100" i="7"/>
  <c r="D156" i="7"/>
  <c r="C17" i="7"/>
  <c r="C49" i="7"/>
  <c r="E49" i="7" s="1"/>
  <c r="C89" i="7"/>
  <c r="C145" i="7"/>
  <c r="E145" i="7" s="1"/>
  <c r="C19" i="7"/>
  <c r="E19" i="7" s="1"/>
  <c r="C91" i="7"/>
  <c r="E91" i="7" s="1"/>
  <c r="C171" i="7"/>
  <c r="E171" i="7" s="1"/>
  <c r="D3" i="7"/>
  <c r="D11" i="7"/>
  <c r="D19" i="7"/>
  <c r="D27" i="7"/>
  <c r="D35" i="7"/>
  <c r="D43" i="7"/>
  <c r="D51" i="7"/>
  <c r="D59" i="7"/>
  <c r="D67" i="7"/>
  <c r="D75" i="7"/>
  <c r="D83" i="7"/>
  <c r="D91" i="7"/>
  <c r="D99" i="7"/>
  <c r="D107" i="7"/>
  <c r="D123" i="7"/>
  <c r="D131" i="7"/>
  <c r="D139" i="7"/>
  <c r="D147" i="7"/>
  <c r="D155" i="7"/>
  <c r="D163" i="7"/>
  <c r="D171" i="7"/>
  <c r="C8" i="7"/>
  <c r="E8" i="7" s="1"/>
  <c r="C16" i="7"/>
  <c r="E16" i="7" s="1"/>
  <c r="F16" i="7" s="1"/>
  <c r="C24" i="7"/>
  <c r="E24" i="7" s="1"/>
  <c r="F24" i="7" s="1"/>
  <c r="C32" i="7"/>
  <c r="E32" i="7" s="1"/>
  <c r="C40" i="7"/>
  <c r="C48" i="7"/>
  <c r="E48" i="7" s="1"/>
  <c r="C56" i="7"/>
  <c r="E56" i="7" s="1"/>
  <c r="C64" i="7"/>
  <c r="E64" i="7" s="1"/>
  <c r="F64" i="7" s="1"/>
  <c r="C72" i="7"/>
  <c r="E72" i="7" s="1"/>
  <c r="C80" i="7"/>
  <c r="E80" i="7" s="1"/>
  <c r="F80" i="7" s="1"/>
  <c r="C88" i="7"/>
  <c r="E88" i="7" s="1"/>
  <c r="F88" i="7" s="1"/>
  <c r="C96" i="7"/>
  <c r="E96" i="7" s="1"/>
  <c r="F96" i="7" s="1"/>
  <c r="C104" i="7"/>
  <c r="C112" i="7"/>
  <c r="E112" i="7" s="1"/>
  <c r="C120" i="7"/>
  <c r="E120" i="7" s="1"/>
  <c r="C128" i="7"/>
  <c r="E128" i="7" s="1"/>
  <c r="F128" i="7" s="1"/>
  <c r="C136" i="7"/>
  <c r="E136" i="7" s="1"/>
  <c r="C144" i="7"/>
  <c r="E144" i="7" s="1"/>
  <c r="F144" i="7" s="1"/>
  <c r="C152" i="7"/>
  <c r="E152" i="7" s="1"/>
  <c r="F152" i="7" s="1"/>
  <c r="C160" i="7"/>
  <c r="C168" i="7"/>
  <c r="E168" i="7" s="1"/>
  <c r="F168" i="7" s="1"/>
  <c r="D36" i="7"/>
  <c r="D92" i="7"/>
  <c r="D132" i="7"/>
  <c r="D172" i="7"/>
  <c r="C57" i="7"/>
  <c r="E57" i="7" s="1"/>
  <c r="F57" i="7" s="1"/>
  <c r="C97" i="7"/>
  <c r="C153" i="7"/>
  <c r="E153" i="7" s="1"/>
  <c r="F153" i="7" s="1"/>
  <c r="C67" i="7"/>
  <c r="C155" i="7"/>
  <c r="E155" i="7" s="1"/>
  <c r="D5" i="7"/>
  <c r="D13" i="7"/>
  <c r="D21" i="7"/>
  <c r="D29" i="7"/>
  <c r="D37" i="7"/>
  <c r="D45" i="7"/>
  <c r="D53" i="7"/>
  <c r="D61" i="7"/>
  <c r="D69" i="7"/>
  <c r="D77" i="7"/>
  <c r="D85" i="7"/>
  <c r="D93" i="7"/>
  <c r="D101" i="7"/>
  <c r="D109" i="7"/>
  <c r="D117" i="7"/>
  <c r="D125" i="7"/>
  <c r="D133" i="7"/>
  <c r="D141" i="7"/>
  <c r="D149" i="7"/>
  <c r="D157" i="7"/>
  <c r="D165" i="7"/>
  <c r="D2" i="7"/>
  <c r="C10" i="7"/>
  <c r="E10" i="7" s="1"/>
  <c r="F10" i="7" s="1"/>
  <c r="C18" i="7"/>
  <c r="E18" i="7" s="1"/>
  <c r="C26" i="7"/>
  <c r="E26" i="7" s="1"/>
  <c r="F26" i="7" s="1"/>
  <c r="C34" i="7"/>
  <c r="E34" i="7" s="1"/>
  <c r="C42" i="7"/>
  <c r="C50" i="7"/>
  <c r="E50" i="7" s="1"/>
  <c r="F50" i="7" s="1"/>
  <c r="C58" i="7"/>
  <c r="C66" i="7"/>
  <c r="E66" i="7" s="1"/>
  <c r="F66" i="7" s="1"/>
  <c r="C74" i="7"/>
  <c r="C82" i="7"/>
  <c r="E82" i="7" s="1"/>
  <c r="C90" i="7"/>
  <c r="E90" i="7" s="1"/>
  <c r="F90" i="7" s="1"/>
  <c r="C98" i="7"/>
  <c r="E98" i="7" s="1"/>
  <c r="C106" i="7"/>
  <c r="C122" i="7"/>
  <c r="E122" i="7" s="1"/>
  <c r="F122" i="7" s="1"/>
  <c r="C130" i="7"/>
  <c r="C138" i="7"/>
  <c r="E138" i="7" s="1"/>
  <c r="F138" i="7" s="1"/>
  <c r="C146" i="7"/>
  <c r="E146" i="7" s="1"/>
  <c r="F146" i="7" s="1"/>
  <c r="C154" i="7"/>
  <c r="E154" i="7" s="1"/>
  <c r="C162" i="7"/>
  <c r="E162" i="7" s="1"/>
  <c r="F162" i="7" s="1"/>
  <c r="C170" i="7"/>
  <c r="E170" i="7" s="1"/>
  <c r="D6" i="7"/>
  <c r="D14" i="7"/>
  <c r="D22" i="7"/>
  <c r="D30" i="7"/>
  <c r="D38" i="7"/>
  <c r="D46" i="7"/>
  <c r="D54" i="7"/>
  <c r="D62" i="7"/>
  <c r="D70" i="7"/>
  <c r="D78" i="7"/>
  <c r="D86" i="7"/>
  <c r="D94" i="7"/>
  <c r="D102" i="7"/>
  <c r="D110" i="7"/>
  <c r="D118" i="7"/>
  <c r="D126" i="7"/>
  <c r="D134" i="7"/>
  <c r="D142" i="7"/>
  <c r="D150" i="7"/>
  <c r="D158" i="7"/>
  <c r="D166" i="7"/>
  <c r="C3" i="7"/>
  <c r="E3" i="7" s="1"/>
  <c r="C11" i="7"/>
  <c r="E11" i="7" s="1"/>
  <c r="F11" i="7" s="1"/>
  <c r="C27" i="7"/>
  <c r="E27" i="7" s="1"/>
  <c r="C43" i="7"/>
  <c r="E43" i="7" s="1"/>
  <c r="C75" i="7"/>
  <c r="E75" i="7" s="1"/>
  <c r="F75" i="7" s="1"/>
  <c r="C83" i="7"/>
  <c r="E83" i="7" s="1"/>
  <c r="F83" i="7" s="1"/>
  <c r="C107" i="7"/>
  <c r="E107" i="7" s="1"/>
  <c r="C147" i="7"/>
  <c r="E147" i="7" s="1"/>
  <c r="E109" i="7"/>
  <c r="E61" i="7"/>
  <c r="E151" i="7"/>
  <c r="E87" i="7"/>
  <c r="E23" i="7"/>
  <c r="E28" i="7"/>
  <c r="E60" i="7"/>
  <c r="E92" i="7"/>
  <c r="E116" i="7"/>
  <c r="E20" i="7"/>
  <c r="E52" i="7"/>
  <c r="E100" i="7"/>
  <c r="E164" i="7"/>
  <c r="E44" i="7"/>
  <c r="F44" i="7" s="1"/>
  <c r="E36" i="7"/>
  <c r="E77" i="7"/>
  <c r="E45" i="7"/>
  <c r="E135" i="7"/>
  <c r="E71" i="7"/>
  <c r="E7" i="7"/>
  <c r="F7" i="7" s="1"/>
  <c r="E143" i="7"/>
  <c r="F143" i="7" s="1"/>
  <c r="E17" i="7"/>
  <c r="F17" i="7" s="1"/>
  <c r="E37" i="7"/>
  <c r="F37" i="7" s="1"/>
  <c r="E125" i="7"/>
  <c r="E150" i="7"/>
  <c r="E102" i="7"/>
  <c r="E86" i="7"/>
  <c r="E38" i="7"/>
  <c r="E22" i="7"/>
  <c r="F22" i="7" s="1"/>
  <c r="E139" i="7"/>
  <c r="E67" i="7"/>
  <c r="E51" i="7"/>
  <c r="F51" i="7" s="1"/>
  <c r="E35" i="7"/>
  <c r="E130" i="7"/>
  <c r="F130" i="7" s="1"/>
  <c r="E106" i="7"/>
  <c r="F106" i="7" s="1"/>
  <c r="E74" i="7"/>
  <c r="F74" i="7" s="1"/>
  <c r="E58" i="7"/>
  <c r="F58" i="7" s="1"/>
  <c r="E42" i="7"/>
  <c r="F42" i="7" s="1"/>
  <c r="E105" i="7"/>
  <c r="E97" i="7"/>
  <c r="E89" i="7"/>
  <c r="E81" i="7"/>
  <c r="F81" i="7" s="1"/>
  <c r="E160" i="7"/>
  <c r="E104" i="7"/>
  <c r="F104" i="7" s="1"/>
  <c r="E40" i="7"/>
  <c r="F40" i="7" s="1"/>
  <c r="F170" i="7" l="1"/>
  <c r="F20" i="7"/>
  <c r="F2" i="7"/>
  <c r="F139" i="7"/>
  <c r="F116" i="7"/>
  <c r="F154" i="7"/>
  <c r="F82" i="7"/>
  <c r="F18" i="7"/>
  <c r="F23" i="7"/>
  <c r="F41" i="7"/>
  <c r="F84" i="7"/>
  <c r="F119" i="7"/>
  <c r="F55" i="7"/>
  <c r="F25" i="7"/>
  <c r="F89" i="7"/>
  <c r="F147" i="7"/>
  <c r="F112" i="7"/>
  <c r="F48" i="7"/>
  <c r="F167" i="7"/>
  <c r="F39" i="7"/>
  <c r="F65" i="7"/>
  <c r="F123" i="7"/>
  <c r="F68" i="7"/>
  <c r="F120" i="7"/>
  <c r="F56" i="7"/>
  <c r="F19" i="7"/>
  <c r="F126" i="7"/>
  <c r="F62" i="7"/>
  <c r="F163" i="7"/>
  <c r="F9" i="7"/>
  <c r="F76" i="7"/>
  <c r="F107" i="7"/>
  <c r="F97" i="7"/>
  <c r="F28" i="7"/>
  <c r="F108" i="7"/>
  <c r="F164" i="7"/>
  <c r="F69" i="7"/>
  <c r="F118" i="7"/>
  <c r="F54" i="7"/>
  <c r="F141" i="7"/>
  <c r="F132" i="7"/>
  <c r="F4" i="7"/>
  <c r="F110" i="7"/>
  <c r="F77" i="7"/>
  <c r="F49" i="7"/>
  <c r="F158" i="7"/>
  <c r="F94" i="7"/>
  <c r="F30" i="7"/>
  <c r="F117" i="7"/>
  <c r="F53" i="7"/>
  <c r="F105" i="7"/>
  <c r="F46" i="7"/>
  <c r="F150" i="7"/>
  <c r="F169" i="7"/>
  <c r="F92" i="7"/>
  <c r="F136" i="7"/>
  <c r="F72" i="7"/>
  <c r="F8" i="7"/>
  <c r="F63" i="7"/>
  <c r="F142" i="7"/>
  <c r="F78" i="7"/>
  <c r="F14" i="7"/>
  <c r="F59" i="7"/>
  <c r="F101" i="7"/>
  <c r="F156" i="7"/>
  <c r="F43" i="7"/>
  <c r="F52" i="7"/>
  <c r="F131" i="7"/>
  <c r="F3" i="7"/>
  <c r="F67" i="7"/>
  <c r="F38" i="7"/>
  <c r="F102" i="7"/>
  <c r="F166" i="7"/>
  <c r="F172" i="7"/>
  <c r="F125" i="7"/>
  <c r="F71" i="7"/>
  <c r="F60" i="7"/>
  <c r="F151" i="7"/>
  <c r="F171" i="7"/>
  <c r="F13" i="7"/>
  <c r="F165" i="7"/>
  <c r="F27" i="7"/>
  <c r="F111" i="7"/>
  <c r="F29" i="7"/>
  <c r="F35" i="7"/>
  <c r="F99" i="7"/>
  <c r="F155" i="7"/>
  <c r="F32" i="7"/>
  <c r="F160" i="7"/>
  <c r="F70" i="7"/>
  <c r="F134" i="7"/>
  <c r="F149" i="7"/>
  <c r="F103" i="7"/>
  <c r="F36" i="7"/>
  <c r="F45" i="7"/>
  <c r="F79" i="7"/>
  <c r="F91" i="7"/>
  <c r="F87" i="7"/>
  <c r="F145" i="7"/>
  <c r="F157" i="7"/>
  <c r="F124" i="7"/>
  <c r="F135" i="7"/>
  <c r="F109" i="7"/>
  <c r="F86" i="7"/>
  <c r="F93" i="7"/>
  <c r="F31" i="7"/>
  <c r="F12" i="7"/>
  <c r="F140" i="7"/>
  <c r="F161" i="7"/>
  <c r="F47" i="7"/>
  <c r="F95" i="7"/>
  <c r="F34" i="7"/>
  <c r="F98" i="7"/>
  <c r="F127" i="7"/>
  <c r="F61" i="7"/>
  <c r="F100" i="7"/>
  <c r="F1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<sst xmlns="http://schemas.openxmlformats.org/spreadsheetml/2006/main" count="5" uniqueCount="5">
  <si>
    <t>STDEV</t>
  </si>
  <si>
    <t>Date</t>
  </si>
  <si>
    <t>GW Level</t>
  </si>
  <si>
    <t>Average GW Level</t>
  </si>
  <si>
    <t>Standardized GW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</si>
</sst>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4" borderId="3" applyNumberFormat="0" applyAlignment="0" applyProtection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19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5" fontId="0" fillId="2" borderId="1" xfId="0" applyNumberFormat="1" applyFill="1" applyBorder="1"/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5" xfId="0" applyFill="1" applyBorder="1"/>
    <xf numFmtId="0" fontId="0" fillId="3" borderId="5" xfId="0" applyFill="1" applyBorder="1"/>
    <xf numFmtId="0" fontId="5" fillId="0" borderId="0" xfId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" fillId="6" borderId="5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H172"/>
  <sheetViews>
    <sheetView tabSelected="1" zoomScaleNormal="100" workbookViewId="0">
      <selection activeCell="I15" sqref="I15"/>
    </sheetView>
  </sheetViews>
  <sheetFormatPr defaultRowHeight="14.4" x14ac:dyDescent="0.3"/>
  <cols>
    <col min="1" max="1" width="15.5546875" style="7" customWidth="1"/>
    <col min="2" max="2" width="19.5546875" style="9" customWidth="1"/>
    <col min="3" max="3" width="22.88671875" style="1" customWidth="1"/>
    <col min="4" max="4" width="16" style="1" customWidth="1"/>
    <col min="5" max="5" width="13.6640625" style="1" customWidth="1"/>
    <col min="6" max="6" width="25.6640625" style="1" customWidth="1"/>
    <col min="7" max="7" width="21.88671875" bestFit="1" customWidth="1"/>
  </cols>
  <sheetData>
    <row r="1" spans="1:8" x14ac:dyDescent="0.3">
      <c r="A1" s="4" t="s">
        <v>1</v>
      </c>
      <c r="B1" s="8" t="s">
        <v>2</v>
      </c>
      <c r="C1" s="3" t="s">
        <v>3</v>
      </c>
      <c r="D1" s="3" t="s">
        <v>0</v>
      </c>
      <c r="E1" s="2"/>
      <c r="F1" s="2" t="s">
        <v>4</v>
      </c>
      <c r="G1" s="10"/>
      <c r="H1" s="10"/>
    </row>
    <row r="2" spans="1:8" x14ac:dyDescent="0.3">
      <c r="A2" s="5">
        <v>40553</v>
      </c>
      <c r="B2" s="14">
        <v>652.42571428571432</v>
      </c>
      <c r="C2" s="16">
        <f>AVERAGE($B$2:$B$172)</f>
        <v>626.05211908304989</v>
      </c>
      <c r="D2" s="16">
        <f>_xlfn.STDEV.S($B$2:$B$172)</f>
        <v>9.8134492865977929</v>
      </c>
      <c r="E2" s="16">
        <f>B2-C2</f>
        <v>26.373595202664433</v>
      </c>
      <c r="F2" s="16">
        <f>E2/D2</f>
        <v>2.6874949299104034</v>
      </c>
      <c r="G2" s="15"/>
      <c r="H2" s="11"/>
    </row>
    <row r="3" spans="1:8" x14ac:dyDescent="0.3">
      <c r="A3" s="6">
        <v>40584</v>
      </c>
      <c r="B3" s="14">
        <v>652.35428571428577</v>
      </c>
      <c r="C3" s="16">
        <f t="shared" ref="C3:C66" si="0">AVERAGE($B$2:$B$172)</f>
        <v>626.05211908304989</v>
      </c>
      <c r="D3" s="16">
        <f t="shared" ref="D3:D66" si="1">_xlfn.STDEV.S($B$2:$B$172)</f>
        <v>9.8134492865977929</v>
      </c>
      <c r="E3" s="16">
        <f t="shared" ref="E3:E66" si="2">B3-C3</f>
        <v>26.302166631235878</v>
      </c>
      <c r="F3" s="16">
        <f t="shared" ref="F3:F66" si="3">E3/D3</f>
        <v>2.6802162892059465</v>
      </c>
      <c r="G3" s="15"/>
      <c r="H3" s="11"/>
    </row>
    <row r="4" spans="1:8" x14ac:dyDescent="0.3">
      <c r="A4" s="5">
        <v>40612</v>
      </c>
      <c r="B4" s="14">
        <v>652.41000000000008</v>
      </c>
      <c r="C4" s="16">
        <f t="shared" si="0"/>
        <v>626.05211908304989</v>
      </c>
      <c r="D4" s="16">
        <f t="shared" si="1"/>
        <v>9.8134492865977929</v>
      </c>
      <c r="E4" s="16">
        <f t="shared" si="2"/>
        <v>26.357880916950194</v>
      </c>
      <c r="F4" s="16">
        <f t="shared" si="3"/>
        <v>2.6858936289554269</v>
      </c>
      <c r="G4" s="15"/>
      <c r="H4" s="11"/>
    </row>
    <row r="5" spans="1:8" x14ac:dyDescent="0.3">
      <c r="A5" s="5">
        <v>40643</v>
      </c>
      <c r="B5" s="14">
        <v>652.4242857142857</v>
      </c>
      <c r="C5" s="16">
        <f t="shared" si="0"/>
        <v>626.05211908304989</v>
      </c>
      <c r="D5" s="16">
        <f t="shared" si="1"/>
        <v>9.8134492865977929</v>
      </c>
      <c r="E5" s="16">
        <f t="shared" si="2"/>
        <v>26.372166631235814</v>
      </c>
      <c r="F5" s="16">
        <f t="shared" si="3"/>
        <v>2.6873493570963092</v>
      </c>
      <c r="G5" s="15"/>
      <c r="H5" s="11"/>
    </row>
    <row r="6" spans="1:8" x14ac:dyDescent="0.3">
      <c r="A6" s="5">
        <v>40673</v>
      </c>
      <c r="B6" s="14">
        <v>652.39492857142852</v>
      </c>
      <c r="C6" s="16">
        <f t="shared" si="0"/>
        <v>626.05211908304989</v>
      </c>
      <c r="D6" s="16">
        <f t="shared" si="1"/>
        <v>9.8134492865977929</v>
      </c>
      <c r="E6" s="16">
        <f t="shared" si="2"/>
        <v>26.342809488378634</v>
      </c>
      <c r="F6" s="16">
        <f t="shared" si="3"/>
        <v>2.684357835766773</v>
      </c>
      <c r="G6" s="15"/>
      <c r="H6" s="11"/>
    </row>
    <row r="7" spans="1:8" x14ac:dyDescent="0.3">
      <c r="A7" s="5">
        <v>40704</v>
      </c>
      <c r="B7" s="14">
        <v>652.43842857142863</v>
      </c>
      <c r="C7" s="16">
        <f t="shared" si="0"/>
        <v>626.05211908304989</v>
      </c>
      <c r="D7" s="16">
        <f t="shared" si="1"/>
        <v>9.8134492865977929</v>
      </c>
      <c r="E7" s="16">
        <f t="shared" si="2"/>
        <v>26.386309488378743</v>
      </c>
      <c r="F7" s="16">
        <f t="shared" si="3"/>
        <v>2.6887905279557995</v>
      </c>
      <c r="G7" s="15"/>
      <c r="H7" s="11"/>
    </row>
    <row r="8" spans="1:8" x14ac:dyDescent="0.3">
      <c r="A8" s="5">
        <v>40734</v>
      </c>
      <c r="B8" s="14">
        <v>626.42750000000001</v>
      </c>
      <c r="C8" s="16">
        <f t="shared" si="0"/>
        <v>626.05211908304989</v>
      </c>
      <c r="D8" s="16">
        <f t="shared" si="1"/>
        <v>9.8134492865977929</v>
      </c>
      <c r="E8" s="16">
        <f t="shared" si="2"/>
        <v>0.37538091695012099</v>
      </c>
      <c r="F8" s="16">
        <f t="shared" si="3"/>
        <v>3.8251679505062294E-2</v>
      </c>
      <c r="G8" s="15"/>
      <c r="H8" s="11"/>
    </row>
    <row r="9" spans="1:8" x14ac:dyDescent="0.3">
      <c r="A9" s="5">
        <v>40765</v>
      </c>
      <c r="B9" s="14">
        <v>626.3850000000001</v>
      </c>
      <c r="C9" s="16">
        <f t="shared" si="0"/>
        <v>626.05211908304989</v>
      </c>
      <c r="D9" s="16">
        <f t="shared" si="1"/>
        <v>9.8134492865977929</v>
      </c>
      <c r="E9" s="16">
        <f t="shared" si="2"/>
        <v>0.33288091695021649</v>
      </c>
      <c r="F9" s="16">
        <f t="shared" si="3"/>
        <v>3.3920888285919125E-2</v>
      </c>
      <c r="G9" s="15"/>
      <c r="H9" s="11"/>
    </row>
    <row r="10" spans="1:8" x14ac:dyDescent="0.3">
      <c r="A10" s="5">
        <v>40796</v>
      </c>
      <c r="B10" s="14">
        <v>626.34</v>
      </c>
      <c r="C10" s="16">
        <f t="shared" si="0"/>
        <v>626.05211908304989</v>
      </c>
      <c r="D10" s="16">
        <f t="shared" si="1"/>
        <v>9.8134492865977929</v>
      </c>
      <c r="E10" s="16">
        <f t="shared" si="2"/>
        <v>0.28788091695014373</v>
      </c>
      <c r="F10" s="16">
        <f t="shared" si="3"/>
        <v>2.9335344642102763E-2</v>
      </c>
      <c r="G10" s="15"/>
      <c r="H10" s="11"/>
    </row>
    <row r="11" spans="1:8" x14ac:dyDescent="0.3">
      <c r="A11" s="6">
        <v>40826</v>
      </c>
      <c r="B11" s="14">
        <v>652.35142857142853</v>
      </c>
      <c r="C11" s="16">
        <f t="shared" si="0"/>
        <v>626.05211908304989</v>
      </c>
      <c r="D11" s="16">
        <f t="shared" si="1"/>
        <v>9.8134492865977929</v>
      </c>
      <c r="E11" s="16">
        <f t="shared" si="2"/>
        <v>26.29930948837864</v>
      </c>
      <c r="F11" s="16">
        <f t="shared" si="3"/>
        <v>2.6799251435777585</v>
      </c>
      <c r="G11" s="15"/>
      <c r="H11" s="11"/>
    </row>
    <row r="12" spans="1:8" x14ac:dyDescent="0.3">
      <c r="A12" s="5">
        <v>40857</v>
      </c>
      <c r="B12" s="14">
        <v>652.31857142857132</v>
      </c>
      <c r="C12" s="16">
        <f t="shared" si="0"/>
        <v>626.05211908304989</v>
      </c>
      <c r="D12" s="16">
        <f t="shared" si="1"/>
        <v>9.8134492865977929</v>
      </c>
      <c r="E12" s="16">
        <f t="shared" si="2"/>
        <v>26.266452345521429</v>
      </c>
      <c r="F12" s="16">
        <f t="shared" si="3"/>
        <v>2.6765769688537002</v>
      </c>
      <c r="G12" s="15"/>
      <c r="H12" s="11"/>
    </row>
    <row r="13" spans="1:8" x14ac:dyDescent="0.3">
      <c r="A13" s="5">
        <v>40887</v>
      </c>
      <c r="B13" s="14">
        <v>626.78249999999991</v>
      </c>
      <c r="C13" s="16">
        <f t="shared" si="0"/>
        <v>626.05211908304989</v>
      </c>
      <c r="D13" s="16">
        <f t="shared" si="1"/>
        <v>9.8134492865977929</v>
      </c>
      <c r="E13" s="16">
        <f t="shared" si="2"/>
        <v>0.73038091695002549</v>
      </c>
      <c r="F13" s="16">
        <f t="shared" si="3"/>
        <v>7.4426523806212064E-2</v>
      </c>
      <c r="G13" s="15"/>
      <c r="H13" s="11"/>
    </row>
    <row r="14" spans="1:8" x14ac:dyDescent="0.3">
      <c r="A14" s="5">
        <v>40918</v>
      </c>
      <c r="B14" s="14">
        <v>638.95857142857142</v>
      </c>
      <c r="C14" s="16">
        <f t="shared" si="0"/>
        <v>626.05211908304989</v>
      </c>
      <c r="D14" s="16">
        <f t="shared" si="1"/>
        <v>9.8134492865977929</v>
      </c>
      <c r="E14" s="16">
        <f t="shared" si="2"/>
        <v>12.906452345521529</v>
      </c>
      <c r="F14" s="16">
        <f t="shared" si="3"/>
        <v>1.315180011491764</v>
      </c>
      <c r="G14" s="15"/>
      <c r="H14" s="11"/>
    </row>
    <row r="15" spans="1:8" x14ac:dyDescent="0.3">
      <c r="A15" s="5">
        <v>40949</v>
      </c>
      <c r="B15" s="14">
        <v>638.86714285714299</v>
      </c>
      <c r="C15" s="16">
        <f t="shared" si="0"/>
        <v>626.05211908304989</v>
      </c>
      <c r="D15" s="16">
        <f t="shared" si="1"/>
        <v>9.8134492865977929</v>
      </c>
      <c r="E15" s="16">
        <f t="shared" si="2"/>
        <v>12.815023774093106</v>
      </c>
      <c r="F15" s="16">
        <f t="shared" si="3"/>
        <v>1.3058633513900721</v>
      </c>
      <c r="G15" s="15"/>
      <c r="H15" s="11"/>
    </row>
    <row r="16" spans="1:8" x14ac:dyDescent="0.3">
      <c r="A16" s="5">
        <v>40978</v>
      </c>
      <c r="B16" s="14">
        <v>638.79</v>
      </c>
      <c r="C16" s="16">
        <f t="shared" si="0"/>
        <v>626.05211908304989</v>
      </c>
      <c r="D16" s="16">
        <f t="shared" si="1"/>
        <v>9.8134492865977929</v>
      </c>
      <c r="E16" s="16">
        <f t="shared" si="2"/>
        <v>12.737880916950076</v>
      </c>
      <c r="F16" s="16">
        <f t="shared" si="3"/>
        <v>1.298002419429239</v>
      </c>
      <c r="G16" s="15"/>
      <c r="H16" s="11"/>
    </row>
    <row r="17" spans="1:8" x14ac:dyDescent="0.3">
      <c r="A17" s="5">
        <v>41009</v>
      </c>
      <c r="B17" s="14">
        <v>638.86142857142852</v>
      </c>
      <c r="C17" s="16">
        <f t="shared" si="0"/>
        <v>626.05211908304989</v>
      </c>
      <c r="D17" s="16">
        <f t="shared" si="1"/>
        <v>9.8134492865977929</v>
      </c>
      <c r="E17" s="16">
        <f t="shared" si="2"/>
        <v>12.809309488378631</v>
      </c>
      <c r="F17" s="16">
        <f t="shared" si="3"/>
        <v>1.3052810601336962</v>
      </c>
      <c r="G17" s="15"/>
      <c r="H17" s="11"/>
    </row>
    <row r="18" spans="1:8" x14ac:dyDescent="0.3">
      <c r="A18" s="5">
        <v>41039</v>
      </c>
      <c r="B18" s="14">
        <v>626.94312500000001</v>
      </c>
      <c r="C18" s="16">
        <f t="shared" si="0"/>
        <v>626.05211908304989</v>
      </c>
      <c r="D18" s="16">
        <f t="shared" si="1"/>
        <v>9.8134492865977929</v>
      </c>
      <c r="E18" s="16">
        <f t="shared" si="2"/>
        <v>0.89100591695012099</v>
      </c>
      <c r="F18" s="16">
        <f t="shared" si="3"/>
        <v>9.0794367090373196E-2</v>
      </c>
      <c r="G18" s="15"/>
      <c r="H18" s="11"/>
    </row>
    <row r="19" spans="1:8" x14ac:dyDescent="0.3">
      <c r="A19" s="6">
        <v>41070</v>
      </c>
      <c r="B19" s="14">
        <v>611.09571428571428</v>
      </c>
      <c r="C19" s="16">
        <f t="shared" si="0"/>
        <v>626.05211908304989</v>
      </c>
      <c r="D19" s="16">
        <f t="shared" si="1"/>
        <v>9.8134492865977929</v>
      </c>
      <c r="E19" s="16">
        <f t="shared" si="2"/>
        <v>-14.956404797335608</v>
      </c>
      <c r="F19" s="16">
        <f t="shared" si="3"/>
        <v>-1.5240721545034668</v>
      </c>
      <c r="G19" s="15"/>
      <c r="H19" s="11"/>
    </row>
    <row r="20" spans="1:8" x14ac:dyDescent="0.3">
      <c r="A20" s="5">
        <v>41100</v>
      </c>
      <c r="B20" s="14">
        <v>611.08428571428578</v>
      </c>
      <c r="C20" s="16">
        <f t="shared" si="0"/>
        <v>626.05211908304989</v>
      </c>
      <c r="D20" s="16">
        <f t="shared" si="1"/>
        <v>9.8134492865977929</v>
      </c>
      <c r="E20" s="16">
        <f t="shared" si="2"/>
        <v>-14.967833368764104</v>
      </c>
      <c r="F20" s="16">
        <f t="shared" si="3"/>
        <v>-1.5252367370161726</v>
      </c>
      <c r="G20" s="15"/>
    </row>
    <row r="21" spans="1:8" x14ac:dyDescent="0.3">
      <c r="A21" s="5">
        <v>41131</v>
      </c>
      <c r="B21" s="14">
        <v>626.78125</v>
      </c>
      <c r="C21" s="16">
        <f t="shared" si="0"/>
        <v>626.05211908304989</v>
      </c>
      <c r="D21" s="16">
        <f t="shared" si="1"/>
        <v>9.8134492865977929</v>
      </c>
      <c r="E21" s="16">
        <f t="shared" si="2"/>
        <v>0.7291309169501119</v>
      </c>
      <c r="F21" s="16">
        <f t="shared" si="3"/>
        <v>7.4299147593892848E-2</v>
      </c>
      <c r="G21" s="15"/>
    </row>
    <row r="22" spans="1:8" x14ac:dyDescent="0.3">
      <c r="A22" s="5">
        <v>41162</v>
      </c>
      <c r="B22" s="14">
        <v>626.87125000000003</v>
      </c>
      <c r="C22" s="16">
        <f t="shared" si="0"/>
        <v>626.05211908304989</v>
      </c>
      <c r="D22" s="16">
        <f t="shared" si="1"/>
        <v>9.8134492865977929</v>
      </c>
      <c r="E22" s="16">
        <f t="shared" si="2"/>
        <v>0.81913091695014373</v>
      </c>
      <c r="F22" s="16">
        <f t="shared" si="3"/>
        <v>8.3470234881513991E-2</v>
      </c>
      <c r="G22" s="15"/>
    </row>
    <row r="23" spans="1:8" x14ac:dyDescent="0.3">
      <c r="A23" s="5">
        <v>41192</v>
      </c>
      <c r="B23" s="14">
        <v>626.8125</v>
      </c>
      <c r="C23" s="16">
        <f t="shared" si="0"/>
        <v>626.05211908304989</v>
      </c>
      <c r="D23" s="16">
        <f t="shared" si="1"/>
        <v>9.8134492865977929</v>
      </c>
      <c r="E23" s="16">
        <f t="shared" si="2"/>
        <v>0.7603809169501119</v>
      </c>
      <c r="F23" s="16">
        <f t="shared" si="3"/>
        <v>7.7483552902093508E-2</v>
      </c>
      <c r="G23" s="15"/>
    </row>
    <row r="24" spans="1:8" x14ac:dyDescent="0.3">
      <c r="A24" s="5">
        <v>41223</v>
      </c>
      <c r="B24" s="14">
        <v>626.78875000000005</v>
      </c>
      <c r="C24" s="16">
        <f t="shared" si="0"/>
        <v>626.05211908304989</v>
      </c>
      <c r="D24" s="16">
        <f t="shared" si="1"/>
        <v>9.8134492865977929</v>
      </c>
      <c r="E24" s="16">
        <f t="shared" si="2"/>
        <v>0.73663091695016192</v>
      </c>
      <c r="F24" s="16">
        <f t="shared" si="3"/>
        <v>7.5063404867866099E-2</v>
      </c>
      <c r="G24" s="15"/>
    </row>
    <row r="25" spans="1:8" x14ac:dyDescent="0.3">
      <c r="A25" s="5">
        <v>41253</v>
      </c>
      <c r="B25" s="14">
        <v>626.83125000000007</v>
      </c>
      <c r="C25" s="16">
        <f t="shared" si="0"/>
        <v>626.05211908304989</v>
      </c>
      <c r="D25" s="16">
        <f t="shared" si="1"/>
        <v>9.8134492865977929</v>
      </c>
      <c r="E25" s="16">
        <f t="shared" si="2"/>
        <v>0.77913091695018011</v>
      </c>
      <c r="F25" s="16">
        <f t="shared" si="3"/>
        <v>7.9394196087020863E-2</v>
      </c>
      <c r="G25" s="15"/>
    </row>
    <row r="26" spans="1:8" x14ac:dyDescent="0.3">
      <c r="A26" s="5">
        <v>41284</v>
      </c>
      <c r="B26" s="14">
        <v>626.92375000000004</v>
      </c>
      <c r="C26" s="16">
        <f t="shared" si="0"/>
        <v>626.05211908304989</v>
      </c>
      <c r="D26" s="16">
        <f t="shared" si="1"/>
        <v>9.8134492865977929</v>
      </c>
      <c r="E26" s="16">
        <f t="shared" si="2"/>
        <v>0.87163091695015282</v>
      </c>
      <c r="F26" s="16">
        <f t="shared" si="3"/>
        <v>8.8820035799292027E-2</v>
      </c>
      <c r="G26" s="15"/>
    </row>
    <row r="27" spans="1:8" x14ac:dyDescent="0.3">
      <c r="A27" s="6">
        <v>41315</v>
      </c>
      <c r="B27" s="14">
        <v>627.10500000000002</v>
      </c>
      <c r="C27" s="16">
        <f t="shared" si="0"/>
        <v>626.05211908304989</v>
      </c>
      <c r="D27" s="16">
        <f t="shared" si="1"/>
        <v>9.8134492865977929</v>
      </c>
      <c r="E27" s="16">
        <f t="shared" si="2"/>
        <v>1.0528809169501301</v>
      </c>
      <c r="F27" s="16">
        <f t="shared" si="3"/>
        <v>0.10728958658685354</v>
      </c>
      <c r="G27" s="15"/>
    </row>
    <row r="28" spans="1:8" x14ac:dyDescent="0.3">
      <c r="A28" s="5">
        <v>41343</v>
      </c>
      <c r="B28" s="14">
        <v>627.17124999999999</v>
      </c>
      <c r="C28" s="16">
        <f t="shared" si="0"/>
        <v>626.05211908304989</v>
      </c>
      <c r="D28" s="16">
        <f t="shared" si="1"/>
        <v>9.8134492865977929</v>
      </c>
      <c r="E28" s="16">
        <f t="shared" si="2"/>
        <v>1.1191309169500983</v>
      </c>
      <c r="F28" s="16">
        <f t="shared" si="3"/>
        <v>0.1140405258402357</v>
      </c>
      <c r="G28" s="15"/>
    </row>
    <row r="29" spans="1:8" x14ac:dyDescent="0.3">
      <c r="A29" s="5">
        <v>41374</v>
      </c>
      <c r="B29" s="14">
        <v>627.19374999999991</v>
      </c>
      <c r="C29" s="16">
        <f t="shared" si="0"/>
        <v>626.05211908304989</v>
      </c>
      <c r="D29" s="16">
        <f t="shared" si="1"/>
        <v>9.8134492865977929</v>
      </c>
      <c r="E29" s="16">
        <f t="shared" si="2"/>
        <v>1.1416309169500209</v>
      </c>
      <c r="F29" s="16">
        <f t="shared" si="3"/>
        <v>0.11633329766213231</v>
      </c>
      <c r="G29" s="15"/>
    </row>
    <row r="30" spans="1:8" x14ac:dyDescent="0.3">
      <c r="A30" s="5">
        <v>41404</v>
      </c>
      <c r="B30" s="14">
        <v>627.25125000000003</v>
      </c>
      <c r="C30" s="16">
        <f t="shared" si="0"/>
        <v>626.05211908304989</v>
      </c>
      <c r="D30" s="16">
        <f t="shared" si="1"/>
        <v>9.8134492865977929</v>
      </c>
      <c r="E30" s="16">
        <f t="shared" si="2"/>
        <v>1.1991309169501392</v>
      </c>
      <c r="F30" s="16">
        <f t="shared" si="3"/>
        <v>0.12219260342923356</v>
      </c>
      <c r="G30" s="15"/>
    </row>
    <row r="31" spans="1:8" x14ac:dyDescent="0.3">
      <c r="A31" s="5">
        <v>41435</v>
      </c>
      <c r="B31" s="14">
        <v>611.4028571428571</v>
      </c>
      <c r="C31" s="16">
        <f t="shared" si="0"/>
        <v>626.05211908304989</v>
      </c>
      <c r="D31" s="16">
        <f t="shared" si="1"/>
        <v>9.8134492865977929</v>
      </c>
      <c r="E31" s="16">
        <f t="shared" si="2"/>
        <v>-14.649261940192787</v>
      </c>
      <c r="F31" s="16">
        <f t="shared" si="3"/>
        <v>-1.4927739994742983</v>
      </c>
      <c r="G31" s="15"/>
    </row>
    <row r="32" spans="1:8" x14ac:dyDescent="0.3">
      <c r="A32" s="5">
        <v>41465</v>
      </c>
      <c r="B32" s="14">
        <v>611.24</v>
      </c>
      <c r="C32" s="16">
        <f t="shared" si="0"/>
        <v>626.05211908304989</v>
      </c>
      <c r="D32" s="16">
        <f t="shared" si="1"/>
        <v>9.8134492865977929</v>
      </c>
      <c r="E32" s="16">
        <f t="shared" si="2"/>
        <v>-14.812119083049879</v>
      </c>
      <c r="F32" s="16">
        <f t="shared" si="3"/>
        <v>-1.5093693002804589</v>
      </c>
      <c r="G32" s="15"/>
    </row>
    <row r="33" spans="1:7" x14ac:dyDescent="0.3">
      <c r="A33" s="5">
        <v>41496</v>
      </c>
      <c r="B33" s="14">
        <v>600.60142857142853</v>
      </c>
      <c r="C33" s="16">
        <f t="shared" si="0"/>
        <v>626.05211908304989</v>
      </c>
      <c r="D33" s="16">
        <f t="shared" si="1"/>
        <v>9.8134492865977929</v>
      </c>
      <c r="E33" s="16">
        <f t="shared" si="2"/>
        <v>-25.45069051162136</v>
      </c>
      <c r="F33" s="16">
        <f t="shared" si="3"/>
        <v>-2.5934500468025359</v>
      </c>
      <c r="G33" s="15"/>
    </row>
    <row r="34" spans="1:7" x14ac:dyDescent="0.3">
      <c r="A34" s="5">
        <v>41527</v>
      </c>
      <c r="B34" s="14">
        <v>600.49771428571421</v>
      </c>
      <c r="C34" s="16">
        <f t="shared" si="0"/>
        <v>626.05211908304989</v>
      </c>
      <c r="D34" s="16">
        <f t="shared" si="1"/>
        <v>9.8134492865977929</v>
      </c>
      <c r="E34" s="16">
        <f t="shared" si="2"/>
        <v>-25.554404797335678</v>
      </c>
      <c r="F34" s="16">
        <f t="shared" si="3"/>
        <v>-2.6040186331054134</v>
      </c>
      <c r="G34" s="15"/>
    </row>
    <row r="35" spans="1:7" x14ac:dyDescent="0.3">
      <c r="A35" s="6">
        <v>41557</v>
      </c>
      <c r="B35" s="14">
        <v>626.85500000000002</v>
      </c>
      <c r="C35" s="16">
        <f t="shared" si="0"/>
        <v>626.05211908304989</v>
      </c>
      <c r="D35" s="16">
        <f t="shared" si="1"/>
        <v>9.8134492865977929</v>
      </c>
      <c r="E35" s="16">
        <f t="shared" si="2"/>
        <v>0.80288091695013009</v>
      </c>
      <c r="F35" s="16">
        <f t="shared" si="3"/>
        <v>8.1814344121248259E-2</v>
      </c>
      <c r="G35" s="15"/>
    </row>
    <row r="36" spans="1:7" x14ac:dyDescent="0.3">
      <c r="A36" s="5">
        <v>41588</v>
      </c>
      <c r="B36" s="14">
        <v>627.09</v>
      </c>
      <c r="C36" s="16">
        <f t="shared" si="0"/>
        <v>626.05211908304989</v>
      </c>
      <c r="D36" s="16">
        <f t="shared" si="1"/>
        <v>9.8134492865977929</v>
      </c>
      <c r="E36" s="16">
        <f t="shared" si="2"/>
        <v>1.0378809169501437</v>
      </c>
      <c r="F36" s="16">
        <f t="shared" si="3"/>
        <v>0.10576107203891862</v>
      </c>
      <c r="G36" s="15"/>
    </row>
    <row r="37" spans="1:7" x14ac:dyDescent="0.3">
      <c r="A37" s="5">
        <v>41618</v>
      </c>
      <c r="B37" s="14">
        <v>627.20625000000007</v>
      </c>
      <c r="C37" s="16">
        <f t="shared" si="0"/>
        <v>626.05211908304989</v>
      </c>
      <c r="D37" s="16">
        <f t="shared" si="1"/>
        <v>9.8134492865977929</v>
      </c>
      <c r="E37" s="16">
        <f t="shared" si="2"/>
        <v>1.1541309169501801</v>
      </c>
      <c r="F37" s="16">
        <f t="shared" si="3"/>
        <v>0.11760705978542879</v>
      </c>
      <c r="G37" s="15"/>
    </row>
    <row r="38" spans="1:7" x14ac:dyDescent="0.3">
      <c r="A38" s="5">
        <v>41649</v>
      </c>
      <c r="B38" s="14">
        <v>627.27875000000006</v>
      </c>
      <c r="C38" s="16">
        <f t="shared" si="0"/>
        <v>626.05211908304989</v>
      </c>
      <c r="D38" s="16">
        <f t="shared" si="1"/>
        <v>9.8134492865977929</v>
      </c>
      <c r="E38" s="16">
        <f t="shared" si="2"/>
        <v>1.226630916950171</v>
      </c>
      <c r="F38" s="16">
        <f t="shared" si="3"/>
        <v>0.1249948801004534</v>
      </c>
      <c r="G38" s="15"/>
    </row>
    <row r="39" spans="1:7" x14ac:dyDescent="0.3">
      <c r="A39" s="5">
        <v>41680</v>
      </c>
      <c r="B39" s="14">
        <v>627.37000000000012</v>
      </c>
      <c r="C39" s="16">
        <f t="shared" si="0"/>
        <v>626.05211908304989</v>
      </c>
      <c r="D39" s="16">
        <f t="shared" si="1"/>
        <v>9.8134492865977929</v>
      </c>
      <c r="E39" s="16">
        <f t="shared" si="2"/>
        <v>1.3178809169502301</v>
      </c>
      <c r="F39" s="16">
        <f t="shared" si="3"/>
        <v>0.13429334360040535</v>
      </c>
      <c r="G39" s="15"/>
    </row>
    <row r="40" spans="1:7" x14ac:dyDescent="0.3">
      <c r="A40" s="5">
        <v>41708</v>
      </c>
      <c r="B40" s="14">
        <v>627.60799999999995</v>
      </c>
      <c r="C40" s="16">
        <f t="shared" si="0"/>
        <v>626.05211908304989</v>
      </c>
      <c r="D40" s="16">
        <f t="shared" si="1"/>
        <v>9.8134492865977929</v>
      </c>
      <c r="E40" s="16">
        <f t="shared" si="2"/>
        <v>1.5558809169500591</v>
      </c>
      <c r="F40" s="16">
        <f t="shared" si="3"/>
        <v>0.15854577442764414</v>
      </c>
      <c r="G40" s="15"/>
    </row>
    <row r="41" spans="1:7" x14ac:dyDescent="0.3">
      <c r="A41" s="5">
        <v>41739</v>
      </c>
      <c r="B41" s="14">
        <v>627.50250000000005</v>
      </c>
      <c r="C41" s="16">
        <f t="shared" si="0"/>
        <v>626.05211908304989</v>
      </c>
      <c r="D41" s="16">
        <f t="shared" si="1"/>
        <v>9.8134492865977929</v>
      </c>
      <c r="E41" s="16">
        <f t="shared" si="2"/>
        <v>1.4503809169501665</v>
      </c>
      <c r="F41" s="16">
        <f t="shared" si="3"/>
        <v>0.14779522210716967</v>
      </c>
      <c r="G41" s="15"/>
    </row>
    <row r="42" spans="1:7" x14ac:dyDescent="0.3">
      <c r="A42" s="5">
        <v>41769</v>
      </c>
      <c r="B42" s="14">
        <v>627.49824999999998</v>
      </c>
      <c r="C42" s="16">
        <f t="shared" si="0"/>
        <v>626.05211908304989</v>
      </c>
      <c r="D42" s="16">
        <f t="shared" si="1"/>
        <v>9.8134492865977929</v>
      </c>
      <c r="E42" s="16">
        <f t="shared" si="2"/>
        <v>1.4461309169500964</v>
      </c>
      <c r="F42" s="16">
        <f t="shared" si="3"/>
        <v>0.14736214298524725</v>
      </c>
      <c r="G42" s="15"/>
    </row>
    <row r="43" spans="1:7" x14ac:dyDescent="0.3">
      <c r="A43" s="6">
        <v>41800</v>
      </c>
      <c r="B43" s="14">
        <v>627.43124999999998</v>
      </c>
      <c r="C43" s="16">
        <f t="shared" si="0"/>
        <v>626.05211908304989</v>
      </c>
      <c r="D43" s="16">
        <f t="shared" si="1"/>
        <v>9.8134492865977929</v>
      </c>
      <c r="E43" s="16">
        <f t="shared" si="2"/>
        <v>1.3791309169500892</v>
      </c>
      <c r="F43" s="16">
        <f t="shared" si="3"/>
        <v>0.14053477800446429</v>
      </c>
      <c r="G43" s="15"/>
    </row>
    <row r="44" spans="1:7" x14ac:dyDescent="0.3">
      <c r="A44" s="5">
        <v>41830</v>
      </c>
      <c r="B44" s="14">
        <v>627.43500000000006</v>
      </c>
      <c r="C44" s="16">
        <f t="shared" si="0"/>
        <v>626.05211908304989</v>
      </c>
      <c r="D44" s="16">
        <f t="shared" si="1"/>
        <v>9.8134492865977929</v>
      </c>
      <c r="E44" s="16">
        <f t="shared" si="2"/>
        <v>1.382880916950171</v>
      </c>
      <c r="F44" s="16">
        <f t="shared" si="3"/>
        <v>0.1409169066414567</v>
      </c>
      <c r="G44" s="15"/>
    </row>
    <row r="45" spans="1:7" x14ac:dyDescent="0.3">
      <c r="A45" s="5">
        <v>41861</v>
      </c>
      <c r="B45" s="14">
        <v>627.48500000000001</v>
      </c>
      <c r="C45" s="16">
        <f t="shared" si="0"/>
        <v>626.05211908304989</v>
      </c>
      <c r="D45" s="16">
        <f t="shared" si="1"/>
        <v>9.8134492865977929</v>
      </c>
      <c r="E45" s="16">
        <f t="shared" si="2"/>
        <v>1.4328809169501255</v>
      </c>
      <c r="F45" s="16">
        <f t="shared" si="3"/>
        <v>0.14601195513457313</v>
      </c>
      <c r="G45" s="15"/>
    </row>
    <row r="46" spans="1:7" x14ac:dyDescent="0.3">
      <c r="A46" s="5">
        <v>41892</v>
      </c>
      <c r="B46" s="14">
        <v>627.45499999999993</v>
      </c>
      <c r="C46" s="16">
        <f t="shared" si="0"/>
        <v>626.05211908304989</v>
      </c>
      <c r="D46" s="16">
        <f t="shared" si="1"/>
        <v>9.8134492865977929</v>
      </c>
      <c r="E46" s="16">
        <f t="shared" si="2"/>
        <v>1.4028809169500391</v>
      </c>
      <c r="F46" s="16">
        <f t="shared" si="3"/>
        <v>0.14295492603869167</v>
      </c>
      <c r="G46" s="15"/>
    </row>
    <row r="47" spans="1:7" x14ac:dyDescent="0.3">
      <c r="A47" s="5">
        <v>41922</v>
      </c>
      <c r="B47" s="14">
        <v>627.4162500000001</v>
      </c>
      <c r="C47" s="16">
        <f t="shared" si="0"/>
        <v>626.05211908304989</v>
      </c>
      <c r="D47" s="16">
        <f t="shared" si="1"/>
        <v>9.8134492865977929</v>
      </c>
      <c r="E47" s="16">
        <f t="shared" si="2"/>
        <v>1.3641309169502165</v>
      </c>
      <c r="F47" s="16">
        <f t="shared" si="3"/>
        <v>0.13900626345654093</v>
      </c>
      <c r="G47" s="15"/>
    </row>
    <row r="48" spans="1:7" x14ac:dyDescent="0.3">
      <c r="A48" s="5">
        <v>41953</v>
      </c>
      <c r="B48" s="14">
        <v>627.41499999999996</v>
      </c>
      <c r="C48" s="16">
        <f t="shared" si="0"/>
        <v>626.05211908304989</v>
      </c>
      <c r="D48" s="16">
        <f t="shared" si="1"/>
        <v>9.8134492865977929</v>
      </c>
      <c r="E48" s="16">
        <f t="shared" si="2"/>
        <v>1.3628809169500755</v>
      </c>
      <c r="F48" s="16">
        <f t="shared" si="3"/>
        <v>0.13887888724419856</v>
      </c>
      <c r="G48" s="15"/>
    </row>
    <row r="49" spans="1:7" x14ac:dyDescent="0.3">
      <c r="A49" s="5">
        <v>41983</v>
      </c>
      <c r="B49" s="14">
        <v>627.4162500000001</v>
      </c>
      <c r="C49" s="16">
        <f t="shared" si="0"/>
        <v>626.05211908304989</v>
      </c>
      <c r="D49" s="16">
        <f t="shared" si="1"/>
        <v>9.8134492865977929</v>
      </c>
      <c r="E49" s="16">
        <f t="shared" si="2"/>
        <v>1.3641309169502165</v>
      </c>
      <c r="F49" s="16">
        <f t="shared" si="3"/>
        <v>0.13900626345654093</v>
      </c>
      <c r="G49" s="15"/>
    </row>
    <row r="50" spans="1:7" x14ac:dyDescent="0.3">
      <c r="A50" s="5">
        <v>42014</v>
      </c>
      <c r="B50" s="14">
        <v>627.54500000000007</v>
      </c>
      <c r="C50" s="16">
        <f t="shared" si="0"/>
        <v>626.05211908304989</v>
      </c>
      <c r="D50" s="16">
        <f t="shared" si="1"/>
        <v>9.8134492865977929</v>
      </c>
      <c r="E50" s="16">
        <f t="shared" si="2"/>
        <v>1.4928809169501847</v>
      </c>
      <c r="F50" s="16">
        <f t="shared" si="3"/>
        <v>0.15212601332632442</v>
      </c>
      <c r="G50" s="15"/>
    </row>
    <row r="51" spans="1:7" x14ac:dyDescent="0.3">
      <c r="A51" s="6">
        <v>42045</v>
      </c>
      <c r="B51" s="14">
        <v>627.505</v>
      </c>
      <c r="C51" s="16">
        <f t="shared" si="0"/>
        <v>626.05211908304989</v>
      </c>
      <c r="D51" s="16">
        <f t="shared" si="1"/>
        <v>9.8134492865977929</v>
      </c>
      <c r="E51" s="16">
        <f t="shared" si="2"/>
        <v>1.4528809169501073</v>
      </c>
      <c r="F51" s="16">
        <f t="shared" si="3"/>
        <v>0.1480499745318197</v>
      </c>
      <c r="G51" s="15"/>
    </row>
    <row r="52" spans="1:7" x14ac:dyDescent="0.3">
      <c r="A52" s="5">
        <v>42073</v>
      </c>
      <c r="B52" s="14">
        <v>627.3275000000001</v>
      </c>
      <c r="C52" s="16">
        <f t="shared" si="0"/>
        <v>626.05211908304989</v>
      </c>
      <c r="D52" s="16">
        <f t="shared" si="1"/>
        <v>9.8134492865977929</v>
      </c>
      <c r="E52" s="16">
        <f t="shared" si="2"/>
        <v>1.2753809169502119</v>
      </c>
      <c r="F52" s="16">
        <f t="shared" si="3"/>
        <v>0.1299625523812506</v>
      </c>
      <c r="G52" s="15"/>
    </row>
    <row r="53" spans="1:7" x14ac:dyDescent="0.3">
      <c r="A53" s="5">
        <v>42104</v>
      </c>
      <c r="B53" s="14">
        <v>627.27500000000009</v>
      </c>
      <c r="C53" s="16">
        <f t="shared" si="0"/>
        <v>626.05211908304989</v>
      </c>
      <c r="D53" s="16">
        <f t="shared" si="1"/>
        <v>9.8134492865977929</v>
      </c>
      <c r="E53" s="16">
        <f t="shared" si="2"/>
        <v>1.2228809169502028</v>
      </c>
      <c r="F53" s="16">
        <f t="shared" si="3"/>
        <v>0.12461275146347256</v>
      </c>
      <c r="G53" s="15"/>
    </row>
    <row r="54" spans="1:7" x14ac:dyDescent="0.3">
      <c r="A54" s="5">
        <v>42134</v>
      </c>
      <c r="B54" s="14">
        <v>627.21375</v>
      </c>
      <c r="C54" s="16">
        <f t="shared" si="0"/>
        <v>626.05211908304989</v>
      </c>
      <c r="D54" s="16">
        <f t="shared" si="1"/>
        <v>9.8134492865977929</v>
      </c>
      <c r="E54" s="16">
        <f t="shared" si="2"/>
        <v>1.1616309169501164</v>
      </c>
      <c r="F54" s="16">
        <f t="shared" si="3"/>
        <v>0.11837131705939045</v>
      </c>
      <c r="G54" s="15"/>
    </row>
    <row r="55" spans="1:7" x14ac:dyDescent="0.3">
      <c r="A55" s="5">
        <v>42165</v>
      </c>
      <c r="B55" s="14">
        <v>627.16750000000002</v>
      </c>
      <c r="C55" s="16">
        <f t="shared" si="0"/>
        <v>626.05211908304989</v>
      </c>
      <c r="D55" s="16">
        <f t="shared" si="1"/>
        <v>9.8134492865977929</v>
      </c>
      <c r="E55" s="16">
        <f t="shared" si="2"/>
        <v>1.1153809169501301</v>
      </c>
      <c r="F55" s="16">
        <f t="shared" si="3"/>
        <v>0.11365839720325487</v>
      </c>
      <c r="G55" s="15"/>
    </row>
    <row r="56" spans="1:7" x14ac:dyDescent="0.3">
      <c r="A56" s="5">
        <v>42195</v>
      </c>
      <c r="B56" s="14">
        <v>611.47714285714289</v>
      </c>
      <c r="C56" s="16">
        <f t="shared" si="0"/>
        <v>626.05211908304989</v>
      </c>
      <c r="D56" s="16">
        <f t="shared" si="1"/>
        <v>9.8134492865977929</v>
      </c>
      <c r="E56" s="16">
        <f t="shared" si="2"/>
        <v>-14.574976225906994</v>
      </c>
      <c r="F56" s="16">
        <f t="shared" si="3"/>
        <v>-1.4852042131416534</v>
      </c>
      <c r="G56" s="15"/>
    </row>
    <row r="57" spans="1:7" x14ac:dyDescent="0.3">
      <c r="A57" s="5">
        <v>42226</v>
      </c>
      <c r="B57" s="14">
        <v>626.94500000000005</v>
      </c>
      <c r="C57" s="16">
        <f t="shared" si="0"/>
        <v>626.05211908304989</v>
      </c>
      <c r="D57" s="16">
        <f t="shared" si="1"/>
        <v>9.8134492865977929</v>
      </c>
      <c r="E57" s="16">
        <f t="shared" si="2"/>
        <v>0.89288091695016192</v>
      </c>
      <c r="F57" s="16">
        <f t="shared" si="3"/>
        <v>9.0985431408869402E-2</v>
      </c>
      <c r="G57" s="15"/>
    </row>
    <row r="58" spans="1:7" x14ac:dyDescent="0.3">
      <c r="A58" s="5">
        <v>42257</v>
      </c>
      <c r="B58" s="14">
        <v>627.08249999999998</v>
      </c>
      <c r="C58" s="16">
        <f t="shared" si="0"/>
        <v>626.05211908304989</v>
      </c>
      <c r="D58" s="16">
        <f t="shared" si="1"/>
        <v>9.8134492865977929</v>
      </c>
      <c r="E58" s="16">
        <f t="shared" si="2"/>
        <v>1.0303809169500937</v>
      </c>
      <c r="F58" s="16">
        <f t="shared" si="3"/>
        <v>0.10499681476494536</v>
      </c>
      <c r="G58" s="15"/>
    </row>
    <row r="59" spans="1:7" x14ac:dyDescent="0.3">
      <c r="A59" s="6">
        <v>42287</v>
      </c>
      <c r="B59" s="14">
        <v>626.89750000000004</v>
      </c>
      <c r="C59" s="16">
        <f t="shared" si="0"/>
        <v>626.05211908304989</v>
      </c>
      <c r="D59" s="16">
        <f t="shared" si="1"/>
        <v>9.8134492865977929</v>
      </c>
      <c r="E59" s="16">
        <f t="shared" si="2"/>
        <v>0.84538091695014828</v>
      </c>
      <c r="F59" s="16">
        <f t="shared" si="3"/>
        <v>8.6145135340403009E-2</v>
      </c>
      <c r="G59" s="15"/>
    </row>
    <row r="60" spans="1:7" x14ac:dyDescent="0.3">
      <c r="A60" s="5">
        <v>42318</v>
      </c>
      <c r="B60" s="14">
        <v>626.84</v>
      </c>
      <c r="C60" s="16">
        <f t="shared" si="0"/>
        <v>626.05211908304989</v>
      </c>
      <c r="D60" s="16">
        <f t="shared" si="1"/>
        <v>9.8134492865977929</v>
      </c>
      <c r="E60" s="16">
        <f t="shared" si="2"/>
        <v>0.78788091695014373</v>
      </c>
      <c r="F60" s="16">
        <f t="shared" si="3"/>
        <v>8.028582957331333E-2</v>
      </c>
      <c r="G60" s="15"/>
    </row>
    <row r="61" spans="1:7" x14ac:dyDescent="0.3">
      <c r="A61" s="5">
        <v>42348</v>
      </c>
      <c r="B61" s="14">
        <v>626.76750000000015</v>
      </c>
      <c r="C61" s="16">
        <f t="shared" si="0"/>
        <v>626.05211908304989</v>
      </c>
      <c r="D61" s="16">
        <f t="shared" si="1"/>
        <v>9.8134492865977929</v>
      </c>
      <c r="E61" s="16">
        <f t="shared" si="2"/>
        <v>0.71538091695026651</v>
      </c>
      <c r="F61" s="16">
        <f t="shared" si="3"/>
        <v>7.2898009258300311E-2</v>
      </c>
      <c r="G61" s="15"/>
    </row>
    <row r="62" spans="1:7" x14ac:dyDescent="0.3">
      <c r="A62" s="5">
        <v>42379</v>
      </c>
      <c r="B62" s="14">
        <v>626.70625000000007</v>
      </c>
      <c r="C62" s="16">
        <f t="shared" si="0"/>
        <v>626.05211908304989</v>
      </c>
      <c r="D62" s="16">
        <f t="shared" si="1"/>
        <v>9.8134492865977929</v>
      </c>
      <c r="E62" s="16">
        <f t="shared" si="2"/>
        <v>0.65413091695018011</v>
      </c>
      <c r="F62" s="16">
        <f t="shared" si="3"/>
        <v>6.665657485421822E-2</v>
      </c>
      <c r="G62" s="15"/>
    </row>
    <row r="63" spans="1:7" x14ac:dyDescent="0.3">
      <c r="A63" s="5">
        <v>42410</v>
      </c>
      <c r="B63" s="14">
        <v>626.63499999999999</v>
      </c>
      <c r="C63" s="16">
        <f t="shared" si="0"/>
        <v>626.05211908304989</v>
      </c>
      <c r="D63" s="16">
        <f t="shared" si="1"/>
        <v>9.8134492865977929</v>
      </c>
      <c r="E63" s="16">
        <f t="shared" si="2"/>
        <v>0.5828809169501028</v>
      </c>
      <c r="F63" s="16">
        <f t="shared" si="3"/>
        <v>5.939613075151283E-2</v>
      </c>
      <c r="G63" s="15"/>
    </row>
    <row r="64" spans="1:7" x14ac:dyDescent="0.3">
      <c r="A64" s="5">
        <v>42439</v>
      </c>
      <c r="B64" s="14">
        <v>626.61249999999995</v>
      </c>
      <c r="C64" s="16">
        <f t="shared" si="0"/>
        <v>626.05211908304989</v>
      </c>
      <c r="D64" s="16">
        <f t="shared" si="1"/>
        <v>9.8134492865977929</v>
      </c>
      <c r="E64" s="16">
        <f t="shared" si="2"/>
        <v>0.56038091695006642</v>
      </c>
      <c r="F64" s="16">
        <f t="shared" si="3"/>
        <v>5.7103358929604643E-2</v>
      </c>
      <c r="G64" s="15"/>
    </row>
    <row r="65" spans="1:7" x14ac:dyDescent="0.3">
      <c r="A65" s="5">
        <v>42470</v>
      </c>
      <c r="B65" s="14">
        <v>626.57625000000007</v>
      </c>
      <c r="C65" s="16">
        <f t="shared" si="0"/>
        <v>626.05211908304989</v>
      </c>
      <c r="D65" s="16">
        <f t="shared" si="1"/>
        <v>9.8134492865977929</v>
      </c>
      <c r="E65" s="16">
        <f t="shared" si="2"/>
        <v>0.52413091695018466</v>
      </c>
      <c r="F65" s="16">
        <f t="shared" si="3"/>
        <v>5.3409448772103928E-2</v>
      </c>
      <c r="G65" s="15"/>
    </row>
    <row r="66" spans="1:7" x14ac:dyDescent="0.3">
      <c r="A66" s="5">
        <v>42500</v>
      </c>
      <c r="B66" s="14">
        <v>626.44625000000008</v>
      </c>
      <c r="C66" s="16">
        <f t="shared" si="0"/>
        <v>626.05211908304989</v>
      </c>
      <c r="D66" s="16">
        <f t="shared" si="1"/>
        <v>9.8134492865977929</v>
      </c>
      <c r="E66" s="16">
        <f t="shared" si="2"/>
        <v>0.3941309169501892</v>
      </c>
      <c r="F66" s="16">
        <f t="shared" si="3"/>
        <v>4.0162322689989642E-2</v>
      </c>
      <c r="G66" s="15"/>
    </row>
    <row r="67" spans="1:7" x14ac:dyDescent="0.3">
      <c r="A67" s="6">
        <v>42531</v>
      </c>
      <c r="B67" s="14">
        <v>610.71285714285716</v>
      </c>
      <c r="C67" s="16">
        <f t="shared" ref="C67:C130" si="4">AVERAGE($B$2:$B$172)</f>
        <v>626.05211908304989</v>
      </c>
      <c r="D67" s="16">
        <f t="shared" ref="D67:D130" si="5">_xlfn.STDEV.S($B$2:$B$172)</f>
        <v>9.8134492865977929</v>
      </c>
      <c r="E67" s="16">
        <f t="shared" ref="E67:E130" si="6">B67-C67</f>
        <v>-15.339261940192728</v>
      </c>
      <c r="F67" s="16">
        <f t="shared" ref="F67:F130" si="7">E67/D67</f>
        <v>-1.5630856686793628</v>
      </c>
      <c r="G67" s="15"/>
    </row>
    <row r="68" spans="1:7" x14ac:dyDescent="0.3">
      <c r="A68" s="5">
        <v>42561</v>
      </c>
      <c r="B68" s="14">
        <v>610.62571428571425</v>
      </c>
      <c r="C68" s="16">
        <f t="shared" si="4"/>
        <v>626.05211908304989</v>
      </c>
      <c r="D68" s="16">
        <f t="shared" si="5"/>
        <v>9.8134492865977929</v>
      </c>
      <c r="E68" s="16">
        <f t="shared" si="6"/>
        <v>-15.426404797335636</v>
      </c>
      <c r="F68" s="16">
        <f t="shared" si="7"/>
        <v>-1.5719656103388076</v>
      </c>
      <c r="G68" s="15"/>
    </row>
    <row r="69" spans="1:7" x14ac:dyDescent="0.3">
      <c r="A69" s="5">
        <v>42592</v>
      </c>
      <c r="B69" s="14">
        <v>626.23625000000004</v>
      </c>
      <c r="C69" s="16">
        <f t="shared" si="4"/>
        <v>626.05211908304989</v>
      </c>
      <c r="D69" s="16">
        <f t="shared" si="5"/>
        <v>9.8134492865977929</v>
      </c>
      <c r="E69" s="16">
        <f t="shared" si="6"/>
        <v>0.18413091695015282</v>
      </c>
      <c r="F69" s="16">
        <f t="shared" si="7"/>
        <v>1.8763119018877495E-2</v>
      </c>
      <c r="G69" s="15"/>
    </row>
    <row r="70" spans="1:7" x14ac:dyDescent="0.3">
      <c r="A70" s="5">
        <v>42623</v>
      </c>
      <c r="B70" s="14">
        <v>626.23249999999996</v>
      </c>
      <c r="C70" s="16">
        <f t="shared" si="4"/>
        <v>626.05211908304989</v>
      </c>
      <c r="D70" s="16">
        <f t="shared" si="5"/>
        <v>9.8134492865977929</v>
      </c>
      <c r="E70" s="16">
        <f t="shared" si="6"/>
        <v>0.18038091695007097</v>
      </c>
      <c r="F70" s="16">
        <f t="shared" si="7"/>
        <v>1.8380990381885072E-2</v>
      </c>
      <c r="G70" s="15"/>
    </row>
    <row r="71" spans="1:7" x14ac:dyDescent="0.3">
      <c r="A71" s="5">
        <v>42653</v>
      </c>
      <c r="B71" s="14">
        <v>626.16250000000002</v>
      </c>
      <c r="C71" s="16">
        <f t="shared" si="4"/>
        <v>626.05211908304989</v>
      </c>
      <c r="D71" s="16">
        <f t="shared" si="5"/>
        <v>9.8134492865977929</v>
      </c>
      <c r="E71" s="16">
        <f t="shared" si="6"/>
        <v>0.11038091695013463</v>
      </c>
      <c r="F71" s="16">
        <f t="shared" si="7"/>
        <v>1.124792249152208E-2</v>
      </c>
      <c r="G71" s="15"/>
    </row>
    <row r="72" spans="1:7" x14ac:dyDescent="0.3">
      <c r="A72" s="5">
        <v>42684</v>
      </c>
      <c r="B72" s="14">
        <v>626.1712500000001</v>
      </c>
      <c r="C72" s="16">
        <f t="shared" si="4"/>
        <v>626.05211908304989</v>
      </c>
      <c r="D72" s="16">
        <f t="shared" si="5"/>
        <v>9.8134492865977929</v>
      </c>
      <c r="E72" s="16">
        <f t="shared" si="6"/>
        <v>0.11913091695021194</v>
      </c>
      <c r="F72" s="16">
        <f t="shared" si="7"/>
        <v>1.2139555977826143E-2</v>
      </c>
      <c r="G72" s="15"/>
    </row>
    <row r="73" spans="1:7" x14ac:dyDescent="0.3">
      <c r="A73" s="5">
        <v>42714</v>
      </c>
      <c r="B73" s="14">
        <v>625.64</v>
      </c>
      <c r="C73" s="16">
        <f t="shared" si="4"/>
        <v>626.05211908304989</v>
      </c>
      <c r="D73" s="16">
        <f t="shared" si="5"/>
        <v>9.8134492865977929</v>
      </c>
      <c r="E73" s="16">
        <f t="shared" si="6"/>
        <v>-0.41211908304990175</v>
      </c>
      <c r="F73" s="16">
        <f t="shared" si="7"/>
        <v>-4.1995334261596677E-2</v>
      </c>
      <c r="G73" s="15"/>
    </row>
    <row r="74" spans="1:7" x14ac:dyDescent="0.3">
      <c r="A74" s="5">
        <v>42745</v>
      </c>
      <c r="B74" s="14">
        <v>625.85250000000008</v>
      </c>
      <c r="C74" s="16">
        <f t="shared" si="4"/>
        <v>626.05211908304989</v>
      </c>
      <c r="D74" s="16">
        <f t="shared" si="5"/>
        <v>9.8134492865977929</v>
      </c>
      <c r="E74" s="16">
        <f t="shared" si="6"/>
        <v>-0.1996190830498108</v>
      </c>
      <c r="F74" s="16">
        <f t="shared" si="7"/>
        <v>-2.0341378165822915E-2</v>
      </c>
      <c r="G74" s="15"/>
    </row>
    <row r="75" spans="1:7" x14ac:dyDescent="0.3">
      <c r="A75" s="6">
        <v>42776</v>
      </c>
      <c r="B75" s="14">
        <v>626.45500000000004</v>
      </c>
      <c r="C75" s="16">
        <f t="shared" si="4"/>
        <v>626.05211908304989</v>
      </c>
      <c r="D75" s="16">
        <f t="shared" si="5"/>
        <v>9.8134492865977929</v>
      </c>
      <c r="E75" s="16">
        <f t="shared" si="6"/>
        <v>0.40288091695015282</v>
      </c>
      <c r="F75" s="16">
        <f t="shared" si="7"/>
        <v>4.1053956176282116E-2</v>
      </c>
      <c r="G75" s="15"/>
    </row>
    <row r="76" spans="1:7" x14ac:dyDescent="0.3">
      <c r="A76" s="5">
        <v>42804</v>
      </c>
      <c r="B76" s="14">
        <v>626.48249999999996</v>
      </c>
      <c r="C76" s="16">
        <f t="shared" si="4"/>
        <v>626.05211908304989</v>
      </c>
      <c r="D76" s="16">
        <f t="shared" si="5"/>
        <v>9.8134492865977929</v>
      </c>
      <c r="E76" s="16">
        <f t="shared" si="6"/>
        <v>0.43038091695007097</v>
      </c>
      <c r="F76" s="16">
        <f t="shared" si="7"/>
        <v>4.3856232847490358E-2</v>
      </c>
      <c r="G76" s="15"/>
    </row>
    <row r="77" spans="1:7" x14ac:dyDescent="0.3">
      <c r="A77" s="5">
        <v>42835</v>
      </c>
      <c r="B77" s="14">
        <v>626.41</v>
      </c>
      <c r="C77" s="16">
        <f t="shared" si="4"/>
        <v>626.05211908304989</v>
      </c>
      <c r="D77" s="16">
        <f t="shared" si="5"/>
        <v>9.8134492865977929</v>
      </c>
      <c r="E77" s="16">
        <f t="shared" si="6"/>
        <v>0.35788091695008006</v>
      </c>
      <c r="F77" s="16">
        <f t="shared" si="7"/>
        <v>3.6468412532465751E-2</v>
      </c>
      <c r="G77" s="15"/>
    </row>
    <row r="78" spans="1:7" x14ac:dyDescent="0.3">
      <c r="A78" s="5">
        <v>42865</v>
      </c>
      <c r="B78" s="14">
        <v>626.31312500000001</v>
      </c>
      <c r="C78" s="16">
        <f t="shared" si="4"/>
        <v>626.05211908304989</v>
      </c>
      <c r="D78" s="16">
        <f t="shared" si="5"/>
        <v>9.8134492865977929</v>
      </c>
      <c r="E78" s="16">
        <f t="shared" si="6"/>
        <v>0.26100591695012554</v>
      </c>
      <c r="F78" s="16">
        <f t="shared" si="7"/>
        <v>2.6596756077048339E-2</v>
      </c>
      <c r="G78" s="15"/>
    </row>
    <row r="79" spans="1:7" x14ac:dyDescent="0.3">
      <c r="A79" s="5">
        <v>42896</v>
      </c>
      <c r="B79" s="14">
        <v>626.29875000000004</v>
      </c>
      <c r="C79" s="16">
        <f t="shared" si="4"/>
        <v>626.05211908304989</v>
      </c>
      <c r="D79" s="16">
        <f t="shared" si="5"/>
        <v>9.8134492865977929</v>
      </c>
      <c r="E79" s="16">
        <f t="shared" si="6"/>
        <v>0.24663091695015282</v>
      </c>
      <c r="F79" s="16">
        <f t="shared" si="7"/>
        <v>2.5131929635278816E-2</v>
      </c>
      <c r="G79" s="15"/>
    </row>
    <row r="80" spans="1:7" x14ac:dyDescent="0.3">
      <c r="A80" s="5">
        <v>42926</v>
      </c>
      <c r="B80" s="14">
        <v>626.208125</v>
      </c>
      <c r="C80" s="16">
        <f t="shared" si="4"/>
        <v>626.05211908304989</v>
      </c>
      <c r="D80" s="16">
        <f t="shared" si="5"/>
        <v>9.8134492865977929</v>
      </c>
      <c r="E80" s="16">
        <f t="shared" si="6"/>
        <v>0.15600591695010735</v>
      </c>
      <c r="F80" s="16">
        <f t="shared" si="7"/>
        <v>1.5897154241492264E-2</v>
      </c>
      <c r="G80" s="15"/>
    </row>
    <row r="81" spans="1:7" x14ac:dyDescent="0.3">
      <c r="A81" s="5">
        <v>42957</v>
      </c>
      <c r="B81" s="14">
        <v>632.3257142857143</v>
      </c>
      <c r="C81" s="16">
        <f t="shared" si="4"/>
        <v>626.05211908304989</v>
      </c>
      <c r="D81" s="16">
        <f t="shared" si="5"/>
        <v>9.8134492865977929</v>
      </c>
      <c r="E81" s="16">
        <f t="shared" si="6"/>
        <v>6.27359520266441</v>
      </c>
      <c r="F81" s="16">
        <f t="shared" si="7"/>
        <v>0.63928543567573592</v>
      </c>
      <c r="G81" s="15"/>
    </row>
    <row r="82" spans="1:7" x14ac:dyDescent="0.3">
      <c r="A82" s="5">
        <v>42988</v>
      </c>
      <c r="B82" s="14">
        <v>632.29714285714283</v>
      </c>
      <c r="C82" s="16">
        <f t="shared" si="4"/>
        <v>626.05211908304989</v>
      </c>
      <c r="D82" s="16">
        <f t="shared" si="5"/>
        <v>9.8134492865977929</v>
      </c>
      <c r="E82" s="16">
        <f t="shared" si="6"/>
        <v>6.2450237740929424</v>
      </c>
      <c r="F82" s="16">
        <f t="shared" si="7"/>
        <v>0.63637397939394846</v>
      </c>
      <c r="G82" s="15"/>
    </row>
    <row r="83" spans="1:7" x14ac:dyDescent="0.3">
      <c r="A83" s="6">
        <v>43018</v>
      </c>
      <c r="B83" s="14">
        <v>632.24571428571437</v>
      </c>
      <c r="C83" s="16">
        <f t="shared" si="4"/>
        <v>626.05211908304989</v>
      </c>
      <c r="D83" s="16">
        <f t="shared" si="5"/>
        <v>9.8134492865977929</v>
      </c>
      <c r="E83" s="16">
        <f t="shared" si="6"/>
        <v>6.1935952026644827</v>
      </c>
      <c r="F83" s="16">
        <f t="shared" si="7"/>
        <v>0.63113335808674964</v>
      </c>
      <c r="G83" s="15"/>
    </row>
    <row r="84" spans="1:7" x14ac:dyDescent="0.3">
      <c r="A84" s="5">
        <v>43049</v>
      </c>
      <c r="B84" s="14">
        <v>632.16428571428582</v>
      </c>
      <c r="C84" s="16">
        <f t="shared" si="4"/>
        <v>626.05211908304989</v>
      </c>
      <c r="D84" s="16">
        <f t="shared" si="5"/>
        <v>9.8134492865977929</v>
      </c>
      <c r="E84" s="16">
        <f t="shared" si="6"/>
        <v>6.1121666312359366</v>
      </c>
      <c r="F84" s="16">
        <f t="shared" si="7"/>
        <v>0.62283570768366936</v>
      </c>
      <c r="G84" s="15"/>
    </row>
    <row r="85" spans="1:7" x14ac:dyDescent="0.3">
      <c r="A85" s="5">
        <v>43079</v>
      </c>
      <c r="B85" s="14">
        <v>632.13285714285723</v>
      </c>
      <c r="C85" s="16">
        <f t="shared" si="4"/>
        <v>626.05211908304989</v>
      </c>
      <c r="D85" s="16">
        <f t="shared" si="5"/>
        <v>9.8134492865977929</v>
      </c>
      <c r="E85" s="16">
        <f t="shared" si="6"/>
        <v>6.0807380598073451</v>
      </c>
      <c r="F85" s="16">
        <f t="shared" si="7"/>
        <v>0.61963310577370545</v>
      </c>
      <c r="G85" s="15"/>
    </row>
    <row r="86" spans="1:7" x14ac:dyDescent="0.3">
      <c r="A86" s="5">
        <v>43110</v>
      </c>
      <c r="B86" s="14">
        <v>632.10142857142876</v>
      </c>
      <c r="C86" s="16">
        <f t="shared" si="4"/>
        <v>626.05211908304989</v>
      </c>
      <c r="D86" s="16">
        <f t="shared" si="5"/>
        <v>9.8134492865977929</v>
      </c>
      <c r="E86" s="16">
        <f t="shared" si="6"/>
        <v>6.0493094883788672</v>
      </c>
      <c r="F86" s="16">
        <f t="shared" si="7"/>
        <v>0.6164305038637532</v>
      </c>
      <c r="G86" s="15"/>
    </row>
    <row r="87" spans="1:7" x14ac:dyDescent="0.3">
      <c r="A87" s="5">
        <v>43141</v>
      </c>
      <c r="B87" s="14">
        <v>632.10571428571427</v>
      </c>
      <c r="C87" s="16">
        <f t="shared" si="4"/>
        <v>626.05211908304989</v>
      </c>
      <c r="D87" s="16">
        <f t="shared" si="5"/>
        <v>9.8134492865977929</v>
      </c>
      <c r="E87" s="16">
        <f t="shared" si="6"/>
        <v>6.0535952026643827</v>
      </c>
      <c r="F87" s="16">
        <f t="shared" si="7"/>
        <v>0.61686722230600044</v>
      </c>
      <c r="G87" s="15"/>
    </row>
    <row r="88" spans="1:7" x14ac:dyDescent="0.3">
      <c r="A88" s="5">
        <v>43169</v>
      </c>
      <c r="B88" s="14">
        <v>632.10857142857151</v>
      </c>
      <c r="C88" s="16">
        <f t="shared" si="4"/>
        <v>626.05211908304989</v>
      </c>
      <c r="D88" s="16">
        <f t="shared" si="5"/>
        <v>9.8134492865977929</v>
      </c>
      <c r="E88" s="16">
        <f t="shared" si="6"/>
        <v>6.0564523455216204</v>
      </c>
      <c r="F88" s="16">
        <f t="shared" si="7"/>
        <v>0.61715836793418855</v>
      </c>
      <c r="G88" s="15"/>
    </row>
    <row r="89" spans="1:7" x14ac:dyDescent="0.3">
      <c r="A89" s="5">
        <v>43200</v>
      </c>
      <c r="B89" s="14">
        <v>632.10428571428577</v>
      </c>
      <c r="C89" s="16">
        <f t="shared" si="4"/>
        <v>626.05211908304989</v>
      </c>
      <c r="D89" s="16">
        <f t="shared" si="5"/>
        <v>9.8134492865977929</v>
      </c>
      <c r="E89" s="16">
        <f t="shared" si="6"/>
        <v>6.0521666312358775</v>
      </c>
      <c r="F89" s="16">
        <f t="shared" si="7"/>
        <v>0.6167216494919181</v>
      </c>
      <c r="G89" s="15"/>
    </row>
    <row r="90" spans="1:7" x14ac:dyDescent="0.3">
      <c r="A90" s="6">
        <v>43230</v>
      </c>
      <c r="B90" s="14">
        <v>632.02285714285711</v>
      </c>
      <c r="C90" s="16">
        <f t="shared" si="4"/>
        <v>626.05211908304989</v>
      </c>
      <c r="D90" s="16">
        <f t="shared" si="5"/>
        <v>9.8134492865977929</v>
      </c>
      <c r="E90" s="16">
        <f t="shared" si="6"/>
        <v>5.9707380598072177</v>
      </c>
      <c r="F90" s="16">
        <f t="shared" si="7"/>
        <v>0.60842399908882616</v>
      </c>
      <c r="G90" s="15"/>
    </row>
    <row r="91" spans="1:7" x14ac:dyDescent="0.3">
      <c r="A91" s="5">
        <v>43261</v>
      </c>
      <c r="B91" s="14">
        <v>608.65750000000003</v>
      </c>
      <c r="C91" s="16">
        <f t="shared" si="4"/>
        <v>626.05211908304989</v>
      </c>
      <c r="D91" s="16">
        <f t="shared" si="5"/>
        <v>9.8134492865977929</v>
      </c>
      <c r="E91" s="16">
        <f t="shared" si="6"/>
        <v>-17.394619083049861</v>
      </c>
      <c r="F91" s="16">
        <f t="shared" si="7"/>
        <v>-1.7725285549501597</v>
      </c>
      <c r="G91" s="15"/>
    </row>
    <row r="92" spans="1:7" x14ac:dyDescent="0.3">
      <c r="A92" s="5">
        <v>43291</v>
      </c>
      <c r="B92" s="14">
        <v>608.59749999999997</v>
      </c>
      <c r="C92" s="16">
        <f t="shared" si="4"/>
        <v>626.05211908304989</v>
      </c>
      <c r="D92" s="16">
        <f t="shared" si="5"/>
        <v>9.8134492865977929</v>
      </c>
      <c r="E92" s="16">
        <f t="shared" si="6"/>
        <v>-17.45461908304992</v>
      </c>
      <c r="F92" s="16">
        <f t="shared" si="7"/>
        <v>-1.7786426131419109</v>
      </c>
      <c r="G92" s="15"/>
    </row>
    <row r="93" spans="1:7" x14ac:dyDescent="0.3">
      <c r="A93" s="5">
        <v>43322</v>
      </c>
      <c r="B93" s="14">
        <v>631.8271428571428</v>
      </c>
      <c r="C93" s="16">
        <f t="shared" si="4"/>
        <v>626.05211908304989</v>
      </c>
      <c r="D93" s="16">
        <f t="shared" si="5"/>
        <v>9.8134492865977929</v>
      </c>
      <c r="E93" s="16">
        <f t="shared" si="6"/>
        <v>5.7750237740929151</v>
      </c>
      <c r="F93" s="16">
        <f t="shared" si="7"/>
        <v>0.5884805235586078</v>
      </c>
      <c r="G93" s="15"/>
    </row>
    <row r="94" spans="1:7" x14ac:dyDescent="0.3">
      <c r="A94" s="5">
        <v>43353</v>
      </c>
      <c r="B94" s="14">
        <v>631.82857142857142</v>
      </c>
      <c r="C94" s="16">
        <f t="shared" si="4"/>
        <v>626.05211908304989</v>
      </c>
      <c r="D94" s="16">
        <f t="shared" si="5"/>
        <v>9.8134492865977929</v>
      </c>
      <c r="E94" s="16">
        <f t="shared" si="6"/>
        <v>5.776452345521534</v>
      </c>
      <c r="F94" s="16">
        <f t="shared" si="7"/>
        <v>0.5886260963727018</v>
      </c>
      <c r="G94" s="15"/>
    </row>
    <row r="95" spans="1:7" x14ac:dyDescent="0.3">
      <c r="A95" s="5">
        <v>43383</v>
      </c>
      <c r="B95" s="14">
        <v>631.78857142857146</v>
      </c>
      <c r="C95" s="16">
        <f t="shared" si="4"/>
        <v>626.05211908304989</v>
      </c>
      <c r="D95" s="16">
        <f t="shared" si="5"/>
        <v>9.8134492865977929</v>
      </c>
      <c r="E95" s="16">
        <f t="shared" si="6"/>
        <v>5.7364523455215704</v>
      </c>
      <c r="F95" s="16">
        <f t="shared" si="7"/>
        <v>0.58455005757820866</v>
      </c>
      <c r="G95" s="15"/>
    </row>
    <row r="96" spans="1:7" x14ac:dyDescent="0.3">
      <c r="A96" s="5">
        <v>43414</v>
      </c>
      <c r="B96" s="14">
        <v>631.77714285714285</v>
      </c>
      <c r="C96" s="16">
        <f t="shared" si="4"/>
        <v>626.05211908304989</v>
      </c>
      <c r="D96" s="16">
        <f t="shared" si="5"/>
        <v>9.8134492865977929</v>
      </c>
      <c r="E96" s="16">
        <f t="shared" si="6"/>
        <v>5.7250237740929606</v>
      </c>
      <c r="F96" s="16">
        <f t="shared" si="7"/>
        <v>0.58338547506549132</v>
      </c>
      <c r="G96" s="15"/>
    </row>
    <row r="97" spans="1:7" x14ac:dyDescent="0.3">
      <c r="A97" s="6">
        <v>43444</v>
      </c>
      <c r="B97" s="14">
        <v>631.73857142857139</v>
      </c>
      <c r="C97" s="16">
        <f t="shared" si="4"/>
        <v>626.05211908304989</v>
      </c>
      <c r="D97" s="16">
        <f t="shared" si="5"/>
        <v>9.8134492865977929</v>
      </c>
      <c r="E97" s="16">
        <f t="shared" si="6"/>
        <v>5.6864523455215021</v>
      </c>
      <c r="F97" s="16">
        <f t="shared" si="7"/>
        <v>0.57945500908508063</v>
      </c>
      <c r="G97" s="15"/>
    </row>
    <row r="98" spans="1:7" x14ac:dyDescent="0.3">
      <c r="A98" s="5">
        <v>43475</v>
      </c>
      <c r="B98" s="14">
        <v>631.74571428571414</v>
      </c>
      <c r="C98" s="16">
        <f t="shared" si="4"/>
        <v>626.05211908304989</v>
      </c>
      <c r="D98" s="16">
        <f t="shared" si="5"/>
        <v>9.8134492865977929</v>
      </c>
      <c r="E98" s="16">
        <f t="shared" si="6"/>
        <v>5.6935952026642553</v>
      </c>
      <c r="F98" s="16">
        <f t="shared" si="7"/>
        <v>0.58018287315551587</v>
      </c>
      <c r="G98" s="15"/>
    </row>
    <row r="99" spans="1:7" x14ac:dyDescent="0.3">
      <c r="A99" s="5">
        <v>43506</v>
      </c>
      <c r="B99" s="14">
        <v>631.80857142857155</v>
      </c>
      <c r="C99" s="16">
        <f t="shared" si="4"/>
        <v>626.05211908304989</v>
      </c>
      <c r="D99" s="16">
        <f t="shared" si="5"/>
        <v>9.8134492865977929</v>
      </c>
      <c r="E99" s="16">
        <f t="shared" si="6"/>
        <v>5.7564523455216658</v>
      </c>
      <c r="F99" s="16">
        <f t="shared" si="7"/>
        <v>0.58658807697546678</v>
      </c>
      <c r="G99" s="15"/>
    </row>
    <row r="100" spans="1:7" x14ac:dyDescent="0.3">
      <c r="A100" s="5">
        <v>43534</v>
      </c>
      <c r="B100" s="14">
        <v>631.72428571428566</v>
      </c>
      <c r="C100" s="16">
        <f t="shared" si="4"/>
        <v>626.05211908304989</v>
      </c>
      <c r="D100" s="16">
        <f t="shared" si="5"/>
        <v>9.8134492865977929</v>
      </c>
      <c r="E100" s="16">
        <f t="shared" si="6"/>
        <v>5.6721666312357684</v>
      </c>
      <c r="F100" s="16">
        <f t="shared" si="7"/>
        <v>0.57799928094418696</v>
      </c>
      <c r="G100" s="15"/>
    </row>
    <row r="101" spans="1:7" x14ac:dyDescent="0.3">
      <c r="A101" s="5">
        <v>43565</v>
      </c>
      <c r="B101" s="14">
        <v>631.78428571428572</v>
      </c>
      <c r="C101" s="16">
        <f t="shared" si="4"/>
        <v>626.05211908304989</v>
      </c>
      <c r="D101" s="16">
        <f t="shared" si="5"/>
        <v>9.8134492865977929</v>
      </c>
      <c r="E101" s="16">
        <f t="shared" si="6"/>
        <v>5.7321666312358275</v>
      </c>
      <c r="F101" s="16">
        <f t="shared" si="7"/>
        <v>0.58411333913593821</v>
      </c>
      <c r="G101" s="15"/>
    </row>
    <row r="102" spans="1:7" x14ac:dyDescent="0.3">
      <c r="A102" s="5">
        <v>43595</v>
      </c>
      <c r="B102" s="14">
        <v>631.65428571428572</v>
      </c>
      <c r="C102" s="16">
        <f t="shared" si="4"/>
        <v>626.05211908304989</v>
      </c>
      <c r="D102" s="16">
        <f t="shared" si="5"/>
        <v>9.8134492865977929</v>
      </c>
      <c r="E102" s="16">
        <f t="shared" si="6"/>
        <v>5.602166631235832</v>
      </c>
      <c r="F102" s="16">
        <f t="shared" si="7"/>
        <v>0.5708662130538239</v>
      </c>
      <c r="G102" s="15"/>
    </row>
    <row r="103" spans="1:7" x14ac:dyDescent="0.3">
      <c r="A103" s="5">
        <v>43626</v>
      </c>
      <c r="B103" s="14">
        <v>614.22</v>
      </c>
      <c r="C103" s="16">
        <f t="shared" si="4"/>
        <v>626.05211908304989</v>
      </c>
      <c r="D103" s="16">
        <f t="shared" si="5"/>
        <v>9.8134492865977929</v>
      </c>
      <c r="E103" s="16">
        <f t="shared" si="6"/>
        <v>-11.832119083049861</v>
      </c>
      <c r="F103" s="16">
        <f t="shared" si="7"/>
        <v>-1.2057044100904419</v>
      </c>
      <c r="G103" s="15"/>
    </row>
    <row r="104" spans="1:7" x14ac:dyDescent="0.3">
      <c r="A104" s="6">
        <v>43656</v>
      </c>
      <c r="B104" s="14">
        <v>614.13833333333343</v>
      </c>
      <c r="C104" s="16">
        <f t="shared" si="4"/>
        <v>626.05211908304989</v>
      </c>
      <c r="D104" s="16">
        <f t="shared" si="5"/>
        <v>9.8134492865977929</v>
      </c>
      <c r="E104" s="16">
        <f t="shared" si="6"/>
        <v>-11.913785749716453</v>
      </c>
      <c r="F104" s="16">
        <f t="shared" si="7"/>
        <v>-1.2140263226291987</v>
      </c>
      <c r="G104" s="15"/>
    </row>
    <row r="105" spans="1:7" x14ac:dyDescent="0.3">
      <c r="A105" s="5">
        <v>43687</v>
      </c>
      <c r="B105" s="14">
        <v>631.45142857142855</v>
      </c>
      <c r="C105" s="16">
        <f t="shared" si="4"/>
        <v>626.05211908304989</v>
      </c>
      <c r="D105" s="16">
        <f t="shared" si="5"/>
        <v>9.8134492865977929</v>
      </c>
      <c r="E105" s="16">
        <f t="shared" si="6"/>
        <v>5.3993094883786625</v>
      </c>
      <c r="F105" s="16">
        <f t="shared" si="7"/>
        <v>0.55019487345315865</v>
      </c>
      <c r="G105" s="15"/>
    </row>
    <row r="106" spans="1:7" x14ac:dyDescent="0.3">
      <c r="A106" s="5">
        <v>43718</v>
      </c>
      <c r="B106" s="14">
        <v>631.41285714285721</v>
      </c>
      <c r="C106" s="16">
        <f t="shared" si="4"/>
        <v>626.05211908304989</v>
      </c>
      <c r="D106" s="16">
        <f t="shared" si="5"/>
        <v>9.8134492865977929</v>
      </c>
      <c r="E106" s="16">
        <f t="shared" si="6"/>
        <v>5.3607380598073178</v>
      </c>
      <c r="F106" s="16">
        <f t="shared" si="7"/>
        <v>0.54626440747275951</v>
      </c>
      <c r="G106" s="15"/>
    </row>
    <row r="107" spans="1:7" x14ac:dyDescent="0.3">
      <c r="A107" s="5">
        <v>43748</v>
      </c>
      <c r="B107" s="14">
        <v>631.39428571428573</v>
      </c>
      <c r="C107" s="16">
        <f t="shared" si="4"/>
        <v>626.05211908304989</v>
      </c>
      <c r="D107" s="16">
        <f t="shared" si="5"/>
        <v>9.8134492865977929</v>
      </c>
      <c r="E107" s="16">
        <f t="shared" si="6"/>
        <v>5.3421666312358411</v>
      </c>
      <c r="F107" s="16">
        <f t="shared" si="7"/>
        <v>0.54437196088959539</v>
      </c>
      <c r="G107" s="15"/>
    </row>
    <row r="108" spans="1:7" x14ac:dyDescent="0.3">
      <c r="A108" s="5">
        <v>43779</v>
      </c>
      <c r="B108" s="14">
        <v>631.36714285714299</v>
      </c>
      <c r="C108" s="16">
        <f t="shared" si="4"/>
        <v>626.05211908304989</v>
      </c>
      <c r="D108" s="16">
        <f t="shared" si="5"/>
        <v>9.8134492865977929</v>
      </c>
      <c r="E108" s="16">
        <f t="shared" si="6"/>
        <v>5.3150237740931061</v>
      </c>
      <c r="F108" s="16">
        <f t="shared" si="7"/>
        <v>0.54160607742191347</v>
      </c>
      <c r="G108" s="15"/>
    </row>
    <row r="109" spans="1:7" x14ac:dyDescent="0.3">
      <c r="A109" s="5">
        <v>43809</v>
      </c>
      <c r="B109" s="14">
        <v>631.36571428571438</v>
      </c>
      <c r="C109" s="16">
        <f t="shared" si="4"/>
        <v>626.05211908304989</v>
      </c>
      <c r="D109" s="16">
        <f t="shared" si="5"/>
        <v>9.8134492865977929</v>
      </c>
      <c r="E109" s="16">
        <f t="shared" si="6"/>
        <v>5.3135952026644873</v>
      </c>
      <c r="F109" s="16">
        <f t="shared" si="7"/>
        <v>0.54146050460781947</v>
      </c>
      <c r="G109" s="15"/>
    </row>
    <row r="110" spans="1:7" x14ac:dyDescent="0.3">
      <c r="A110" s="5">
        <v>43840</v>
      </c>
      <c r="B110" s="14">
        <v>631.48571428571427</v>
      </c>
      <c r="C110" s="16">
        <f t="shared" si="4"/>
        <v>626.05211908304989</v>
      </c>
      <c r="D110" s="16">
        <f t="shared" si="5"/>
        <v>9.8134492865977929</v>
      </c>
      <c r="E110" s="16">
        <f t="shared" si="6"/>
        <v>5.4335952026643781</v>
      </c>
      <c r="F110" s="16">
        <f t="shared" si="7"/>
        <v>0.5536886209912989</v>
      </c>
      <c r="G110" s="15"/>
    </row>
    <row r="111" spans="1:7" x14ac:dyDescent="0.3">
      <c r="A111" s="6">
        <v>43871</v>
      </c>
      <c r="B111" s="14">
        <v>631.56214285714293</v>
      </c>
      <c r="C111" s="16">
        <f t="shared" si="4"/>
        <v>626.05211908304989</v>
      </c>
      <c r="D111" s="16">
        <f t="shared" si="5"/>
        <v>9.8134492865977929</v>
      </c>
      <c r="E111" s="16">
        <f t="shared" si="6"/>
        <v>5.5100237740930424</v>
      </c>
      <c r="F111" s="16">
        <f t="shared" si="7"/>
        <v>0.56147676654507916</v>
      </c>
      <c r="G111" s="15"/>
    </row>
    <row r="112" spans="1:7" x14ac:dyDescent="0.3">
      <c r="A112" s="5">
        <v>43900</v>
      </c>
      <c r="B112" s="14">
        <v>633.81000000000006</v>
      </c>
      <c r="C112" s="16">
        <f t="shared" si="4"/>
        <v>626.05211908304989</v>
      </c>
      <c r="D112" s="16">
        <f t="shared" si="5"/>
        <v>9.8134492865977929</v>
      </c>
      <c r="E112" s="16">
        <f t="shared" si="6"/>
        <v>7.757880916950171</v>
      </c>
      <c r="F112" s="16">
        <f t="shared" si="7"/>
        <v>0.79053558951439151</v>
      </c>
      <c r="G112" s="15"/>
    </row>
    <row r="113" spans="1:7" x14ac:dyDescent="0.3">
      <c r="A113" s="13">
        <v>43931</v>
      </c>
      <c r="B113" s="17"/>
      <c r="C113" s="18"/>
      <c r="D113" s="18"/>
      <c r="E113" s="18"/>
      <c r="F113" s="18"/>
      <c r="G113" s="15"/>
    </row>
    <row r="114" spans="1:7" x14ac:dyDescent="0.3">
      <c r="A114" s="13">
        <v>43961</v>
      </c>
      <c r="B114" s="17"/>
      <c r="C114" s="18"/>
      <c r="D114" s="18"/>
      <c r="E114" s="18"/>
      <c r="F114" s="18"/>
      <c r="G114" s="15"/>
    </row>
    <row r="115" spans="1:7" x14ac:dyDescent="0.3">
      <c r="A115" s="13">
        <v>43992</v>
      </c>
      <c r="B115" s="17"/>
      <c r="C115" s="18"/>
      <c r="D115" s="18"/>
      <c r="E115" s="18"/>
      <c r="F115" s="18"/>
      <c r="G115" s="15"/>
    </row>
    <row r="116" spans="1:7" x14ac:dyDescent="0.3">
      <c r="A116" s="5">
        <v>44022</v>
      </c>
      <c r="B116" s="14">
        <v>599.29571428571421</v>
      </c>
      <c r="C116" s="16">
        <f t="shared" si="4"/>
        <v>626.05211908304989</v>
      </c>
      <c r="D116" s="16">
        <f t="shared" si="5"/>
        <v>9.8134492865977929</v>
      </c>
      <c r="E116" s="16">
        <f t="shared" si="6"/>
        <v>-26.756404797335676</v>
      </c>
      <c r="F116" s="16">
        <f t="shared" si="7"/>
        <v>-2.7265035988800435</v>
      </c>
      <c r="G116" s="15"/>
    </row>
    <row r="117" spans="1:7" x14ac:dyDescent="0.3">
      <c r="A117" s="5">
        <v>44053</v>
      </c>
      <c r="B117" s="14">
        <v>599.10857142857151</v>
      </c>
      <c r="C117" s="16">
        <f t="shared" si="4"/>
        <v>626.05211908304989</v>
      </c>
      <c r="D117" s="16">
        <f t="shared" si="5"/>
        <v>9.8134492865977929</v>
      </c>
      <c r="E117" s="16">
        <f t="shared" si="6"/>
        <v>-26.94354765447838</v>
      </c>
      <c r="F117" s="16">
        <f t="shared" si="7"/>
        <v>-2.7455736375257094</v>
      </c>
      <c r="G117" s="15"/>
    </row>
    <row r="118" spans="1:7" x14ac:dyDescent="0.3">
      <c r="A118" s="6">
        <v>44084</v>
      </c>
      <c r="B118" s="14">
        <v>624.18833333333339</v>
      </c>
      <c r="C118" s="16">
        <f t="shared" si="4"/>
        <v>626.05211908304989</v>
      </c>
      <c r="D118" s="16">
        <f t="shared" si="5"/>
        <v>9.8134492865977929</v>
      </c>
      <c r="E118" s="16">
        <f t="shared" si="6"/>
        <v>-1.8637857497164987</v>
      </c>
      <c r="F118" s="16">
        <f t="shared" si="7"/>
        <v>-0.18992157551187094</v>
      </c>
      <c r="G118" s="15"/>
    </row>
    <row r="119" spans="1:7" x14ac:dyDescent="0.3">
      <c r="A119" s="5">
        <v>44114</v>
      </c>
      <c r="B119" s="14">
        <v>624.23333333333335</v>
      </c>
      <c r="C119" s="16">
        <f t="shared" si="4"/>
        <v>626.05211908304989</v>
      </c>
      <c r="D119" s="16">
        <f t="shared" si="5"/>
        <v>9.8134492865977929</v>
      </c>
      <c r="E119" s="16">
        <f t="shared" si="6"/>
        <v>-1.8187857497165396</v>
      </c>
      <c r="F119" s="16">
        <f t="shared" si="7"/>
        <v>-0.18533603186806616</v>
      </c>
      <c r="G119" s="15"/>
    </row>
    <row r="120" spans="1:7" x14ac:dyDescent="0.3">
      <c r="A120" s="5">
        <v>44145</v>
      </c>
      <c r="B120" s="14">
        <v>624.57499999999993</v>
      </c>
      <c r="C120" s="16">
        <f t="shared" si="4"/>
        <v>626.05211908304989</v>
      </c>
      <c r="D120" s="16">
        <f t="shared" si="5"/>
        <v>9.8134492865977929</v>
      </c>
      <c r="E120" s="16">
        <f t="shared" si="6"/>
        <v>-1.4771190830499563</v>
      </c>
      <c r="F120" s="16">
        <f t="shared" si="7"/>
        <v>-0.15051986716508076</v>
      </c>
      <c r="G120" s="15"/>
    </row>
    <row r="121" spans="1:7" x14ac:dyDescent="0.3">
      <c r="A121" s="5">
        <v>44175</v>
      </c>
      <c r="B121" s="14">
        <v>599.13571428571424</v>
      </c>
      <c r="C121" s="16">
        <f t="shared" si="4"/>
        <v>626.05211908304989</v>
      </c>
      <c r="D121" s="16">
        <f t="shared" si="5"/>
        <v>9.8134492865977929</v>
      </c>
      <c r="E121" s="16">
        <f t="shared" si="6"/>
        <v>-26.916404797335645</v>
      </c>
      <c r="F121" s="16">
        <f t="shared" si="7"/>
        <v>-2.7428077540580276</v>
      </c>
      <c r="G121" s="15"/>
    </row>
    <row r="122" spans="1:7" x14ac:dyDescent="0.3">
      <c r="A122" s="5">
        <v>44206</v>
      </c>
      <c r="B122" s="14">
        <v>599.28</v>
      </c>
      <c r="C122" s="16">
        <f t="shared" si="4"/>
        <v>626.05211908304989</v>
      </c>
      <c r="D122" s="16">
        <f t="shared" si="5"/>
        <v>9.8134492865977929</v>
      </c>
      <c r="E122" s="16">
        <f t="shared" si="6"/>
        <v>-26.772119083049915</v>
      </c>
      <c r="F122" s="16">
        <f t="shared" si="7"/>
        <v>-2.7281048998350195</v>
      </c>
      <c r="G122" s="15"/>
    </row>
    <row r="123" spans="1:7" x14ac:dyDescent="0.3">
      <c r="A123" s="6">
        <v>44237</v>
      </c>
      <c r="B123" s="14">
        <v>599.5757142857143</v>
      </c>
      <c r="C123" s="16">
        <f t="shared" si="4"/>
        <v>626.05211908304989</v>
      </c>
      <c r="D123" s="16">
        <f t="shared" si="5"/>
        <v>9.8134492865977929</v>
      </c>
      <c r="E123" s="16">
        <f t="shared" si="6"/>
        <v>-26.47640479733559</v>
      </c>
      <c r="F123" s="16">
        <f t="shared" si="7"/>
        <v>-2.6979713273185566</v>
      </c>
      <c r="G123" s="15"/>
    </row>
    <row r="124" spans="1:7" x14ac:dyDescent="0.3">
      <c r="A124" s="5">
        <v>44265</v>
      </c>
      <c r="B124" s="14">
        <v>599.53857142857146</v>
      </c>
      <c r="C124" s="16">
        <f t="shared" si="4"/>
        <v>626.05211908304989</v>
      </c>
      <c r="D124" s="16">
        <f t="shared" si="5"/>
        <v>9.8134492865977929</v>
      </c>
      <c r="E124" s="16">
        <f t="shared" si="6"/>
        <v>-26.51354765447843</v>
      </c>
      <c r="F124" s="16">
        <f t="shared" si="7"/>
        <v>-2.7017562204848735</v>
      </c>
      <c r="G124" s="15"/>
    </row>
    <row r="125" spans="1:7" x14ac:dyDescent="0.3">
      <c r="A125" s="5">
        <v>44296</v>
      </c>
      <c r="B125" s="14">
        <v>599.46142857142854</v>
      </c>
      <c r="C125" s="16">
        <f t="shared" si="4"/>
        <v>626.05211908304989</v>
      </c>
      <c r="D125" s="16">
        <f t="shared" si="5"/>
        <v>9.8134492865977929</v>
      </c>
      <c r="E125" s="16">
        <f t="shared" si="6"/>
        <v>-26.590690511621347</v>
      </c>
      <c r="F125" s="16">
        <f t="shared" si="7"/>
        <v>-2.7096171524456949</v>
      </c>
      <c r="G125" s="15"/>
    </row>
    <row r="126" spans="1:7" x14ac:dyDescent="0.3">
      <c r="A126" s="5">
        <v>44326</v>
      </c>
      <c r="B126" s="14">
        <v>624.94125000000008</v>
      </c>
      <c r="C126" s="16">
        <f t="shared" si="4"/>
        <v>626.05211908304989</v>
      </c>
      <c r="D126" s="16">
        <f t="shared" si="5"/>
        <v>9.8134492865977929</v>
      </c>
      <c r="E126" s="16">
        <f t="shared" si="6"/>
        <v>-1.1108690830498062</v>
      </c>
      <c r="F126" s="16">
        <f t="shared" si="7"/>
        <v>-0.11319863695295372</v>
      </c>
      <c r="G126" s="15"/>
    </row>
    <row r="127" spans="1:7" x14ac:dyDescent="0.3">
      <c r="A127" s="5">
        <v>44357</v>
      </c>
      <c r="B127" s="14">
        <v>624.92250000000001</v>
      </c>
      <c r="C127" s="16">
        <f t="shared" si="4"/>
        <v>626.05211908304989</v>
      </c>
      <c r="D127" s="16">
        <f t="shared" si="5"/>
        <v>9.8134492865977929</v>
      </c>
      <c r="E127" s="16">
        <f t="shared" si="6"/>
        <v>-1.1296190830498745</v>
      </c>
      <c r="F127" s="16">
        <f t="shared" si="7"/>
        <v>-0.11510928013788106</v>
      </c>
      <c r="G127" s="15"/>
    </row>
    <row r="128" spans="1:7" x14ac:dyDescent="0.3">
      <c r="A128" s="5">
        <v>44387</v>
      </c>
      <c r="B128" s="14">
        <v>624.88625000000002</v>
      </c>
      <c r="C128" s="16">
        <f t="shared" si="4"/>
        <v>626.05211908304989</v>
      </c>
      <c r="D128" s="16">
        <f t="shared" si="5"/>
        <v>9.8134492865977929</v>
      </c>
      <c r="E128" s="16">
        <f t="shared" si="6"/>
        <v>-1.1658690830498699</v>
      </c>
      <c r="F128" s="16">
        <f t="shared" si="7"/>
        <v>-0.11880319029539337</v>
      </c>
      <c r="G128" s="15"/>
    </row>
    <row r="129" spans="1:7" x14ac:dyDescent="0.3">
      <c r="A129" s="5">
        <v>44418</v>
      </c>
      <c r="B129" s="14">
        <v>625</v>
      </c>
      <c r="C129" s="16">
        <f t="shared" si="4"/>
        <v>626.05211908304989</v>
      </c>
      <c r="D129" s="16">
        <f t="shared" si="5"/>
        <v>9.8134492865977929</v>
      </c>
      <c r="E129" s="16">
        <f t="shared" si="6"/>
        <v>-1.0521190830498881</v>
      </c>
      <c r="F129" s="16">
        <f t="shared" si="7"/>
        <v>-0.10721195497354483</v>
      </c>
      <c r="G129" s="15"/>
    </row>
    <row r="130" spans="1:7" x14ac:dyDescent="0.3">
      <c r="A130" s="5">
        <v>44449</v>
      </c>
      <c r="B130" s="14">
        <v>624.8805000000001</v>
      </c>
      <c r="C130" s="16">
        <f t="shared" si="4"/>
        <v>626.05211908304989</v>
      </c>
      <c r="D130" s="16">
        <f t="shared" si="5"/>
        <v>9.8134492865977929</v>
      </c>
      <c r="E130" s="16">
        <f t="shared" si="6"/>
        <v>-1.1716190830497908</v>
      </c>
      <c r="F130" s="16">
        <f t="shared" si="7"/>
        <v>-0.11938912087209423</v>
      </c>
      <c r="G130" s="15"/>
    </row>
    <row r="131" spans="1:7" x14ac:dyDescent="0.3">
      <c r="A131" s="5">
        <v>44479</v>
      </c>
      <c r="B131" s="14">
        <v>624.29499999999996</v>
      </c>
      <c r="C131" s="16">
        <f t="shared" ref="C131:C172" si="8">AVERAGE($B$2:$B$172)</f>
        <v>626.05211908304989</v>
      </c>
      <c r="D131" s="16">
        <f t="shared" ref="D131:D172" si="9">_xlfn.STDEV.S($B$2:$B$172)</f>
        <v>9.8134492865977929</v>
      </c>
      <c r="E131" s="16">
        <f t="shared" ref="E131:E163" si="10">B131-C131</f>
        <v>-1.757119083049929</v>
      </c>
      <c r="F131" s="16">
        <f t="shared" ref="F131:F142" si="11">E131/D131</f>
        <v>-0.1790521387265559</v>
      </c>
      <c r="G131" s="15"/>
    </row>
    <row r="132" spans="1:7" x14ac:dyDescent="0.3">
      <c r="A132" s="5">
        <v>44510</v>
      </c>
      <c r="B132" s="14">
        <v>624.25687499999992</v>
      </c>
      <c r="C132" s="16">
        <f t="shared" si="8"/>
        <v>626.05211908304989</v>
      </c>
      <c r="D132" s="16">
        <f t="shared" si="9"/>
        <v>9.8134492865977929</v>
      </c>
      <c r="E132" s="16">
        <f t="shared" si="10"/>
        <v>-1.7952440830499654</v>
      </c>
      <c r="F132" s="16">
        <f t="shared" si="11"/>
        <v>-0.18293711320256442</v>
      </c>
      <c r="G132" s="15"/>
    </row>
    <row r="133" spans="1:7" x14ac:dyDescent="0.3">
      <c r="A133" s="5">
        <v>44540</v>
      </c>
      <c r="B133" s="14">
        <v>624.36374999999998</v>
      </c>
      <c r="C133" s="16">
        <f t="shared" si="8"/>
        <v>626.05211908304989</v>
      </c>
      <c r="D133" s="16">
        <f t="shared" si="9"/>
        <v>9.8134492865977929</v>
      </c>
      <c r="E133" s="16">
        <f t="shared" si="10"/>
        <v>-1.6883690830499063</v>
      </c>
      <c r="F133" s="16">
        <f t="shared" si="11"/>
        <v>-0.17204644704851213</v>
      </c>
      <c r="G133" s="15"/>
    </row>
    <row r="134" spans="1:7" x14ac:dyDescent="0.3">
      <c r="A134" s="5">
        <v>44571</v>
      </c>
      <c r="B134" s="14">
        <v>624.30624999999998</v>
      </c>
      <c r="C134" s="16">
        <f t="shared" si="8"/>
        <v>626.05211908304989</v>
      </c>
      <c r="D134" s="16">
        <f t="shared" si="9"/>
        <v>9.8134492865977929</v>
      </c>
      <c r="E134" s="16">
        <f t="shared" si="10"/>
        <v>-1.7458690830499108</v>
      </c>
      <c r="F134" s="16">
        <f t="shared" si="11"/>
        <v>-0.17790575281560181</v>
      </c>
      <c r="G134" s="15"/>
    </row>
    <row r="135" spans="1:7" x14ac:dyDescent="0.3">
      <c r="A135" s="5">
        <v>44602</v>
      </c>
      <c r="B135" s="14">
        <v>624.36374999999998</v>
      </c>
      <c r="C135" s="16">
        <f t="shared" si="8"/>
        <v>626.05211908304989</v>
      </c>
      <c r="D135" s="16">
        <f t="shared" si="9"/>
        <v>9.8134492865977929</v>
      </c>
      <c r="E135" s="16">
        <f t="shared" si="10"/>
        <v>-1.6883690830499063</v>
      </c>
      <c r="F135" s="16">
        <f t="shared" si="11"/>
        <v>-0.17204644704851213</v>
      </c>
      <c r="G135" s="15"/>
    </row>
    <row r="136" spans="1:7" x14ac:dyDescent="0.3">
      <c r="A136" s="5">
        <v>44630</v>
      </c>
      <c r="B136" s="14">
        <v>624.36124999999993</v>
      </c>
      <c r="C136" s="16">
        <f t="shared" si="8"/>
        <v>626.05211908304989</v>
      </c>
      <c r="D136" s="16">
        <f t="shared" si="9"/>
        <v>9.8134492865977929</v>
      </c>
      <c r="E136" s="16">
        <f t="shared" si="10"/>
        <v>-1.6908690830499609</v>
      </c>
      <c r="F136" s="16">
        <f t="shared" si="11"/>
        <v>-0.17230119947317374</v>
      </c>
      <c r="G136" s="15"/>
    </row>
    <row r="137" spans="1:7" x14ac:dyDescent="0.3">
      <c r="A137" s="5">
        <v>44661</v>
      </c>
      <c r="B137" s="14">
        <v>624.29000000000008</v>
      </c>
      <c r="C137" s="16">
        <f t="shared" si="8"/>
        <v>626.05211908304989</v>
      </c>
      <c r="D137" s="16">
        <f t="shared" si="9"/>
        <v>9.8134492865977929</v>
      </c>
      <c r="E137" s="16">
        <f t="shared" si="10"/>
        <v>-1.7621190830498108</v>
      </c>
      <c r="F137" s="16">
        <f t="shared" si="11"/>
        <v>-0.17956164357585597</v>
      </c>
      <c r="G137" s="15"/>
    </row>
    <row r="138" spans="1:7" x14ac:dyDescent="0.3">
      <c r="A138" s="5">
        <v>44691</v>
      </c>
      <c r="B138" s="14">
        <v>624.3125</v>
      </c>
      <c r="C138" s="16">
        <f t="shared" si="8"/>
        <v>626.05211908304989</v>
      </c>
      <c r="D138" s="16">
        <f t="shared" si="9"/>
        <v>9.8134492865977929</v>
      </c>
      <c r="E138" s="16">
        <f t="shared" si="10"/>
        <v>-1.7396190830498881</v>
      </c>
      <c r="F138" s="16">
        <f t="shared" si="11"/>
        <v>-0.17726887175395936</v>
      </c>
      <c r="G138" s="15"/>
    </row>
    <row r="139" spans="1:7" x14ac:dyDescent="0.3">
      <c r="A139" s="5">
        <v>44722</v>
      </c>
      <c r="B139" s="14">
        <v>624.21187499999996</v>
      </c>
      <c r="C139" s="16">
        <f t="shared" si="8"/>
        <v>626.05211908304989</v>
      </c>
      <c r="D139" s="16">
        <f t="shared" si="9"/>
        <v>9.8134492865977929</v>
      </c>
      <c r="E139" s="16">
        <f t="shared" si="10"/>
        <v>-1.8402440830499245</v>
      </c>
      <c r="F139" s="16">
        <f t="shared" si="11"/>
        <v>-0.18752265684636921</v>
      </c>
      <c r="G139" s="15"/>
    </row>
    <row r="140" spans="1:7" x14ac:dyDescent="0.3">
      <c r="A140" s="5">
        <v>44752</v>
      </c>
      <c r="B140" s="14">
        <v>624.18125000000009</v>
      </c>
      <c r="C140" s="16">
        <f t="shared" si="8"/>
        <v>626.05211908304989</v>
      </c>
      <c r="D140" s="16">
        <f t="shared" si="9"/>
        <v>9.8134492865977929</v>
      </c>
      <c r="E140" s="16">
        <f t="shared" si="10"/>
        <v>-1.8708690830497972</v>
      </c>
      <c r="F140" s="16">
        <f t="shared" si="11"/>
        <v>-0.19064337404839288</v>
      </c>
      <c r="G140" s="15"/>
    </row>
    <row r="141" spans="1:7" x14ac:dyDescent="0.3">
      <c r="A141" s="5">
        <v>44783</v>
      </c>
      <c r="B141" s="14">
        <v>624.25250000000005</v>
      </c>
      <c r="C141" s="16">
        <f t="shared" si="8"/>
        <v>626.05211908304989</v>
      </c>
      <c r="D141" s="16">
        <f t="shared" si="9"/>
        <v>9.8134492865977929</v>
      </c>
      <c r="E141" s="16">
        <f t="shared" si="10"/>
        <v>-1.7996190830498335</v>
      </c>
      <c r="F141" s="16">
        <f t="shared" si="11"/>
        <v>-0.18338292994569907</v>
      </c>
      <c r="G141" s="15"/>
    </row>
    <row r="142" spans="1:7" x14ac:dyDescent="0.3">
      <c r="A142" s="5">
        <v>44814</v>
      </c>
      <c r="B142" s="14">
        <v>624.21874999999989</v>
      </c>
      <c r="C142" s="16">
        <f t="shared" si="8"/>
        <v>626.05211908304989</v>
      </c>
      <c r="D142" s="16">
        <f t="shared" si="9"/>
        <v>9.8134492865977929</v>
      </c>
      <c r="E142" s="16">
        <f t="shared" si="10"/>
        <v>-1.8333690830500018</v>
      </c>
      <c r="F142" s="16">
        <f t="shared" si="11"/>
        <v>-0.18682208767857292</v>
      </c>
      <c r="G142" s="15"/>
    </row>
    <row r="143" spans="1:7" x14ac:dyDescent="0.3">
      <c r="A143" s="5">
        <v>44844</v>
      </c>
      <c r="B143" s="14">
        <v>624.1825</v>
      </c>
      <c r="C143" s="16">
        <f t="shared" si="8"/>
        <v>626.05211908304989</v>
      </c>
      <c r="D143" s="16">
        <f t="shared" si="9"/>
        <v>9.8134492865977929</v>
      </c>
      <c r="E143" s="16">
        <f t="shared" si="10"/>
        <v>-1.8696190830498836</v>
      </c>
      <c r="F143" s="16">
        <f>E143/D143</f>
        <v>-0.19051599783607365</v>
      </c>
      <c r="G143" s="15"/>
    </row>
    <row r="144" spans="1:7" x14ac:dyDescent="0.3">
      <c r="A144" s="5">
        <v>44875</v>
      </c>
      <c r="B144" s="14">
        <v>624.18375000000003</v>
      </c>
      <c r="C144" s="16">
        <f t="shared" si="8"/>
        <v>626.05211908304989</v>
      </c>
      <c r="D144" s="16">
        <f t="shared" si="9"/>
        <v>9.8134492865977929</v>
      </c>
      <c r="E144" s="16">
        <f t="shared" si="10"/>
        <v>-1.8683690830498563</v>
      </c>
      <c r="F144" s="16">
        <f t="shared" ref="F144:F164" si="12">E144/D144</f>
        <v>-0.19038862162374284</v>
      </c>
      <c r="G144" s="15"/>
    </row>
    <row r="145" spans="1:7" x14ac:dyDescent="0.3">
      <c r="A145" s="5">
        <v>44905</v>
      </c>
      <c r="B145" s="14">
        <v>624.12875000000008</v>
      </c>
      <c r="C145" s="16">
        <f t="shared" si="8"/>
        <v>626.05211908304989</v>
      </c>
      <c r="D145" s="16">
        <f t="shared" si="9"/>
        <v>9.8134492865977929</v>
      </c>
      <c r="E145" s="16">
        <f t="shared" si="10"/>
        <v>-1.9233690830498062</v>
      </c>
      <c r="F145" s="16">
        <f t="shared" si="12"/>
        <v>-0.19599317496617091</v>
      </c>
      <c r="G145" s="15"/>
    </row>
    <row r="146" spans="1:7" x14ac:dyDescent="0.3">
      <c r="A146" s="5">
        <v>44936</v>
      </c>
      <c r="B146" s="14">
        <v>624.39374999999995</v>
      </c>
      <c r="C146" s="16">
        <f t="shared" si="8"/>
        <v>626.05211908304989</v>
      </c>
      <c r="D146" s="16">
        <f t="shared" si="9"/>
        <v>9.8134492865977929</v>
      </c>
      <c r="E146" s="16">
        <f t="shared" si="10"/>
        <v>-1.6583690830499336</v>
      </c>
      <c r="F146" s="16">
        <f t="shared" si="12"/>
        <v>-0.16898941795264227</v>
      </c>
      <c r="G146" s="15"/>
    </row>
    <row r="147" spans="1:7" x14ac:dyDescent="0.3">
      <c r="A147" s="5">
        <v>44967</v>
      </c>
      <c r="B147" s="14">
        <v>624.59625000000005</v>
      </c>
      <c r="C147" s="16">
        <f t="shared" si="8"/>
        <v>626.05211908304989</v>
      </c>
      <c r="D147" s="16">
        <f t="shared" si="9"/>
        <v>9.8134492865977929</v>
      </c>
      <c r="E147" s="16">
        <f t="shared" si="10"/>
        <v>-1.4558690830498335</v>
      </c>
      <c r="F147" s="16">
        <f t="shared" si="12"/>
        <v>-0.14835447155549181</v>
      </c>
      <c r="G147" s="15"/>
    </row>
    <row r="148" spans="1:7" x14ac:dyDescent="0.3">
      <c r="A148" s="5">
        <v>44995</v>
      </c>
      <c r="B148" s="14">
        <v>624.71500000000003</v>
      </c>
      <c r="C148" s="16">
        <f t="shared" si="8"/>
        <v>626.05211908304989</v>
      </c>
      <c r="D148" s="16">
        <f t="shared" si="9"/>
        <v>9.8134492865977929</v>
      </c>
      <c r="E148" s="16">
        <f t="shared" si="10"/>
        <v>-1.3371190830498563</v>
      </c>
      <c r="F148" s="16">
        <f t="shared" si="12"/>
        <v>-0.13625373138433161</v>
      </c>
      <c r="G148" s="15"/>
    </row>
    <row r="149" spans="1:7" x14ac:dyDescent="0.3">
      <c r="A149" s="5">
        <v>45026</v>
      </c>
      <c r="B149" s="14">
        <v>624.71</v>
      </c>
      <c r="C149" s="16">
        <f t="shared" si="8"/>
        <v>626.05211908304989</v>
      </c>
      <c r="D149" s="16">
        <f t="shared" si="9"/>
        <v>9.8134492865977929</v>
      </c>
      <c r="E149" s="16">
        <f t="shared" si="10"/>
        <v>-1.3421190830498517</v>
      </c>
      <c r="F149" s="16">
        <f t="shared" si="12"/>
        <v>-0.13676323623364325</v>
      </c>
      <c r="G149" s="15"/>
    </row>
    <row r="150" spans="1:7" x14ac:dyDescent="0.3">
      <c r="A150" s="5">
        <v>45056</v>
      </c>
      <c r="B150" s="14">
        <v>624.7075000000001</v>
      </c>
      <c r="C150" s="16">
        <f t="shared" si="8"/>
        <v>626.05211908304989</v>
      </c>
      <c r="D150" s="16">
        <f t="shared" si="9"/>
        <v>9.8134492865977929</v>
      </c>
      <c r="E150" s="16">
        <f t="shared" si="10"/>
        <v>-1.3446190830497926</v>
      </c>
      <c r="F150" s="16">
        <f t="shared" si="12"/>
        <v>-0.13701798865829326</v>
      </c>
      <c r="G150" s="15"/>
    </row>
    <row r="151" spans="1:7" x14ac:dyDescent="0.3">
      <c r="A151" s="5">
        <v>45087</v>
      </c>
      <c r="B151" s="14">
        <v>624.64</v>
      </c>
      <c r="C151" s="16">
        <f t="shared" si="8"/>
        <v>626.05211908304989</v>
      </c>
      <c r="D151" s="16">
        <f t="shared" si="9"/>
        <v>9.8134492865977929</v>
      </c>
      <c r="E151" s="16">
        <f t="shared" si="10"/>
        <v>-1.4121190830499017</v>
      </c>
      <c r="F151" s="16">
        <f t="shared" si="12"/>
        <v>-0.14389630412401783</v>
      </c>
      <c r="G151" s="15"/>
    </row>
    <row r="152" spans="1:7" x14ac:dyDescent="0.3">
      <c r="A152" s="5">
        <v>45117</v>
      </c>
      <c r="B152" s="14">
        <v>624.63</v>
      </c>
      <c r="C152" s="16">
        <f t="shared" si="8"/>
        <v>626.05211908304989</v>
      </c>
      <c r="D152" s="16">
        <f t="shared" si="9"/>
        <v>9.8134492865977929</v>
      </c>
      <c r="E152" s="16">
        <f t="shared" si="10"/>
        <v>-1.4221190830498927</v>
      </c>
      <c r="F152" s="16">
        <f t="shared" si="12"/>
        <v>-0.14491531382264111</v>
      </c>
      <c r="G152" s="15"/>
    </row>
    <row r="153" spans="1:7" x14ac:dyDescent="0.3">
      <c r="A153" s="5">
        <v>45148</v>
      </c>
      <c r="B153" s="14">
        <v>624.67999999999995</v>
      </c>
      <c r="C153" s="16">
        <f t="shared" si="8"/>
        <v>626.05211908304989</v>
      </c>
      <c r="D153" s="16">
        <f t="shared" si="9"/>
        <v>9.8134492865977929</v>
      </c>
      <c r="E153" s="16">
        <f t="shared" si="10"/>
        <v>-1.3721190830499381</v>
      </c>
      <c r="F153" s="16">
        <f t="shared" si="12"/>
        <v>-0.13982026532952468</v>
      </c>
      <c r="G153" s="15"/>
    </row>
    <row r="154" spans="1:7" x14ac:dyDescent="0.3">
      <c r="A154" s="5">
        <v>45179</v>
      </c>
      <c r="B154" s="14">
        <v>624.6</v>
      </c>
      <c r="C154" s="16">
        <f t="shared" si="8"/>
        <v>626.05211908304989</v>
      </c>
      <c r="D154" s="16">
        <f t="shared" si="9"/>
        <v>9.8134492865977929</v>
      </c>
      <c r="E154" s="16">
        <f t="shared" si="10"/>
        <v>-1.4521190830498654</v>
      </c>
      <c r="F154" s="16">
        <f t="shared" si="12"/>
        <v>-0.14797234291851097</v>
      </c>
      <c r="G154" s="15"/>
    </row>
    <row r="155" spans="1:7" x14ac:dyDescent="0.3">
      <c r="A155" s="5">
        <v>45209</v>
      </c>
      <c r="B155" s="14">
        <v>624.63</v>
      </c>
      <c r="C155" s="16">
        <f t="shared" si="8"/>
        <v>626.05211908304989</v>
      </c>
      <c r="D155" s="16">
        <f t="shared" si="9"/>
        <v>9.8134492865977929</v>
      </c>
      <c r="E155" s="16">
        <f t="shared" si="10"/>
        <v>-1.4221190830498927</v>
      </c>
      <c r="F155" s="16">
        <f t="shared" si="12"/>
        <v>-0.14491531382264111</v>
      </c>
      <c r="G155" s="15"/>
    </row>
    <row r="156" spans="1:7" x14ac:dyDescent="0.3">
      <c r="A156" s="5">
        <v>45240</v>
      </c>
      <c r="B156" s="14">
        <v>624.66999999999996</v>
      </c>
      <c r="C156" s="16">
        <f t="shared" si="8"/>
        <v>626.05211908304989</v>
      </c>
      <c r="D156" s="16">
        <f t="shared" si="9"/>
        <v>9.8134492865977929</v>
      </c>
      <c r="E156" s="16">
        <f t="shared" si="10"/>
        <v>-1.382119083049929</v>
      </c>
      <c r="F156" s="16">
        <f t="shared" si="12"/>
        <v>-0.14083927502814797</v>
      </c>
      <c r="G156" s="15"/>
    </row>
    <row r="157" spans="1:7" x14ac:dyDescent="0.3">
      <c r="A157" s="5">
        <v>45270</v>
      </c>
      <c r="B157" s="14">
        <v>624.66</v>
      </c>
      <c r="C157" s="16">
        <f t="shared" si="8"/>
        <v>626.05211908304989</v>
      </c>
      <c r="D157" s="16">
        <f t="shared" si="9"/>
        <v>9.8134492865977929</v>
      </c>
      <c r="E157" s="16">
        <f t="shared" si="10"/>
        <v>-1.3921190830499199</v>
      </c>
      <c r="F157" s="16">
        <f t="shared" si="12"/>
        <v>-0.14185828472677126</v>
      </c>
      <c r="G157" s="15"/>
    </row>
    <row r="158" spans="1:7" x14ac:dyDescent="0.3">
      <c r="A158" s="5">
        <v>45301</v>
      </c>
      <c r="B158" s="14">
        <v>624.92000000000007</v>
      </c>
      <c r="C158" s="16">
        <f t="shared" si="8"/>
        <v>626.05211908304989</v>
      </c>
      <c r="D158" s="16">
        <f t="shared" si="9"/>
        <v>9.8134492865977929</v>
      </c>
      <c r="E158" s="16">
        <f t="shared" si="10"/>
        <v>-1.1321190830498153</v>
      </c>
      <c r="F158" s="16">
        <f t="shared" si="12"/>
        <v>-0.1153640325625311</v>
      </c>
      <c r="G158" s="15"/>
    </row>
    <row r="159" spans="1:7" x14ac:dyDescent="0.3">
      <c r="A159" s="5">
        <v>45332</v>
      </c>
      <c r="B159" s="14">
        <v>625.02</v>
      </c>
      <c r="C159" s="16">
        <f t="shared" si="8"/>
        <v>626.05211908304989</v>
      </c>
      <c r="D159" s="16">
        <f t="shared" si="9"/>
        <v>9.8134492865977929</v>
      </c>
      <c r="E159" s="16">
        <f t="shared" si="10"/>
        <v>-1.0321190830499063</v>
      </c>
      <c r="F159" s="16">
        <f t="shared" si="12"/>
        <v>-0.10517393557629826</v>
      </c>
      <c r="G159" s="15"/>
    </row>
    <row r="160" spans="1:7" x14ac:dyDescent="0.3">
      <c r="A160" s="5">
        <v>45361</v>
      </c>
      <c r="B160" s="14">
        <v>624.97</v>
      </c>
      <c r="C160" s="16">
        <f t="shared" si="8"/>
        <v>626.05211908304989</v>
      </c>
      <c r="D160" s="16">
        <f t="shared" si="9"/>
        <v>9.8134492865977929</v>
      </c>
      <c r="E160" s="16">
        <f t="shared" si="10"/>
        <v>-1.0821190830498608</v>
      </c>
      <c r="F160" s="16">
        <f t="shared" si="12"/>
        <v>-0.11026898406941467</v>
      </c>
      <c r="G160" s="15"/>
    </row>
    <row r="161" spans="1:7" x14ac:dyDescent="0.3">
      <c r="A161" s="5">
        <v>45392</v>
      </c>
      <c r="B161" s="14">
        <v>625</v>
      </c>
      <c r="C161" s="16">
        <f t="shared" si="8"/>
        <v>626.05211908304989</v>
      </c>
      <c r="D161" s="16">
        <f t="shared" si="9"/>
        <v>9.8134492865977929</v>
      </c>
      <c r="E161" s="16">
        <f t="shared" si="10"/>
        <v>-1.0521190830498881</v>
      </c>
      <c r="F161" s="16">
        <f t="shared" si="12"/>
        <v>-0.10721195497354483</v>
      </c>
      <c r="G161" s="15"/>
    </row>
    <row r="162" spans="1:7" x14ac:dyDescent="0.3">
      <c r="A162" s="5">
        <v>45422</v>
      </c>
      <c r="B162" s="14">
        <v>624.9</v>
      </c>
      <c r="C162" s="16">
        <f t="shared" si="8"/>
        <v>626.05211908304989</v>
      </c>
      <c r="D162" s="16">
        <f t="shared" si="9"/>
        <v>9.8134492865977929</v>
      </c>
      <c r="E162" s="16">
        <f t="shared" si="10"/>
        <v>-1.1521190830499108</v>
      </c>
      <c r="F162" s="16">
        <f t="shared" si="12"/>
        <v>-0.11740205195978926</v>
      </c>
      <c r="G162" s="15"/>
    </row>
    <row r="163" spans="1:7" x14ac:dyDescent="0.3">
      <c r="A163" s="5">
        <v>45453</v>
      </c>
      <c r="B163" s="14">
        <v>624.83000000000004</v>
      </c>
      <c r="C163" s="16">
        <f t="shared" si="8"/>
        <v>626.05211908304989</v>
      </c>
      <c r="D163" s="16">
        <f t="shared" si="9"/>
        <v>9.8134492865977929</v>
      </c>
      <c r="E163" s="16">
        <f t="shared" si="10"/>
        <v>-1.2221190830498472</v>
      </c>
      <c r="F163" s="16">
        <f t="shared" si="12"/>
        <v>-0.12453511985015224</v>
      </c>
      <c r="G163" s="15"/>
    </row>
    <row r="164" spans="1:7" x14ac:dyDescent="0.3">
      <c r="A164" s="5">
        <v>45483</v>
      </c>
      <c r="B164" s="14">
        <v>624.92541666666671</v>
      </c>
      <c r="C164" s="16">
        <f t="shared" si="8"/>
        <v>626.05211908304989</v>
      </c>
      <c r="D164" s="16">
        <f t="shared" si="9"/>
        <v>9.8134492865977929</v>
      </c>
      <c r="E164" s="16">
        <f>B164-C164</f>
        <v>-1.126702416383182</v>
      </c>
      <c r="F164" s="16">
        <f t="shared" si="12"/>
        <v>-0.11481206897577971</v>
      </c>
      <c r="G164" s="15"/>
    </row>
    <row r="165" spans="1:7" x14ac:dyDescent="0.3">
      <c r="A165" s="5">
        <v>45514</v>
      </c>
      <c r="B165" s="14">
        <v>624.79</v>
      </c>
      <c r="C165" s="16">
        <f t="shared" si="8"/>
        <v>626.05211908304989</v>
      </c>
      <c r="D165" s="16">
        <f t="shared" si="9"/>
        <v>9.8134492865977929</v>
      </c>
      <c r="E165" s="16">
        <f t="shared" ref="E165:E171" si="13">B165-C165</f>
        <v>-1.2621190830499245</v>
      </c>
      <c r="F165" s="16">
        <f t="shared" ref="F165:F171" si="14">E165/D165</f>
        <v>-0.12861115864465697</v>
      </c>
      <c r="G165" s="15"/>
    </row>
    <row r="166" spans="1:7" x14ac:dyDescent="0.3">
      <c r="A166" s="5">
        <v>45545</v>
      </c>
      <c r="B166" s="14">
        <v>624.78</v>
      </c>
      <c r="C166" s="16">
        <f t="shared" si="8"/>
        <v>626.05211908304989</v>
      </c>
      <c r="D166" s="16">
        <f t="shared" si="9"/>
        <v>9.8134492865977929</v>
      </c>
      <c r="E166" s="16">
        <f t="shared" si="13"/>
        <v>-1.2721190830499154</v>
      </c>
      <c r="F166" s="16">
        <f t="shared" si="14"/>
        <v>-0.12963016834328026</v>
      </c>
      <c r="G166" s="15"/>
    </row>
    <row r="167" spans="1:7" x14ac:dyDescent="0.3">
      <c r="A167" s="5">
        <v>45575</v>
      </c>
      <c r="B167" s="14">
        <v>624.76</v>
      </c>
      <c r="C167" s="16">
        <f t="shared" si="8"/>
        <v>626.05211908304989</v>
      </c>
      <c r="D167" s="16">
        <f t="shared" si="9"/>
        <v>9.8134492865977929</v>
      </c>
      <c r="E167" s="16">
        <f t="shared" si="13"/>
        <v>-1.2921190830498972</v>
      </c>
      <c r="F167" s="16">
        <f t="shared" si="14"/>
        <v>-0.13166818774052683</v>
      </c>
      <c r="G167" s="15"/>
    </row>
    <row r="168" spans="1:7" x14ac:dyDescent="0.3">
      <c r="A168" s="5">
        <v>45606</v>
      </c>
      <c r="B168" s="14">
        <v>624.79</v>
      </c>
      <c r="C168" s="16">
        <f t="shared" si="8"/>
        <v>626.05211908304989</v>
      </c>
      <c r="D168" s="16">
        <f t="shared" si="9"/>
        <v>9.8134492865977929</v>
      </c>
      <c r="E168" s="16">
        <f t="shared" si="13"/>
        <v>-1.2621190830499245</v>
      </c>
      <c r="F168" s="16">
        <f t="shared" si="14"/>
        <v>-0.12861115864465697</v>
      </c>
      <c r="G168" s="15"/>
    </row>
    <row r="169" spans="1:7" x14ac:dyDescent="0.3">
      <c r="A169" s="5">
        <v>45636</v>
      </c>
      <c r="B169" s="14">
        <v>624.67999999999995</v>
      </c>
      <c r="C169" s="16">
        <f t="shared" si="8"/>
        <v>626.05211908304989</v>
      </c>
      <c r="D169" s="16">
        <f t="shared" si="9"/>
        <v>9.8134492865977929</v>
      </c>
      <c r="E169" s="16">
        <f t="shared" si="13"/>
        <v>-1.3721190830499381</v>
      </c>
      <c r="F169" s="16">
        <f t="shared" si="14"/>
        <v>-0.13982026532952468</v>
      </c>
      <c r="G169" s="15"/>
    </row>
    <row r="170" spans="1:7" x14ac:dyDescent="0.3">
      <c r="A170" s="5">
        <v>45667</v>
      </c>
      <c r="B170" s="14">
        <v>624.80999999999995</v>
      </c>
      <c r="C170" s="16">
        <f t="shared" si="8"/>
        <v>626.05211908304989</v>
      </c>
      <c r="D170" s="16">
        <f t="shared" si="9"/>
        <v>9.8134492865977929</v>
      </c>
      <c r="E170" s="16">
        <f t="shared" si="13"/>
        <v>-1.2421190830499427</v>
      </c>
      <c r="F170" s="16">
        <f t="shared" si="14"/>
        <v>-0.1265731392474104</v>
      </c>
      <c r="G170" s="15"/>
    </row>
    <row r="171" spans="1:7" x14ac:dyDescent="0.3">
      <c r="A171" s="5">
        <v>45698</v>
      </c>
      <c r="B171" s="14">
        <v>624.97</v>
      </c>
      <c r="C171" s="16">
        <f t="shared" si="8"/>
        <v>626.05211908304989</v>
      </c>
      <c r="D171" s="16">
        <f t="shared" si="9"/>
        <v>9.8134492865977929</v>
      </c>
      <c r="E171" s="16">
        <f t="shared" si="13"/>
        <v>-1.0821190830498608</v>
      </c>
      <c r="F171" s="16">
        <f t="shared" si="14"/>
        <v>-0.11026898406941467</v>
      </c>
      <c r="G171" s="15"/>
    </row>
    <row r="172" spans="1:7" x14ac:dyDescent="0.3">
      <c r="A172" s="12">
        <v>45720</v>
      </c>
      <c r="B172" s="14">
        <v>624.89</v>
      </c>
      <c r="C172" s="16">
        <f t="shared" si="8"/>
        <v>626.05211908304989</v>
      </c>
      <c r="D172" s="16">
        <f t="shared" si="9"/>
        <v>9.8134492865977929</v>
      </c>
      <c r="E172" s="16">
        <f t="shared" ref="E172" si="15">B172-C172</f>
        <v>-1.1621190830499017</v>
      </c>
      <c r="F172" s="16">
        <f t="shared" ref="F172" si="16">E172/D172</f>
        <v>-0.11842106165841254</v>
      </c>
      <c r="G172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Sabie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2025-08-18T01:01:53Z</dcterms:modified>
  <cp:category/>
  <cp:contentStatus/>
</cp:coreProperties>
</file>