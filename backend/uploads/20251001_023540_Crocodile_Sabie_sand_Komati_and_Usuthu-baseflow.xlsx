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3B66FAAC-1C2E-4583-945F-9D1B0867C9DE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Crocodile workboo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113" i="3"/>
  <c r="D114" i="3"/>
  <c r="D115" i="3"/>
  <c r="C113" i="3"/>
  <c r="E113" i="3" s="1"/>
  <c r="C114" i="3"/>
  <c r="E114" i="3" s="1"/>
  <c r="C115" i="3"/>
  <c r="E115" i="3" s="1"/>
  <c r="C2" i="3"/>
  <c r="F115" i="3" l="1"/>
  <c r="F113" i="3"/>
  <c r="F114" i="3"/>
  <c r="C59" i="3" l="1"/>
  <c r="E59" i="3" s="1"/>
  <c r="C45" i="3"/>
  <c r="E45" i="3" s="1"/>
  <c r="C23" i="3"/>
  <c r="E23" i="3" s="1"/>
  <c r="C65" i="3"/>
  <c r="E65" i="3" s="1"/>
  <c r="C168" i="3"/>
  <c r="E168" i="3" s="1"/>
  <c r="C34" i="3"/>
  <c r="E34" i="3" s="1"/>
  <c r="D6" i="3"/>
  <c r="C44" i="3"/>
  <c r="E44" i="3" s="1"/>
  <c r="D37" i="3"/>
  <c r="D146" i="3"/>
  <c r="D68" i="3"/>
  <c r="C125" i="3"/>
  <c r="E125" i="3" s="1"/>
  <c r="C32" i="3"/>
  <c r="E32" i="3" s="1"/>
  <c r="C133" i="3"/>
  <c r="E133" i="3" s="1"/>
  <c r="C108" i="3"/>
  <c r="E108" i="3" s="1"/>
  <c r="C140" i="3"/>
  <c r="E140" i="3" s="1"/>
  <c r="C81" i="3"/>
  <c r="E81" i="3" s="1"/>
  <c r="D72" i="3"/>
  <c r="D156" i="3"/>
  <c r="D31" i="3"/>
  <c r="C119" i="3"/>
  <c r="E119" i="3" s="1"/>
  <c r="C33" i="3"/>
  <c r="E33" i="3" s="1"/>
  <c r="C6" i="3"/>
  <c r="E6" i="3" s="1"/>
  <c r="C121" i="3"/>
  <c r="E121" i="3" s="1"/>
  <c r="D43" i="3"/>
  <c r="C42" i="3"/>
  <c r="E42" i="3" s="1"/>
  <c r="C24" i="3"/>
  <c r="E24" i="3" s="1"/>
  <c r="C91" i="3"/>
  <c r="E91" i="3" s="1"/>
  <c r="D145" i="3"/>
  <c r="C71" i="3"/>
  <c r="E71" i="3" s="1"/>
  <c r="D159" i="3"/>
  <c r="C85" i="3"/>
  <c r="E85" i="3" s="1"/>
  <c r="D62" i="3"/>
  <c r="D167" i="3"/>
  <c r="C88" i="3"/>
  <c r="E88" i="3" s="1"/>
  <c r="D104" i="3"/>
  <c r="C64" i="3"/>
  <c r="E64" i="3" s="1"/>
  <c r="C38" i="3"/>
  <c r="E38" i="3" s="1"/>
  <c r="D126" i="3"/>
  <c r="C61" i="3"/>
  <c r="E61" i="3" s="1"/>
  <c r="D14" i="3"/>
  <c r="C11" i="3"/>
  <c r="E11" i="3" s="1"/>
  <c r="D64" i="3" l="1"/>
  <c r="F64" i="3" s="1"/>
  <c r="D23" i="3"/>
  <c r="F23" i="3" s="1"/>
  <c r="D138" i="3"/>
  <c r="D116" i="3"/>
  <c r="D163" i="3"/>
  <c r="D135" i="3"/>
  <c r="D153" i="3"/>
  <c r="C29" i="3"/>
  <c r="E29" i="3" s="1"/>
  <c r="D82" i="3"/>
  <c r="C162" i="3"/>
  <c r="E162" i="3" s="1"/>
  <c r="C134" i="3"/>
  <c r="E134" i="3" s="1"/>
  <c r="D57" i="3"/>
  <c r="D92" i="3"/>
  <c r="D112" i="3"/>
  <c r="D21" i="3"/>
  <c r="D46" i="3"/>
  <c r="D103" i="3"/>
  <c r="D35" i="3"/>
  <c r="D17" i="3"/>
  <c r="D96" i="3"/>
  <c r="C99" i="3"/>
  <c r="E99" i="3" s="1"/>
  <c r="C66" i="3"/>
  <c r="E66" i="3" s="1"/>
  <c r="C83" i="3"/>
  <c r="E83" i="3" s="1"/>
  <c r="D75" i="3"/>
  <c r="C69" i="3"/>
  <c r="E69" i="3" s="1"/>
  <c r="D170" i="3"/>
  <c r="C159" i="3"/>
  <c r="E159" i="3" s="1"/>
  <c r="F159" i="3" s="1"/>
  <c r="C109" i="3"/>
  <c r="E109" i="3" s="1"/>
  <c r="D42" i="3"/>
  <c r="F42" i="3" s="1"/>
  <c r="D134" i="3"/>
  <c r="C170" i="3"/>
  <c r="E170" i="3" s="1"/>
  <c r="C171" i="3"/>
  <c r="E171" i="3" s="1"/>
  <c r="C60" i="3"/>
  <c r="E60" i="3" s="1"/>
  <c r="C35" i="3"/>
  <c r="E35" i="3" s="1"/>
  <c r="C46" i="3"/>
  <c r="E46" i="3" s="1"/>
  <c r="D26" i="3"/>
  <c r="C39" i="3"/>
  <c r="E39" i="3" s="1"/>
  <c r="C48" i="3"/>
  <c r="E48" i="3" s="1"/>
  <c r="C21" i="3"/>
  <c r="E21" i="3" s="1"/>
  <c r="C77" i="3"/>
  <c r="E77" i="3" s="1"/>
  <c r="D67" i="3"/>
  <c r="C104" i="3"/>
  <c r="E104" i="3" s="1"/>
  <c r="F104" i="3" s="1"/>
  <c r="C101" i="3"/>
  <c r="E101" i="3" s="1"/>
  <c r="C148" i="3"/>
  <c r="E148" i="3" s="1"/>
  <c r="D36" i="3"/>
  <c r="D102" i="3"/>
  <c r="C82" i="3"/>
  <c r="E82" i="3" s="1"/>
  <c r="C63" i="3"/>
  <c r="E63" i="3" s="1"/>
  <c r="D166" i="3"/>
  <c r="D73" i="3"/>
  <c r="D117" i="3"/>
  <c r="D54" i="3"/>
  <c r="C129" i="3"/>
  <c r="E129" i="3" s="1"/>
  <c r="D101" i="3"/>
  <c r="C167" i="3"/>
  <c r="E167" i="3" s="1"/>
  <c r="F167" i="3" s="1"/>
  <c r="D106" i="3"/>
  <c r="D5" i="3"/>
  <c r="D95" i="3"/>
  <c r="C79" i="3"/>
  <c r="E79" i="3" s="1"/>
  <c r="C105" i="3"/>
  <c r="E105" i="3" s="1"/>
  <c r="D52" i="3"/>
  <c r="C70" i="3"/>
  <c r="E70" i="3" s="1"/>
  <c r="C22" i="3"/>
  <c r="E22" i="3" s="1"/>
  <c r="C111" i="3"/>
  <c r="E111" i="3" s="1"/>
  <c r="C153" i="3"/>
  <c r="E153" i="3" s="1"/>
  <c r="C144" i="3"/>
  <c r="E144" i="3" s="1"/>
  <c r="C25" i="3"/>
  <c r="E25" i="3" s="1"/>
  <c r="D172" i="3"/>
  <c r="D18" i="3"/>
  <c r="D41" i="3"/>
  <c r="C137" i="3"/>
  <c r="E137" i="3" s="1"/>
  <c r="D139" i="3"/>
  <c r="C4" i="3"/>
  <c r="E4" i="3" s="1"/>
  <c r="D119" i="3"/>
  <c r="F119" i="3" s="1"/>
  <c r="C87" i="3"/>
  <c r="E87" i="3" s="1"/>
  <c r="C154" i="3"/>
  <c r="E154" i="3" s="1"/>
  <c r="C18" i="3"/>
  <c r="E18" i="3" s="1"/>
  <c r="D48" i="3"/>
  <c r="F48" i="3" s="1"/>
  <c r="C94" i="3"/>
  <c r="E94" i="3" s="1"/>
  <c r="C16" i="3"/>
  <c r="E16" i="3" s="1"/>
  <c r="C75" i="3"/>
  <c r="E75" i="3" s="1"/>
  <c r="C102" i="3"/>
  <c r="E102" i="3" s="1"/>
  <c r="D89" i="3"/>
  <c r="C128" i="3"/>
  <c r="E128" i="3" s="1"/>
  <c r="D78" i="3"/>
  <c r="D144" i="3"/>
  <c r="C117" i="3"/>
  <c r="E117" i="3" s="1"/>
  <c r="D168" i="3"/>
  <c r="F168" i="3" s="1"/>
  <c r="C122" i="3"/>
  <c r="E122" i="3" s="1"/>
  <c r="D76" i="3"/>
  <c r="D124" i="3"/>
  <c r="D171" i="3"/>
  <c r="C14" i="3"/>
  <c r="E14" i="3" s="1"/>
  <c r="F14" i="3" s="1"/>
  <c r="C95" i="3"/>
  <c r="E95" i="3" s="1"/>
  <c r="C172" i="3"/>
  <c r="E172" i="3" s="1"/>
  <c r="C55" i="3"/>
  <c r="E55" i="3" s="1"/>
  <c r="C136" i="3"/>
  <c r="E136" i="3" s="1"/>
  <c r="D24" i="3"/>
  <c r="F24" i="3" s="1"/>
  <c r="C141" i="3"/>
  <c r="E141" i="3" s="1"/>
  <c r="D130" i="3"/>
  <c r="D84" i="3"/>
  <c r="D50" i="3"/>
  <c r="D70" i="3"/>
  <c r="D8" i="3"/>
  <c r="D55" i="3"/>
  <c r="C98" i="3"/>
  <c r="E98" i="3" s="1"/>
  <c r="C15" i="3"/>
  <c r="E15" i="3" s="1"/>
  <c r="C62" i="3"/>
  <c r="E62" i="3" s="1"/>
  <c r="F62" i="3" s="1"/>
  <c r="C67" i="3"/>
  <c r="E67" i="3" s="1"/>
  <c r="D98" i="3"/>
  <c r="C8" i="3"/>
  <c r="E8" i="3" s="1"/>
  <c r="D80" i="3"/>
  <c r="C13" i="3"/>
  <c r="E13" i="3" s="1"/>
  <c r="C123" i="3"/>
  <c r="E123" i="3" s="1"/>
  <c r="D11" i="3"/>
  <c r="F11" i="3" s="1"/>
  <c r="D47" i="3"/>
  <c r="C97" i="3"/>
  <c r="E97" i="3" s="1"/>
  <c r="D160" i="3"/>
  <c r="C26" i="3"/>
  <c r="E26" i="3" s="1"/>
  <c r="D9" i="3"/>
  <c r="C41" i="3"/>
  <c r="E41" i="3" s="1"/>
  <c r="D122" i="3"/>
  <c r="D120" i="3"/>
  <c r="D94" i="3"/>
  <c r="C47" i="3"/>
  <c r="E47" i="3" s="1"/>
  <c r="D137" i="3"/>
  <c r="D10" i="3"/>
  <c r="D150" i="3"/>
  <c r="D125" i="3"/>
  <c r="F125" i="3" s="1"/>
  <c r="D56" i="3"/>
  <c r="D3" i="3"/>
  <c r="C147" i="3"/>
  <c r="E147" i="3" s="1"/>
  <c r="D85" i="3"/>
  <c r="F85" i="3" s="1"/>
  <c r="D110" i="3"/>
  <c r="D27" i="3"/>
  <c r="D79" i="3"/>
  <c r="C17" i="3"/>
  <c r="E17" i="3" s="1"/>
  <c r="D90" i="3"/>
  <c r="C152" i="3"/>
  <c r="E152" i="3" s="1"/>
  <c r="D143" i="3"/>
  <c r="C28" i="3"/>
  <c r="E28" i="3" s="1"/>
  <c r="C166" i="3"/>
  <c r="E166" i="3" s="1"/>
  <c r="C73" i="3"/>
  <c r="E73" i="3" s="1"/>
  <c r="C124" i="3"/>
  <c r="E124" i="3" s="1"/>
  <c r="C49" i="3"/>
  <c r="E49" i="3" s="1"/>
  <c r="D133" i="3"/>
  <c r="F133" i="3" s="1"/>
  <c r="C150" i="3"/>
  <c r="E150" i="3" s="1"/>
  <c r="C40" i="3"/>
  <c r="E40" i="3" s="1"/>
  <c r="D4" i="3"/>
  <c r="D93" i="3"/>
  <c r="C142" i="3"/>
  <c r="E142" i="3" s="1"/>
  <c r="C92" i="3"/>
  <c r="E92" i="3" s="1"/>
  <c r="D20" i="3"/>
  <c r="C151" i="3"/>
  <c r="E151" i="3" s="1"/>
  <c r="C5" i="3"/>
  <c r="E5" i="3" s="1"/>
  <c r="C58" i="3"/>
  <c r="E58" i="3" s="1"/>
  <c r="C76" i="3"/>
  <c r="E76" i="3" s="1"/>
  <c r="D29" i="3"/>
  <c r="D100" i="3"/>
  <c r="C138" i="3"/>
  <c r="E138" i="3" s="1"/>
  <c r="D51" i="3"/>
  <c r="D25" i="3"/>
  <c r="C53" i="3"/>
  <c r="E53" i="3" s="1"/>
  <c r="C31" i="3"/>
  <c r="E31" i="3" s="1"/>
  <c r="F31" i="3" s="1"/>
  <c r="D109" i="3"/>
  <c r="C78" i="3"/>
  <c r="E78" i="3" s="1"/>
  <c r="D59" i="3"/>
  <c r="F59" i="3" s="1"/>
  <c r="C96" i="3"/>
  <c r="E96" i="3" s="1"/>
  <c r="C132" i="3"/>
  <c r="E132" i="3" s="1"/>
  <c r="D152" i="3"/>
  <c r="D28" i="3"/>
  <c r="C50" i="3"/>
  <c r="E50" i="3" s="1"/>
  <c r="D127" i="3"/>
  <c r="D105" i="3"/>
  <c r="D53" i="3"/>
  <c r="D121" i="3"/>
  <c r="F121" i="3" s="1"/>
  <c r="C157" i="3"/>
  <c r="E157" i="3" s="1"/>
  <c r="C43" i="3"/>
  <c r="E43" i="3" s="1"/>
  <c r="F43" i="3" s="1"/>
  <c r="D83" i="3"/>
  <c r="D86" i="3"/>
  <c r="D140" i="3"/>
  <c r="F140" i="3" s="1"/>
  <c r="C158" i="3"/>
  <c r="E158" i="3" s="1"/>
  <c r="C80" i="3"/>
  <c r="E80" i="3" s="1"/>
  <c r="C139" i="3"/>
  <c r="E139" i="3" s="1"/>
  <c r="C126" i="3"/>
  <c r="E126" i="3" s="1"/>
  <c r="F126" i="3" s="1"/>
  <c r="D161" i="3"/>
  <c r="E2" i="3"/>
  <c r="D40" i="3"/>
  <c r="D49" i="3"/>
  <c r="C146" i="3"/>
  <c r="E146" i="3" s="1"/>
  <c r="F146" i="3" s="1"/>
  <c r="D32" i="3"/>
  <c r="F32" i="3" s="1"/>
  <c r="C89" i="3"/>
  <c r="E89" i="3" s="1"/>
  <c r="D44" i="3"/>
  <c r="F44" i="3" s="1"/>
  <c r="D148" i="3"/>
  <c r="C127" i="3"/>
  <c r="E127" i="3" s="1"/>
  <c r="C19" i="3"/>
  <c r="E19" i="3" s="1"/>
  <c r="C116" i="3"/>
  <c r="E116" i="3" s="1"/>
  <c r="F6" i="3"/>
  <c r="C51" i="3"/>
  <c r="E51" i="3" s="1"/>
  <c r="D15" i="3"/>
  <c r="D99" i="3"/>
  <c r="C86" i="3"/>
  <c r="E86" i="3" s="1"/>
  <c r="C145" i="3"/>
  <c r="E145" i="3" s="1"/>
  <c r="F145" i="3" s="1"/>
  <c r="C10" i="3"/>
  <c r="E10" i="3" s="1"/>
  <c r="C84" i="3"/>
  <c r="E84" i="3" s="1"/>
  <c r="D7" i="3"/>
  <c r="C103" i="3"/>
  <c r="E103" i="3" s="1"/>
  <c r="F103" i="3" s="1"/>
  <c r="D155" i="3"/>
  <c r="C74" i="3"/>
  <c r="E74" i="3" s="1"/>
  <c r="C7" i="3"/>
  <c r="E7" i="3" s="1"/>
  <c r="C27" i="3"/>
  <c r="E27" i="3" s="1"/>
  <c r="D136" i="3"/>
  <c r="D88" i="3"/>
  <c r="F88" i="3" s="1"/>
  <c r="D149" i="3"/>
  <c r="C165" i="3"/>
  <c r="E165" i="3" s="1"/>
  <c r="D66" i="3"/>
  <c r="C161" i="3"/>
  <c r="E161" i="3" s="1"/>
  <c r="C130" i="3"/>
  <c r="E130" i="3" s="1"/>
  <c r="C100" i="3"/>
  <c r="E100" i="3" s="1"/>
  <c r="D147" i="3"/>
  <c r="D77" i="3"/>
  <c r="D19" i="3"/>
  <c r="D74" i="3"/>
  <c r="D87" i="3"/>
  <c r="D162" i="3"/>
  <c r="C72" i="3"/>
  <c r="E72" i="3" s="1"/>
  <c r="F72" i="3" s="1"/>
  <c r="D33" i="3"/>
  <c r="F33" i="3" s="1"/>
  <c r="C57" i="3"/>
  <c r="E57" i="3" s="1"/>
  <c r="C37" i="3"/>
  <c r="E37" i="3" s="1"/>
  <c r="F37" i="3" s="1"/>
  <c r="C54" i="3"/>
  <c r="E54" i="3" s="1"/>
  <c r="D169" i="3"/>
  <c r="D151" i="3"/>
  <c r="D22" i="3"/>
  <c r="C169" i="3"/>
  <c r="E169" i="3" s="1"/>
  <c r="C36" i="3"/>
  <c r="E36" i="3" s="1"/>
  <c r="C30" i="3"/>
  <c r="E30" i="3" s="1"/>
  <c r="D123" i="3"/>
  <c r="D61" i="3"/>
  <c r="F61" i="3" s="1"/>
  <c r="C120" i="3"/>
  <c r="E120" i="3" s="1"/>
  <c r="D58" i="3"/>
  <c r="C149" i="3"/>
  <c r="E149" i="3" s="1"/>
  <c r="C131" i="3"/>
  <c r="E131" i="3" s="1"/>
  <c r="D164" i="3"/>
  <c r="D107" i="3"/>
  <c r="C56" i="3"/>
  <c r="E56" i="3" s="1"/>
  <c r="D129" i="3"/>
  <c r="D16" i="3"/>
  <c r="C20" i="3"/>
  <c r="E20" i="3" s="1"/>
  <c r="D165" i="3"/>
  <c r="C118" i="3"/>
  <c r="E118" i="3" s="1"/>
  <c r="C163" i="3"/>
  <c r="E163" i="3" s="1"/>
  <c r="D38" i="3"/>
  <c r="F38" i="3" s="1"/>
  <c r="D118" i="3"/>
  <c r="D69" i="3"/>
  <c r="F69" i="3" s="1"/>
  <c r="C135" i="3"/>
  <c r="E135" i="3" s="1"/>
  <c r="C155" i="3"/>
  <c r="E155" i="3" s="1"/>
  <c r="C93" i="3"/>
  <c r="E93" i="3" s="1"/>
  <c r="D63" i="3"/>
  <c r="C106" i="3"/>
  <c r="E106" i="3" s="1"/>
  <c r="D71" i="3"/>
  <c r="F71" i="3" s="1"/>
  <c r="C160" i="3"/>
  <c r="E160" i="3" s="1"/>
  <c r="D132" i="3"/>
  <c r="C107" i="3"/>
  <c r="E107" i="3" s="1"/>
  <c r="D158" i="3"/>
  <c r="D30" i="3"/>
  <c r="D81" i="3"/>
  <c r="F81" i="3" s="1"/>
  <c r="D131" i="3"/>
  <c r="D39" i="3"/>
  <c r="D128" i="3"/>
  <c r="C12" i="3"/>
  <c r="E12" i="3" s="1"/>
  <c r="C68" i="3"/>
  <c r="E68" i="3" s="1"/>
  <c r="F68" i="3" s="1"/>
  <c r="C9" i="3"/>
  <c r="E9" i="3" s="1"/>
  <c r="F9" i="3" s="1"/>
  <c r="D91" i="3"/>
  <c r="F91" i="3" s="1"/>
  <c r="D157" i="3"/>
  <c r="C52" i="3"/>
  <c r="E52" i="3" s="1"/>
  <c r="D13" i="3"/>
  <c r="C3" i="3"/>
  <c r="E3" i="3" s="1"/>
  <c r="D12" i="3"/>
  <c r="C112" i="3"/>
  <c r="E112" i="3" s="1"/>
  <c r="C164" i="3"/>
  <c r="E164" i="3" s="1"/>
  <c r="D65" i="3"/>
  <c r="F65" i="3" s="1"/>
  <c r="D154" i="3"/>
  <c r="D60" i="3"/>
  <c r="D142" i="3"/>
  <c r="D111" i="3"/>
  <c r="D45" i="3"/>
  <c r="F45" i="3" s="1"/>
  <c r="D97" i="3"/>
  <c r="C90" i="3"/>
  <c r="E90" i="3" s="1"/>
  <c r="C156" i="3"/>
  <c r="E156" i="3" s="1"/>
  <c r="F156" i="3" s="1"/>
  <c r="C110" i="3"/>
  <c r="E110" i="3" s="1"/>
  <c r="C143" i="3"/>
  <c r="E143" i="3" s="1"/>
  <c r="D141" i="3"/>
  <c r="D108" i="3"/>
  <c r="F108" i="3" s="1"/>
  <c r="D34" i="3"/>
  <c r="F34" i="3" s="1"/>
  <c r="F138" i="3" l="1"/>
  <c r="F17" i="3"/>
  <c r="F77" i="3"/>
  <c r="F106" i="3"/>
  <c r="F29" i="3"/>
  <c r="F143" i="3"/>
  <c r="F161" i="3"/>
  <c r="F75" i="3"/>
  <c r="F110" i="3"/>
  <c r="F83" i="3"/>
  <c r="F46" i="3"/>
  <c r="F102" i="3"/>
  <c r="F21" i="3"/>
  <c r="F60" i="3"/>
  <c r="F52" i="3"/>
  <c r="F163" i="3"/>
  <c r="F116" i="3"/>
  <c r="F47" i="3"/>
  <c r="F120" i="3"/>
  <c r="F57" i="3"/>
  <c r="F10" i="3"/>
  <c r="F87" i="3"/>
  <c r="F56" i="3"/>
  <c r="F54" i="3"/>
  <c r="F51" i="3"/>
  <c r="F124" i="3"/>
  <c r="F107" i="3"/>
  <c r="F109" i="3"/>
  <c r="F117" i="3"/>
  <c r="F3" i="3"/>
  <c r="F76" i="3"/>
  <c r="F98" i="3"/>
  <c r="F90" i="3"/>
  <c r="F67" i="3"/>
  <c r="F89" i="3"/>
  <c r="F171" i="3"/>
  <c r="F5" i="3"/>
  <c r="F150" i="3"/>
  <c r="F93" i="3"/>
  <c r="F135" i="3"/>
  <c r="F97" i="3"/>
  <c r="F101" i="3"/>
  <c r="F39" i="3"/>
  <c r="F152" i="3"/>
  <c r="F139" i="3"/>
  <c r="F96" i="3"/>
  <c r="F92" i="3"/>
  <c r="F30" i="3"/>
  <c r="F80" i="3"/>
  <c r="F84" i="3"/>
  <c r="F36" i="3"/>
  <c r="F142" i="3"/>
  <c r="F25" i="3"/>
  <c r="F118" i="3"/>
  <c r="F78" i="3"/>
  <c r="F35" i="3"/>
  <c r="F134" i="3"/>
  <c r="F112" i="3"/>
  <c r="F20" i="3"/>
  <c r="F162" i="3"/>
  <c r="F58" i="3"/>
  <c r="F73" i="3"/>
  <c r="F18" i="3"/>
  <c r="F153" i="3"/>
  <c r="F66" i="3"/>
  <c r="F99" i="3"/>
  <c r="F2" i="3"/>
  <c r="F53" i="3"/>
  <c r="F26" i="3"/>
  <c r="F172" i="3"/>
  <c r="F170" i="3"/>
  <c r="F82" i="3"/>
  <c r="F148" i="3"/>
  <c r="F28" i="3"/>
  <c r="F95" i="3"/>
  <c r="F22" i="3"/>
  <c r="F164" i="3"/>
  <c r="F149" i="3"/>
  <c r="F169" i="3"/>
  <c r="F100" i="3"/>
  <c r="F27" i="3"/>
  <c r="F151" i="3"/>
  <c r="F15" i="3"/>
  <c r="F141" i="3"/>
  <c r="F70" i="3"/>
  <c r="F40" i="3"/>
  <c r="F131" i="3"/>
  <c r="F127" i="3"/>
  <c r="F147" i="3"/>
  <c r="F155" i="3"/>
  <c r="F130" i="3"/>
  <c r="F7" i="3"/>
  <c r="F86" i="3"/>
  <c r="F157" i="3"/>
  <c r="F132" i="3"/>
  <c r="F49" i="3"/>
  <c r="F123" i="3"/>
  <c r="F128" i="3"/>
  <c r="F154" i="3"/>
  <c r="F129" i="3"/>
  <c r="F19" i="3"/>
  <c r="F41" i="3"/>
  <c r="F13" i="3"/>
  <c r="F136" i="3"/>
  <c r="F105" i="3"/>
  <c r="F55" i="3"/>
  <c r="F144" i="3"/>
  <c r="F79" i="3"/>
  <c r="F12" i="3"/>
  <c r="F160" i="3"/>
  <c r="F74" i="3"/>
  <c r="F165" i="3"/>
  <c r="F158" i="3"/>
  <c r="F166" i="3"/>
  <c r="F8" i="3"/>
  <c r="F122" i="3"/>
  <c r="F4" i="3"/>
  <c r="F50" i="3"/>
  <c r="F16" i="3"/>
  <c r="F94" i="3"/>
  <c r="F137" i="3"/>
  <c r="F111" i="3"/>
  <c r="F6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<sst xmlns="http://schemas.openxmlformats.org/spreadsheetml/2006/main" count="5" uniqueCount="5">
  <si>
    <t>Date (Months)</t>
  </si>
  <si>
    <t>STDEV</t>
  </si>
  <si>
    <t>Baseflow</t>
  </si>
  <si>
    <t>Average Baseflow</t>
  </si>
  <si>
    <t>Standardized Baseflow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</si>
</sst>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5" borderId="5" xfId="0" applyFill="1" applyBorder="1"/>
    <xf numFmtId="2" fontId="0" fillId="2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0" fillId="0" borderId="5" xfId="0" applyBorder="1"/>
    <xf numFmtId="0" fontId="0" fillId="2" borderId="6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1" fillId="6" borderId="6" xfId="0" applyNumberFormat="1" applyFont="1" applyFill="1" applyBorder="1" applyAlignment="1">
      <alignment horizontal="center"/>
    </xf>
    <xf numFmtId="165" fontId="5" fillId="6" borderId="6" xfId="0" applyNumberFormat="1" applyFont="1" applyFill="1" applyBorder="1" applyAlignment="1">
      <alignment horizontal="center"/>
    </xf>
    <xf numFmtId="165" fontId="5" fillId="7" borderId="6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</cellXfs>
  <cellStyles count="7">
    <cellStyle name="Normal" xfId="0" builtinId="0"/>
    <cellStyle name="Normal 2" xfId="2" xr:uid="{4A908EDF-2280-42DB-A6F8-FC2638AFADED}"/>
    <cellStyle name="Normal 3" xfId="3" xr:uid="{064CC613-A5F6-4721-B6ED-C9D234239A91}"/>
    <cellStyle name="Normal 3 2" xfId="6" xr:uid="{2B8B9196-6322-4175-ABF3-6548B262CCF1}"/>
    <cellStyle name="Normal 4" xfId="4" xr:uid="{34B7DFA0-EE62-4A9A-BB67-A08D875217F3}"/>
    <cellStyle name="Normal 4 2" xfId="5" xr:uid="{C3301620-72E1-404F-BE89-1CE85E58283F}"/>
    <cellStyle name="Normal 5" xfId="1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B172"/>
  <sheetViews>
    <sheetView tabSelected="1" zoomScale="85" workbookViewId="0">
      <selection activeCell="J135" sqref="J135"/>
    </sheetView>
  </sheetViews>
  <sheetFormatPr defaultRowHeight="14.4" x14ac:dyDescent="0.3"/>
  <cols>
    <col min="1" max="1" width="13.5546875" style="3" bestFit="1" customWidth="1"/>
    <col min="2" max="2" width="17.33203125" style="6" customWidth="1"/>
    <col min="3" max="3" width="17.109375" style="4" customWidth="1"/>
    <col min="4" max="4" width="10" style="4" customWidth="1"/>
    <col min="5" max="5" width="11.33203125" style="5" customWidth="1"/>
    <col min="6" max="6" width="21.5546875" style="4" bestFit="1" customWidth="1"/>
  </cols>
  <sheetData>
    <row r="1" spans="1:6" x14ac:dyDescent="0.3">
      <c r="A1" s="1" t="s">
        <v>0</v>
      </c>
      <c r="B1" s="8" t="s">
        <v>2</v>
      </c>
      <c r="C1" s="2" t="s">
        <v>3</v>
      </c>
      <c r="D1" s="17" t="s">
        <v>1</v>
      </c>
      <c r="E1" s="15"/>
      <c r="F1" s="16" t="s">
        <v>4</v>
      </c>
    </row>
    <row r="2" spans="1:6" x14ac:dyDescent="0.3">
      <c r="A2" s="9">
        <v>40553</v>
      </c>
      <c r="B2" s="10">
        <v>0.24</v>
      </c>
      <c r="C2" s="11">
        <f>AVERAGE(B2:B172)</f>
        <v>5.0861784443952791</v>
      </c>
      <c r="D2" s="11">
        <f>_xlfn.STDEV.S($B$2:$B$172)</f>
        <v>6.4605000595552919</v>
      </c>
      <c r="E2" s="12">
        <f t="shared" ref="E2" si="0">B2-C2</f>
        <v>-4.8461784443952789</v>
      </c>
      <c r="F2" s="12">
        <f t="shared" ref="F2" si="1">E2/D2</f>
        <v>-0.75012435565690028</v>
      </c>
    </row>
    <row r="3" spans="1:6" x14ac:dyDescent="0.3">
      <c r="A3" s="13">
        <v>40584</v>
      </c>
      <c r="B3" s="10">
        <v>14.58</v>
      </c>
      <c r="C3" s="11">
        <f t="shared" ref="C3:C66" si="2">AVERAGE($B$2:$B$172)</f>
        <v>5.0861784443952791</v>
      </c>
      <c r="D3" s="11">
        <f t="shared" ref="D3:D66" si="3">_xlfn.STDEV.S($B$2:$B$172)</f>
        <v>6.4605000595552919</v>
      </c>
      <c r="E3" s="12">
        <f t="shared" ref="E3:E66" si="4">B3-C3</f>
        <v>9.4938215556047219</v>
      </c>
      <c r="F3" s="12">
        <f t="shared" ref="F3:F66" si="5">E3/D3</f>
        <v>1.469518066417018</v>
      </c>
    </row>
    <row r="4" spans="1:6" x14ac:dyDescent="0.3">
      <c r="A4" s="9">
        <v>40612</v>
      </c>
      <c r="B4" s="10">
        <v>13.88</v>
      </c>
      <c r="C4" s="11">
        <f t="shared" si="2"/>
        <v>5.0861784443952791</v>
      </c>
      <c r="D4" s="11">
        <f t="shared" si="3"/>
        <v>6.4605000595552919</v>
      </c>
      <c r="E4" s="12">
        <f t="shared" si="4"/>
        <v>8.7938215556047226</v>
      </c>
      <c r="F4" s="12">
        <f t="shared" si="5"/>
        <v>1.3611673205696162</v>
      </c>
    </row>
    <row r="5" spans="1:6" x14ac:dyDescent="0.3">
      <c r="A5" s="9">
        <v>40643</v>
      </c>
      <c r="B5" s="10">
        <v>11.18</v>
      </c>
      <c r="C5" s="11">
        <f t="shared" si="2"/>
        <v>5.0861784443952791</v>
      </c>
      <c r="D5" s="11">
        <f t="shared" si="3"/>
        <v>6.4605000595552919</v>
      </c>
      <c r="E5" s="12">
        <f t="shared" si="4"/>
        <v>6.0938215556047206</v>
      </c>
      <c r="F5" s="12">
        <f t="shared" si="5"/>
        <v>0.94324301515820874</v>
      </c>
    </row>
    <row r="6" spans="1:6" x14ac:dyDescent="0.3">
      <c r="A6" s="9">
        <v>40673</v>
      </c>
      <c r="B6" s="10">
        <v>10.72</v>
      </c>
      <c r="C6" s="11">
        <f t="shared" si="2"/>
        <v>5.0861784443952791</v>
      </c>
      <c r="D6" s="11">
        <f t="shared" si="3"/>
        <v>6.4605000595552919</v>
      </c>
      <c r="E6" s="12">
        <f t="shared" si="4"/>
        <v>5.6338215556047215</v>
      </c>
      <c r="F6" s="12">
        <f t="shared" si="5"/>
        <v>0.8720410964584876</v>
      </c>
    </row>
    <row r="7" spans="1:6" x14ac:dyDescent="0.3">
      <c r="A7" s="9">
        <v>40704</v>
      </c>
      <c r="B7" s="10">
        <v>8.6</v>
      </c>
      <c r="C7" s="11">
        <f t="shared" si="2"/>
        <v>5.0861784443952791</v>
      </c>
      <c r="D7" s="11">
        <f t="shared" si="3"/>
        <v>6.4605000595552919</v>
      </c>
      <c r="E7" s="12">
        <f t="shared" si="4"/>
        <v>3.5138215556047205</v>
      </c>
      <c r="F7" s="12">
        <f t="shared" si="5"/>
        <v>0.54389312332064188</v>
      </c>
    </row>
    <row r="8" spans="1:6" x14ac:dyDescent="0.3">
      <c r="A8" s="9">
        <v>40734</v>
      </c>
      <c r="B8" s="10">
        <v>6.33</v>
      </c>
      <c r="C8" s="11">
        <f t="shared" si="2"/>
        <v>5.0861784443952791</v>
      </c>
      <c r="D8" s="11">
        <f t="shared" si="3"/>
        <v>6.4605000595552919</v>
      </c>
      <c r="E8" s="12">
        <f t="shared" si="4"/>
        <v>1.243821555604721</v>
      </c>
      <c r="F8" s="12">
        <f t="shared" si="5"/>
        <v>0.19252713321549592</v>
      </c>
    </row>
    <row r="9" spans="1:6" x14ac:dyDescent="0.3">
      <c r="A9" s="9">
        <v>40765</v>
      </c>
      <c r="B9" s="10">
        <v>4.66</v>
      </c>
      <c r="C9" s="11">
        <f t="shared" si="2"/>
        <v>5.0861784443952791</v>
      </c>
      <c r="D9" s="11">
        <f t="shared" si="3"/>
        <v>6.4605000595552919</v>
      </c>
      <c r="E9" s="12">
        <f t="shared" si="4"/>
        <v>-0.42617844439527897</v>
      </c>
      <c r="F9" s="12">
        <f t="shared" si="5"/>
        <v>-6.5966789020448502E-2</v>
      </c>
    </row>
    <row r="10" spans="1:6" x14ac:dyDescent="0.3">
      <c r="A10" s="9">
        <v>40796</v>
      </c>
      <c r="B10" s="10">
        <v>3.54</v>
      </c>
      <c r="C10" s="11">
        <f t="shared" si="2"/>
        <v>5.0861784443952791</v>
      </c>
      <c r="D10" s="11">
        <f t="shared" si="3"/>
        <v>6.4605000595552919</v>
      </c>
      <c r="E10" s="12">
        <f t="shared" si="4"/>
        <v>-1.5461784443952791</v>
      </c>
      <c r="F10" s="12">
        <f t="shared" si="5"/>
        <v>-0.23932798237629149</v>
      </c>
    </row>
    <row r="11" spans="1:6" x14ac:dyDescent="0.3">
      <c r="A11" s="13">
        <v>40826</v>
      </c>
      <c r="B11" s="10">
        <v>2.48</v>
      </c>
      <c r="C11" s="11">
        <f t="shared" si="2"/>
        <v>5.0861784443952791</v>
      </c>
      <c r="D11" s="11">
        <f t="shared" si="3"/>
        <v>6.4605000595552919</v>
      </c>
      <c r="E11" s="12">
        <f t="shared" si="4"/>
        <v>-2.6061784443952791</v>
      </c>
      <c r="F11" s="12">
        <f t="shared" si="5"/>
        <v>-0.4034019689452143</v>
      </c>
    </row>
    <row r="12" spans="1:6" x14ac:dyDescent="0.3">
      <c r="A12" s="9">
        <v>40857</v>
      </c>
      <c r="B12" s="10">
        <v>2.46</v>
      </c>
      <c r="C12" s="11">
        <f t="shared" si="2"/>
        <v>5.0861784443952791</v>
      </c>
      <c r="D12" s="11">
        <f t="shared" si="3"/>
        <v>6.4605000595552919</v>
      </c>
      <c r="E12" s="12">
        <f t="shared" si="4"/>
        <v>-2.6261784443952791</v>
      </c>
      <c r="F12" s="12">
        <f t="shared" si="5"/>
        <v>-0.40649770454085438</v>
      </c>
    </row>
    <row r="13" spans="1:6" x14ac:dyDescent="0.3">
      <c r="A13" s="9">
        <v>40887</v>
      </c>
      <c r="B13" s="10">
        <v>2.2599999999999998</v>
      </c>
      <c r="C13" s="11">
        <f t="shared" si="2"/>
        <v>5.0861784443952791</v>
      </c>
      <c r="D13" s="11">
        <f t="shared" si="3"/>
        <v>6.4605000595552919</v>
      </c>
      <c r="E13" s="12">
        <f t="shared" si="4"/>
        <v>-2.8261784443952793</v>
      </c>
      <c r="F13" s="12">
        <f t="shared" si="5"/>
        <v>-0.43745506049725491</v>
      </c>
    </row>
    <row r="14" spans="1:6" x14ac:dyDescent="0.3">
      <c r="A14" s="9">
        <v>40918</v>
      </c>
      <c r="B14" s="10">
        <v>3.14</v>
      </c>
      <c r="C14" s="11">
        <f t="shared" si="2"/>
        <v>5.0861784443952791</v>
      </c>
      <c r="D14" s="11">
        <f t="shared" si="3"/>
        <v>6.4605000595552919</v>
      </c>
      <c r="E14" s="12">
        <f t="shared" si="4"/>
        <v>-1.946178444395279</v>
      </c>
      <c r="F14" s="12">
        <f t="shared" si="5"/>
        <v>-0.30124269428909256</v>
      </c>
    </row>
    <row r="15" spans="1:6" x14ac:dyDescent="0.3">
      <c r="A15" s="9">
        <v>40949</v>
      </c>
      <c r="B15" s="10">
        <v>18.760000000000002</v>
      </c>
      <c r="C15" s="11">
        <f t="shared" si="2"/>
        <v>5.0861784443952791</v>
      </c>
      <c r="D15" s="11">
        <f t="shared" si="3"/>
        <v>6.4605000595552919</v>
      </c>
      <c r="E15" s="12">
        <f t="shared" si="4"/>
        <v>13.673821555604722</v>
      </c>
      <c r="F15" s="12">
        <f t="shared" si="5"/>
        <v>2.1165268059057891</v>
      </c>
    </row>
    <row r="16" spans="1:6" x14ac:dyDescent="0.3">
      <c r="A16" s="9">
        <v>40978</v>
      </c>
      <c r="B16" s="10">
        <v>15.32</v>
      </c>
      <c r="C16" s="11">
        <f t="shared" si="2"/>
        <v>5.0861784443952791</v>
      </c>
      <c r="D16" s="11">
        <f t="shared" si="3"/>
        <v>6.4605000595552919</v>
      </c>
      <c r="E16" s="12">
        <f t="shared" si="4"/>
        <v>10.23382155560472</v>
      </c>
      <c r="F16" s="12">
        <f t="shared" si="5"/>
        <v>1.5840602834556996</v>
      </c>
    </row>
    <row r="17" spans="1:184" x14ac:dyDescent="0.3">
      <c r="A17" s="9">
        <v>41009</v>
      </c>
      <c r="B17" s="10">
        <v>10.1</v>
      </c>
      <c r="C17" s="11">
        <f t="shared" si="2"/>
        <v>5.0861784443952791</v>
      </c>
      <c r="D17" s="11">
        <f t="shared" si="3"/>
        <v>6.4605000595552919</v>
      </c>
      <c r="E17" s="12">
        <f t="shared" si="4"/>
        <v>5.0138215556047205</v>
      </c>
      <c r="F17" s="12">
        <f t="shared" si="5"/>
        <v>0.7760732929936458</v>
      </c>
    </row>
    <row r="18" spans="1:184" x14ac:dyDescent="0.3">
      <c r="A18" s="9">
        <v>41039</v>
      </c>
      <c r="B18" s="10">
        <v>6.83</v>
      </c>
      <c r="C18" s="11">
        <f t="shared" si="2"/>
        <v>5.0861784443952791</v>
      </c>
      <c r="D18" s="11">
        <f t="shared" si="3"/>
        <v>6.4605000595552919</v>
      </c>
      <c r="E18" s="12">
        <f t="shared" si="4"/>
        <v>1.743821555604721</v>
      </c>
      <c r="F18" s="12">
        <f t="shared" si="5"/>
        <v>0.26992052310649722</v>
      </c>
    </row>
    <row r="19" spans="1:184" x14ac:dyDescent="0.3">
      <c r="A19" s="13">
        <v>41070</v>
      </c>
      <c r="B19" s="10">
        <v>2.181</v>
      </c>
      <c r="C19" s="11">
        <f t="shared" si="2"/>
        <v>5.0861784443952791</v>
      </c>
      <c r="D19" s="11">
        <f t="shared" si="3"/>
        <v>6.4605000595552919</v>
      </c>
      <c r="E19" s="12">
        <f t="shared" si="4"/>
        <v>-2.9051784443952791</v>
      </c>
      <c r="F19" s="12">
        <f t="shared" si="5"/>
        <v>-0.44968321610003309</v>
      </c>
    </row>
    <row r="20" spans="1:184" x14ac:dyDescent="0.3">
      <c r="A20" s="9">
        <v>41100</v>
      </c>
      <c r="B20" s="10">
        <v>2.85</v>
      </c>
      <c r="C20" s="11">
        <f t="shared" si="2"/>
        <v>5.0861784443952791</v>
      </c>
      <c r="D20" s="11">
        <f t="shared" si="3"/>
        <v>6.4605000595552919</v>
      </c>
      <c r="E20" s="12">
        <f t="shared" si="4"/>
        <v>-2.236178444395279</v>
      </c>
      <c r="F20" s="12">
        <f t="shared" si="5"/>
        <v>-0.34613086042587332</v>
      </c>
    </row>
    <row r="21" spans="1:184" x14ac:dyDescent="0.3">
      <c r="A21" s="9">
        <v>41131</v>
      </c>
      <c r="B21" s="10">
        <v>1.82</v>
      </c>
      <c r="C21" s="11">
        <f t="shared" si="2"/>
        <v>5.0861784443952791</v>
      </c>
      <c r="D21" s="11">
        <f t="shared" si="3"/>
        <v>6.4605000595552919</v>
      </c>
      <c r="E21" s="12">
        <f t="shared" si="4"/>
        <v>-3.2661784443952788</v>
      </c>
      <c r="F21" s="12">
        <f t="shared" si="5"/>
        <v>-0.50556124360133603</v>
      </c>
    </row>
    <row r="22" spans="1:184" s="7" customFormat="1" x14ac:dyDescent="0.3">
      <c r="A22" s="9">
        <v>41162</v>
      </c>
      <c r="B22" s="10">
        <v>0.878</v>
      </c>
      <c r="C22" s="11">
        <f t="shared" si="2"/>
        <v>5.0861784443952791</v>
      </c>
      <c r="D22" s="11">
        <f t="shared" si="3"/>
        <v>6.4605000595552919</v>
      </c>
      <c r="E22" s="12">
        <f t="shared" si="4"/>
        <v>-4.208178444395279</v>
      </c>
      <c r="F22" s="12">
        <f t="shared" si="5"/>
        <v>-0.65137039015598253</v>
      </c>
      <c r="G22"/>
      <c r="H22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</row>
    <row r="23" spans="1:184" x14ac:dyDescent="0.3">
      <c r="A23" s="9">
        <v>41192</v>
      </c>
      <c r="B23" s="10">
        <v>2.5</v>
      </c>
      <c r="C23" s="11">
        <f t="shared" si="2"/>
        <v>5.0861784443952791</v>
      </c>
      <c r="D23" s="11">
        <f t="shared" si="3"/>
        <v>6.4605000595552919</v>
      </c>
      <c r="E23" s="12">
        <f t="shared" si="4"/>
        <v>-2.5861784443952791</v>
      </c>
      <c r="F23" s="12">
        <f t="shared" si="5"/>
        <v>-0.40030623334957427</v>
      </c>
    </row>
    <row r="24" spans="1:184" x14ac:dyDescent="0.3">
      <c r="A24" s="9">
        <v>41223</v>
      </c>
      <c r="B24" s="10">
        <v>4.13</v>
      </c>
      <c r="C24" s="11">
        <f t="shared" si="2"/>
        <v>5.0861784443952791</v>
      </c>
      <c r="D24" s="11">
        <f t="shared" si="3"/>
        <v>6.4605000595552919</v>
      </c>
      <c r="E24" s="12">
        <f t="shared" si="4"/>
        <v>-0.95617844439527921</v>
      </c>
      <c r="F24" s="12">
        <f t="shared" si="5"/>
        <v>-0.14800378230490996</v>
      </c>
    </row>
    <row r="25" spans="1:184" x14ac:dyDescent="0.3">
      <c r="A25" s="9">
        <v>41253</v>
      </c>
      <c r="B25" s="10">
        <v>4.71</v>
      </c>
      <c r="C25" s="11">
        <f t="shared" si="2"/>
        <v>5.0861784443952791</v>
      </c>
      <c r="D25" s="11">
        <f t="shared" si="3"/>
        <v>6.4605000595552919</v>
      </c>
      <c r="E25" s="12">
        <f t="shared" si="4"/>
        <v>-0.37617844439527914</v>
      </c>
      <c r="F25" s="12">
        <f t="shared" si="5"/>
        <v>-5.8227450031348403E-2</v>
      </c>
    </row>
    <row r="26" spans="1:184" x14ac:dyDescent="0.3">
      <c r="A26" s="9">
        <v>41284</v>
      </c>
      <c r="B26" s="10">
        <v>6.72</v>
      </c>
      <c r="C26" s="11">
        <f t="shared" si="2"/>
        <v>5.0861784443952791</v>
      </c>
      <c r="D26" s="11">
        <f t="shared" si="3"/>
        <v>6.4605000595552919</v>
      </c>
      <c r="E26" s="12">
        <f t="shared" si="4"/>
        <v>1.6338215556047206</v>
      </c>
      <c r="F26" s="12">
        <f t="shared" si="5"/>
        <v>0.25289397733047692</v>
      </c>
    </row>
    <row r="27" spans="1:184" x14ac:dyDescent="0.3">
      <c r="A27" s="13">
        <v>41315</v>
      </c>
      <c r="B27" s="10">
        <v>19.690000000000001</v>
      </c>
      <c r="C27" s="11">
        <f t="shared" si="2"/>
        <v>5.0861784443952791</v>
      </c>
      <c r="D27" s="11">
        <f t="shared" si="3"/>
        <v>6.4605000595552919</v>
      </c>
      <c r="E27" s="12">
        <f t="shared" si="4"/>
        <v>14.603821555604721</v>
      </c>
      <c r="F27" s="12">
        <f t="shared" si="5"/>
        <v>2.2604785111030514</v>
      </c>
    </row>
    <row r="28" spans="1:184" x14ac:dyDescent="0.3">
      <c r="A28" s="9">
        <v>41343</v>
      </c>
      <c r="B28" s="10">
        <v>22.98</v>
      </c>
      <c r="C28" s="11">
        <f t="shared" si="2"/>
        <v>5.0861784443952791</v>
      </c>
      <c r="D28" s="11">
        <f t="shared" si="3"/>
        <v>6.4605000595552919</v>
      </c>
      <c r="E28" s="12">
        <f t="shared" si="4"/>
        <v>17.89382155560472</v>
      </c>
      <c r="F28" s="12">
        <f t="shared" si="5"/>
        <v>2.7697270165858399</v>
      </c>
    </row>
    <row r="29" spans="1:184" x14ac:dyDescent="0.3">
      <c r="A29" s="9">
        <v>41374</v>
      </c>
      <c r="B29" s="26">
        <v>0</v>
      </c>
      <c r="C29" s="11">
        <f t="shared" si="2"/>
        <v>5.0861784443952791</v>
      </c>
      <c r="D29" s="11">
        <f t="shared" si="3"/>
        <v>6.4605000595552919</v>
      </c>
      <c r="E29" s="12">
        <f t="shared" si="4"/>
        <v>-5.0861784443952791</v>
      </c>
      <c r="F29" s="12">
        <f t="shared" si="5"/>
        <v>-0.78727318280458092</v>
      </c>
    </row>
    <row r="30" spans="1:184" x14ac:dyDescent="0.3">
      <c r="A30" s="9">
        <v>41404</v>
      </c>
      <c r="B30" s="10">
        <v>18.559999999999999</v>
      </c>
      <c r="C30" s="11">
        <f t="shared" si="2"/>
        <v>5.0861784443952791</v>
      </c>
      <c r="D30" s="11">
        <f t="shared" si="3"/>
        <v>6.4605000595552919</v>
      </c>
      <c r="E30" s="12">
        <f t="shared" si="4"/>
        <v>13.473821555604719</v>
      </c>
      <c r="F30" s="12">
        <f t="shared" si="5"/>
        <v>2.085569449949388</v>
      </c>
    </row>
    <row r="31" spans="1:184" x14ac:dyDescent="0.3">
      <c r="A31" s="9">
        <v>41435</v>
      </c>
      <c r="B31" s="10">
        <v>13.08</v>
      </c>
      <c r="C31" s="11">
        <f t="shared" si="2"/>
        <v>5.0861784443952791</v>
      </c>
      <c r="D31" s="11">
        <f t="shared" si="3"/>
        <v>6.4605000595552919</v>
      </c>
      <c r="E31" s="12">
        <f t="shared" si="4"/>
        <v>7.993821555604721</v>
      </c>
      <c r="F31" s="12">
        <f t="shared" si="5"/>
        <v>1.2373378967440138</v>
      </c>
    </row>
    <row r="32" spans="1:184" x14ac:dyDescent="0.3">
      <c r="A32" s="9">
        <v>41465</v>
      </c>
      <c r="B32" s="10">
        <v>8.92</v>
      </c>
      <c r="C32" s="11">
        <f t="shared" si="2"/>
        <v>5.0861784443952791</v>
      </c>
      <c r="D32" s="11">
        <f t="shared" si="3"/>
        <v>6.4605000595552919</v>
      </c>
      <c r="E32" s="12">
        <f t="shared" si="4"/>
        <v>3.8338215556047208</v>
      </c>
      <c r="F32" s="12">
        <f t="shared" si="5"/>
        <v>0.59342489285088273</v>
      </c>
    </row>
    <row r="33" spans="1:6" x14ac:dyDescent="0.3">
      <c r="A33" s="9">
        <v>41496</v>
      </c>
      <c r="B33" s="10">
        <v>6.2</v>
      </c>
      <c r="C33" s="11">
        <f t="shared" si="2"/>
        <v>5.0861784443952791</v>
      </c>
      <c r="D33" s="11">
        <f t="shared" si="3"/>
        <v>6.4605000595552919</v>
      </c>
      <c r="E33" s="12">
        <f t="shared" si="4"/>
        <v>1.1138215556047211</v>
      </c>
      <c r="F33" s="12">
        <f t="shared" si="5"/>
        <v>0.17240485184383558</v>
      </c>
    </row>
    <row r="34" spans="1:6" x14ac:dyDescent="0.3">
      <c r="A34" s="9">
        <v>41527</v>
      </c>
      <c r="B34" s="10">
        <v>3.2290000000000001</v>
      </c>
      <c r="C34" s="11">
        <f t="shared" si="2"/>
        <v>5.0861784443952791</v>
      </c>
      <c r="D34" s="11">
        <f t="shared" si="3"/>
        <v>6.4605000595552919</v>
      </c>
      <c r="E34" s="12">
        <f t="shared" si="4"/>
        <v>-1.857178444395279</v>
      </c>
      <c r="F34" s="12">
        <f t="shared" si="5"/>
        <v>-0.28746667088849431</v>
      </c>
    </row>
    <row r="35" spans="1:6" x14ac:dyDescent="0.3">
      <c r="A35" s="13">
        <v>41557</v>
      </c>
      <c r="B35" s="10">
        <v>2.65</v>
      </c>
      <c r="C35" s="11">
        <f t="shared" si="2"/>
        <v>5.0861784443952791</v>
      </c>
      <c r="D35" s="11">
        <f t="shared" si="3"/>
        <v>6.4605000595552919</v>
      </c>
      <c r="E35" s="12">
        <f t="shared" si="4"/>
        <v>-2.4361784443952792</v>
      </c>
      <c r="F35" s="12">
        <f t="shared" si="5"/>
        <v>-0.37708821638227386</v>
      </c>
    </row>
    <row r="36" spans="1:6" x14ac:dyDescent="0.3">
      <c r="A36" s="9">
        <v>41588</v>
      </c>
      <c r="B36" s="10">
        <v>2.44</v>
      </c>
      <c r="C36" s="11">
        <f t="shared" si="2"/>
        <v>5.0861784443952791</v>
      </c>
      <c r="D36" s="11">
        <f t="shared" si="3"/>
        <v>6.4605000595552919</v>
      </c>
      <c r="E36" s="12">
        <f t="shared" si="4"/>
        <v>-2.6461784443952792</v>
      </c>
      <c r="F36" s="12">
        <f t="shared" si="5"/>
        <v>-0.4095934401364944</v>
      </c>
    </row>
    <row r="37" spans="1:6" x14ac:dyDescent="0.3">
      <c r="A37" s="9">
        <v>41618</v>
      </c>
      <c r="B37" s="10">
        <v>2.63</v>
      </c>
      <c r="C37" s="11">
        <f t="shared" si="2"/>
        <v>5.0861784443952791</v>
      </c>
      <c r="D37" s="11">
        <f t="shared" si="3"/>
        <v>6.4605000595552919</v>
      </c>
      <c r="E37" s="12">
        <f t="shared" si="4"/>
        <v>-2.4561784443952792</v>
      </c>
      <c r="F37" s="12">
        <f t="shared" si="5"/>
        <v>-0.38018395197791394</v>
      </c>
    </row>
    <row r="38" spans="1:6" x14ac:dyDescent="0.3">
      <c r="A38" s="9">
        <v>41649</v>
      </c>
      <c r="B38" s="10">
        <v>8.33</v>
      </c>
      <c r="C38" s="11">
        <f t="shared" si="2"/>
        <v>5.0861784443952791</v>
      </c>
      <c r="D38" s="11">
        <f t="shared" si="3"/>
        <v>6.4605000595552919</v>
      </c>
      <c r="E38" s="12">
        <f t="shared" si="4"/>
        <v>3.243821555604721</v>
      </c>
      <c r="F38" s="12">
        <f t="shared" si="5"/>
        <v>0.5021006927795012</v>
      </c>
    </row>
    <row r="39" spans="1:6" x14ac:dyDescent="0.3">
      <c r="A39" s="9">
        <v>41680</v>
      </c>
      <c r="B39" s="10">
        <v>8.85</v>
      </c>
      <c r="C39" s="11">
        <f t="shared" si="2"/>
        <v>5.0861784443952791</v>
      </c>
      <c r="D39" s="11">
        <f t="shared" si="3"/>
        <v>6.4605000595552919</v>
      </c>
      <c r="E39" s="12">
        <f t="shared" si="4"/>
        <v>3.7638215556047205</v>
      </c>
      <c r="F39" s="12">
        <f t="shared" si="5"/>
        <v>0.58258981826614253</v>
      </c>
    </row>
    <row r="40" spans="1:6" x14ac:dyDescent="0.3">
      <c r="A40" s="9">
        <v>41708</v>
      </c>
      <c r="B40" s="10">
        <v>10.7</v>
      </c>
      <c r="C40" s="11">
        <f t="shared" si="2"/>
        <v>5.0861784443952791</v>
      </c>
      <c r="D40" s="11">
        <f t="shared" si="3"/>
        <v>6.4605000595552919</v>
      </c>
      <c r="E40" s="12">
        <f t="shared" si="4"/>
        <v>5.6138215556047202</v>
      </c>
      <c r="F40" s="12">
        <f t="shared" si="5"/>
        <v>0.86894536086284735</v>
      </c>
    </row>
    <row r="41" spans="1:6" x14ac:dyDescent="0.3">
      <c r="A41" s="9">
        <v>41739</v>
      </c>
      <c r="B41" s="10">
        <v>33.26</v>
      </c>
      <c r="C41" s="11">
        <f t="shared" si="2"/>
        <v>5.0861784443952791</v>
      </c>
      <c r="D41" s="11">
        <f t="shared" si="3"/>
        <v>6.4605000595552919</v>
      </c>
      <c r="E41" s="12">
        <f t="shared" si="4"/>
        <v>28.173821555604718</v>
      </c>
      <c r="F41" s="12">
        <f t="shared" si="5"/>
        <v>4.3609351127448273</v>
      </c>
    </row>
    <row r="42" spans="1:6" x14ac:dyDescent="0.3">
      <c r="A42" s="9">
        <v>41769</v>
      </c>
      <c r="B42" s="10">
        <v>25.04</v>
      </c>
      <c r="C42" s="11">
        <f t="shared" si="2"/>
        <v>5.0861784443952791</v>
      </c>
      <c r="D42" s="11">
        <f t="shared" si="3"/>
        <v>6.4605000595552919</v>
      </c>
      <c r="E42" s="12">
        <f t="shared" si="4"/>
        <v>19.953821555604719</v>
      </c>
      <c r="F42" s="12">
        <f t="shared" si="5"/>
        <v>3.0885877829367652</v>
      </c>
    </row>
    <row r="43" spans="1:6" x14ac:dyDescent="0.3">
      <c r="A43" s="13">
        <v>41800</v>
      </c>
      <c r="B43" s="10">
        <v>17.21</v>
      </c>
      <c r="C43" s="11">
        <f t="shared" si="2"/>
        <v>5.0861784443952791</v>
      </c>
      <c r="D43" s="11">
        <f t="shared" si="3"/>
        <v>6.4605000595552919</v>
      </c>
      <c r="E43" s="12">
        <f t="shared" si="4"/>
        <v>12.123821555604721</v>
      </c>
      <c r="F43" s="12">
        <f t="shared" si="5"/>
        <v>1.8766072972436847</v>
      </c>
    </row>
    <row r="44" spans="1:6" x14ac:dyDescent="0.3">
      <c r="A44" s="9">
        <v>41830</v>
      </c>
      <c r="B44" s="10">
        <v>12.44</v>
      </c>
      <c r="C44" s="11">
        <f t="shared" si="2"/>
        <v>5.0861784443952791</v>
      </c>
      <c r="D44" s="11">
        <f t="shared" si="3"/>
        <v>6.4605000595552919</v>
      </c>
      <c r="E44" s="12">
        <f t="shared" si="4"/>
        <v>7.3538215556047204</v>
      </c>
      <c r="F44" s="12">
        <f t="shared" si="5"/>
        <v>1.1382743576835321</v>
      </c>
    </row>
    <row r="45" spans="1:6" x14ac:dyDescent="0.3">
      <c r="A45" s="9">
        <v>41861</v>
      </c>
      <c r="B45" s="10">
        <v>8.49</v>
      </c>
      <c r="C45" s="11">
        <f t="shared" si="2"/>
        <v>5.0861784443952791</v>
      </c>
      <c r="D45" s="11">
        <f t="shared" si="3"/>
        <v>6.4605000595552919</v>
      </c>
      <c r="E45" s="12">
        <f t="shared" si="4"/>
        <v>3.4038215556047211</v>
      </c>
      <c r="F45" s="12">
        <f t="shared" si="5"/>
        <v>0.52686657754462163</v>
      </c>
    </row>
    <row r="46" spans="1:6" x14ac:dyDescent="0.3">
      <c r="A46" s="9">
        <v>41892</v>
      </c>
      <c r="B46" s="10">
        <v>5.01</v>
      </c>
      <c r="C46" s="11">
        <f t="shared" si="2"/>
        <v>5.0861784443952791</v>
      </c>
      <c r="D46" s="11">
        <f t="shared" si="3"/>
        <v>6.4605000595552919</v>
      </c>
      <c r="E46" s="12">
        <f t="shared" si="4"/>
        <v>-7.6178444395279321E-2</v>
      </c>
      <c r="F46" s="12">
        <f t="shared" si="5"/>
        <v>-1.1791416096747635E-2</v>
      </c>
    </row>
    <row r="47" spans="1:6" x14ac:dyDescent="0.3">
      <c r="A47" s="9">
        <v>41922</v>
      </c>
      <c r="B47" s="10">
        <v>3.65</v>
      </c>
      <c r="C47" s="11">
        <f t="shared" si="2"/>
        <v>5.0861784443952791</v>
      </c>
      <c r="D47" s="11">
        <f t="shared" si="3"/>
        <v>6.4605000595552919</v>
      </c>
      <c r="E47" s="12">
        <f t="shared" si="4"/>
        <v>-1.4361784443952792</v>
      </c>
      <c r="F47" s="12">
        <f t="shared" si="5"/>
        <v>-0.22230143660027121</v>
      </c>
    </row>
    <row r="48" spans="1:6" x14ac:dyDescent="0.3">
      <c r="A48" s="9">
        <v>41953</v>
      </c>
      <c r="B48" s="10">
        <v>2.84</v>
      </c>
      <c r="C48" s="11">
        <f t="shared" si="2"/>
        <v>5.0861784443952791</v>
      </c>
      <c r="D48" s="11">
        <f t="shared" si="3"/>
        <v>6.4605000595552919</v>
      </c>
      <c r="E48" s="12">
        <f t="shared" si="4"/>
        <v>-2.2461784443952793</v>
      </c>
      <c r="F48" s="12">
        <f t="shared" si="5"/>
        <v>-0.34767872822369339</v>
      </c>
    </row>
    <row r="49" spans="1:6" x14ac:dyDescent="0.3">
      <c r="A49" s="9">
        <v>41983</v>
      </c>
      <c r="B49" s="10">
        <v>2.84</v>
      </c>
      <c r="C49" s="11">
        <f t="shared" si="2"/>
        <v>5.0861784443952791</v>
      </c>
      <c r="D49" s="11">
        <f t="shared" si="3"/>
        <v>6.4605000595552919</v>
      </c>
      <c r="E49" s="12">
        <f t="shared" si="4"/>
        <v>-2.2461784443952793</v>
      </c>
      <c r="F49" s="12">
        <f t="shared" si="5"/>
        <v>-0.34767872822369339</v>
      </c>
    </row>
    <row r="50" spans="1:6" x14ac:dyDescent="0.3">
      <c r="A50" s="9">
        <v>42014</v>
      </c>
      <c r="B50" s="10">
        <v>4.99</v>
      </c>
      <c r="C50" s="11">
        <f t="shared" si="2"/>
        <v>5.0861784443952791</v>
      </c>
      <c r="D50" s="11">
        <f t="shared" si="3"/>
        <v>6.4605000595552919</v>
      </c>
      <c r="E50" s="12">
        <f t="shared" si="4"/>
        <v>-9.6178444395278895E-2</v>
      </c>
      <c r="F50" s="12">
        <f t="shared" si="5"/>
        <v>-1.4887151692387622E-2</v>
      </c>
    </row>
    <row r="51" spans="1:6" x14ac:dyDescent="0.3">
      <c r="A51" s="13">
        <v>42045</v>
      </c>
      <c r="B51" s="10">
        <v>5.09</v>
      </c>
      <c r="C51" s="11">
        <f t="shared" si="2"/>
        <v>5.0861784443952791</v>
      </c>
      <c r="D51" s="11">
        <f t="shared" si="3"/>
        <v>6.4605000595552919</v>
      </c>
      <c r="E51" s="12">
        <f t="shared" si="4"/>
        <v>3.82155560472075E-3</v>
      </c>
      <c r="F51" s="12">
        <f t="shared" si="5"/>
        <v>5.9152628581258875E-4</v>
      </c>
    </row>
    <row r="52" spans="1:6" x14ac:dyDescent="0.3">
      <c r="A52" s="9">
        <v>42073</v>
      </c>
      <c r="B52" s="10">
        <v>5.61</v>
      </c>
      <c r="C52" s="11">
        <f t="shared" si="2"/>
        <v>5.0861784443952791</v>
      </c>
      <c r="D52" s="11">
        <f t="shared" si="3"/>
        <v>6.4605000595552919</v>
      </c>
      <c r="E52" s="12">
        <f t="shared" si="4"/>
        <v>0.52382155560472121</v>
      </c>
      <c r="F52" s="12">
        <f t="shared" si="5"/>
        <v>8.1080651772454035E-2</v>
      </c>
    </row>
    <row r="53" spans="1:6" x14ac:dyDescent="0.3">
      <c r="A53" s="9">
        <v>42104</v>
      </c>
      <c r="B53" s="10">
        <v>4.43</v>
      </c>
      <c r="C53" s="11">
        <f t="shared" si="2"/>
        <v>5.0861784443952791</v>
      </c>
      <c r="D53" s="11">
        <f t="shared" si="3"/>
        <v>6.4605000595552919</v>
      </c>
      <c r="E53" s="12">
        <f t="shared" si="4"/>
        <v>-0.65617844439527939</v>
      </c>
      <c r="F53" s="12">
        <f t="shared" si="5"/>
        <v>-0.10156774837030919</v>
      </c>
    </row>
    <row r="54" spans="1:6" x14ac:dyDescent="0.3">
      <c r="A54" s="9">
        <v>42134</v>
      </c>
      <c r="B54" s="10">
        <v>3.64</v>
      </c>
      <c r="C54" s="11">
        <f t="shared" si="2"/>
        <v>5.0861784443952791</v>
      </c>
      <c r="D54" s="11">
        <f t="shared" si="3"/>
        <v>6.4605000595552919</v>
      </c>
      <c r="E54" s="12">
        <f t="shared" si="4"/>
        <v>-1.446178444395279</v>
      </c>
      <c r="F54" s="12">
        <f t="shared" si="5"/>
        <v>-0.22384930439809123</v>
      </c>
    </row>
    <row r="55" spans="1:6" x14ac:dyDescent="0.3">
      <c r="A55" s="9">
        <v>42165</v>
      </c>
      <c r="B55" s="10">
        <v>2.57</v>
      </c>
      <c r="C55" s="11">
        <f t="shared" si="2"/>
        <v>5.0861784443952791</v>
      </c>
      <c r="D55" s="11">
        <f t="shared" si="3"/>
        <v>6.4605000595552919</v>
      </c>
      <c r="E55" s="12">
        <f t="shared" si="4"/>
        <v>-2.5161784443952793</v>
      </c>
      <c r="F55" s="12">
        <f t="shared" si="5"/>
        <v>-0.38947115876483412</v>
      </c>
    </row>
    <row r="56" spans="1:6" x14ac:dyDescent="0.3">
      <c r="A56" s="9">
        <v>42195</v>
      </c>
      <c r="B56" s="10">
        <v>1.8</v>
      </c>
      <c r="C56" s="11">
        <f t="shared" si="2"/>
        <v>5.0861784443952791</v>
      </c>
      <c r="D56" s="11">
        <f t="shared" si="3"/>
        <v>6.4605000595552919</v>
      </c>
      <c r="E56" s="12">
        <f t="shared" si="4"/>
        <v>-3.2861784443952793</v>
      </c>
      <c r="F56" s="12">
        <f t="shared" si="5"/>
        <v>-0.50865697919697617</v>
      </c>
    </row>
    <row r="57" spans="1:6" x14ac:dyDescent="0.3">
      <c r="A57" s="9">
        <v>42226</v>
      </c>
      <c r="B57" s="10">
        <v>1.27</v>
      </c>
      <c r="C57" s="11">
        <f t="shared" si="2"/>
        <v>5.0861784443952791</v>
      </c>
      <c r="D57" s="11">
        <f t="shared" si="3"/>
        <v>6.4605000595552919</v>
      </c>
      <c r="E57" s="12">
        <f t="shared" si="4"/>
        <v>-3.8161784443952791</v>
      </c>
      <c r="F57" s="12">
        <f t="shared" si="5"/>
        <v>-0.59069397248143751</v>
      </c>
    </row>
    <row r="58" spans="1:6" x14ac:dyDescent="0.3">
      <c r="A58" s="9">
        <v>42257</v>
      </c>
      <c r="B58" s="10">
        <v>0.94</v>
      </c>
      <c r="C58" s="11">
        <f t="shared" si="2"/>
        <v>5.0861784443952791</v>
      </c>
      <c r="D58" s="11">
        <f t="shared" si="3"/>
        <v>6.4605000595552919</v>
      </c>
      <c r="E58" s="12">
        <f t="shared" si="4"/>
        <v>-4.1461784443952787</v>
      </c>
      <c r="F58" s="12">
        <f t="shared" si="5"/>
        <v>-0.64177360980949838</v>
      </c>
    </row>
    <row r="59" spans="1:6" x14ac:dyDescent="0.3">
      <c r="A59" s="13">
        <v>42287</v>
      </c>
      <c r="B59" s="10">
        <v>0.81</v>
      </c>
      <c r="C59" s="11">
        <f t="shared" si="2"/>
        <v>5.0861784443952791</v>
      </c>
      <c r="D59" s="11">
        <f t="shared" si="3"/>
        <v>6.4605000595552919</v>
      </c>
      <c r="E59" s="12">
        <f t="shared" si="4"/>
        <v>-4.2761784443952795</v>
      </c>
      <c r="F59" s="12">
        <f t="shared" si="5"/>
        <v>-0.66189589118115877</v>
      </c>
    </row>
    <row r="60" spans="1:6" x14ac:dyDescent="0.3">
      <c r="A60" s="9">
        <v>42318</v>
      </c>
      <c r="B60" s="10">
        <v>0.59</v>
      </c>
      <c r="C60" s="11">
        <f t="shared" si="2"/>
        <v>5.0861784443952791</v>
      </c>
      <c r="D60" s="11">
        <f t="shared" si="3"/>
        <v>6.4605000595552919</v>
      </c>
      <c r="E60" s="12">
        <f t="shared" si="4"/>
        <v>-4.4961784443952793</v>
      </c>
      <c r="F60" s="12">
        <f t="shared" si="5"/>
        <v>-0.69594898273319938</v>
      </c>
    </row>
    <row r="61" spans="1:6" x14ac:dyDescent="0.3">
      <c r="A61" s="9">
        <v>42348</v>
      </c>
      <c r="B61" s="10">
        <v>0.49</v>
      </c>
      <c r="C61" s="11">
        <f t="shared" si="2"/>
        <v>5.0861784443952791</v>
      </c>
      <c r="D61" s="11">
        <f t="shared" si="3"/>
        <v>6.4605000595552919</v>
      </c>
      <c r="E61" s="12">
        <f t="shared" si="4"/>
        <v>-4.5961784443952789</v>
      </c>
      <c r="F61" s="12">
        <f t="shared" si="5"/>
        <v>-0.71142766071139951</v>
      </c>
    </row>
    <row r="62" spans="1:6" x14ac:dyDescent="0.3">
      <c r="A62" s="9">
        <v>42379</v>
      </c>
      <c r="B62" s="10">
        <v>0.39300000000000002</v>
      </c>
      <c r="C62" s="11">
        <f t="shared" si="2"/>
        <v>5.0861784443952791</v>
      </c>
      <c r="D62" s="11">
        <f t="shared" si="3"/>
        <v>6.4605000595552919</v>
      </c>
      <c r="E62" s="12">
        <f t="shared" si="4"/>
        <v>-4.6931784443952793</v>
      </c>
      <c r="F62" s="12">
        <f t="shared" si="5"/>
        <v>-0.72644197835025393</v>
      </c>
    </row>
    <row r="63" spans="1:6" x14ac:dyDescent="0.3">
      <c r="A63" s="9">
        <v>42410</v>
      </c>
      <c r="B63" s="10">
        <v>0.42</v>
      </c>
      <c r="C63" s="11">
        <f t="shared" si="2"/>
        <v>5.0861784443952791</v>
      </c>
      <c r="D63" s="11">
        <f t="shared" si="3"/>
        <v>6.4605000595552919</v>
      </c>
      <c r="E63" s="12">
        <f t="shared" si="4"/>
        <v>-4.6661784443952792</v>
      </c>
      <c r="F63" s="12">
        <f t="shared" si="5"/>
        <v>-0.72226273529613982</v>
      </c>
    </row>
    <row r="64" spans="1:6" x14ac:dyDescent="0.3">
      <c r="A64" s="9">
        <v>42439</v>
      </c>
      <c r="B64" s="10">
        <v>0.33</v>
      </c>
      <c r="C64" s="11">
        <f t="shared" si="2"/>
        <v>5.0861784443952791</v>
      </c>
      <c r="D64" s="11">
        <f t="shared" si="3"/>
        <v>6.4605000595552919</v>
      </c>
      <c r="E64" s="12">
        <f t="shared" si="4"/>
        <v>-4.756178444395279</v>
      </c>
      <c r="F64" s="12">
        <f t="shared" si="5"/>
        <v>-0.73619354547652005</v>
      </c>
    </row>
    <row r="65" spans="1:6" x14ac:dyDescent="0.3">
      <c r="A65" s="9">
        <v>42470</v>
      </c>
      <c r="B65" s="10">
        <v>0.92</v>
      </c>
      <c r="C65" s="11">
        <f t="shared" si="2"/>
        <v>5.0861784443952791</v>
      </c>
      <c r="D65" s="11">
        <f t="shared" si="3"/>
        <v>6.4605000595552919</v>
      </c>
      <c r="E65" s="12">
        <f t="shared" si="4"/>
        <v>-4.1661784443952792</v>
      </c>
      <c r="F65" s="12">
        <f t="shared" si="5"/>
        <v>-0.64486934540513852</v>
      </c>
    </row>
    <row r="66" spans="1:6" x14ac:dyDescent="0.3">
      <c r="A66" s="9">
        <v>42500</v>
      </c>
      <c r="B66" s="10">
        <v>0.65</v>
      </c>
      <c r="C66" s="11">
        <f t="shared" si="2"/>
        <v>5.0861784443952791</v>
      </c>
      <c r="D66" s="11">
        <f t="shared" si="3"/>
        <v>6.4605000595552919</v>
      </c>
      <c r="E66" s="12">
        <f t="shared" si="4"/>
        <v>-4.4361784443952788</v>
      </c>
      <c r="F66" s="12">
        <f t="shared" si="5"/>
        <v>-0.68666177594627908</v>
      </c>
    </row>
    <row r="67" spans="1:6" x14ac:dyDescent="0.3">
      <c r="A67" s="13">
        <v>42531</v>
      </c>
      <c r="B67" s="10">
        <v>0.45</v>
      </c>
      <c r="C67" s="11">
        <f t="shared" ref="C67:C130" si="6">AVERAGE($B$2:$B$172)</f>
        <v>5.0861784443952791</v>
      </c>
      <c r="D67" s="11">
        <f t="shared" ref="D67:D130" si="7">_xlfn.STDEV.S($B$2:$B$172)</f>
        <v>6.4605000595552919</v>
      </c>
      <c r="E67" s="12">
        <f t="shared" ref="E67:E130" si="8">B67-C67</f>
        <v>-4.6361784443952789</v>
      </c>
      <c r="F67" s="12">
        <f t="shared" ref="F67:F130" si="9">E67/D67</f>
        <v>-0.71761913190267967</v>
      </c>
    </row>
    <row r="68" spans="1:6" x14ac:dyDescent="0.3">
      <c r="A68" s="9">
        <v>42561</v>
      </c>
      <c r="B68" s="10">
        <v>0.25900000000000001</v>
      </c>
      <c r="C68" s="11">
        <f t="shared" si="6"/>
        <v>5.0861784443952791</v>
      </c>
      <c r="D68" s="11">
        <f t="shared" si="7"/>
        <v>6.4605000595552919</v>
      </c>
      <c r="E68" s="12">
        <f t="shared" si="8"/>
        <v>-4.8271784443952788</v>
      </c>
      <c r="F68" s="12">
        <f t="shared" si="9"/>
        <v>-0.74718340684104212</v>
      </c>
    </row>
    <row r="69" spans="1:6" x14ac:dyDescent="0.3">
      <c r="A69" s="9">
        <v>42592</v>
      </c>
      <c r="B69" s="10">
        <v>0.24</v>
      </c>
      <c r="C69" s="11">
        <f t="shared" si="6"/>
        <v>5.0861784443952791</v>
      </c>
      <c r="D69" s="11">
        <f t="shared" si="7"/>
        <v>6.4605000595552919</v>
      </c>
      <c r="E69" s="12">
        <f t="shared" si="8"/>
        <v>-4.8461784443952789</v>
      </c>
      <c r="F69" s="12">
        <f t="shared" si="9"/>
        <v>-0.75012435565690028</v>
      </c>
    </row>
    <row r="70" spans="1:6" x14ac:dyDescent="0.3">
      <c r="A70" s="9">
        <v>42623</v>
      </c>
      <c r="B70" s="10">
        <v>0.19</v>
      </c>
      <c r="C70" s="11">
        <f t="shared" si="6"/>
        <v>5.0861784443952791</v>
      </c>
      <c r="D70" s="11">
        <f t="shared" si="7"/>
        <v>6.4605000595552919</v>
      </c>
      <c r="E70" s="12">
        <f t="shared" si="8"/>
        <v>-4.8961784443952787</v>
      </c>
      <c r="F70" s="12">
        <f t="shared" si="9"/>
        <v>-0.75786369464600034</v>
      </c>
    </row>
    <row r="71" spans="1:6" x14ac:dyDescent="0.3">
      <c r="A71" s="9">
        <v>42653</v>
      </c>
      <c r="B71" s="10">
        <v>0.17</v>
      </c>
      <c r="C71" s="11">
        <f t="shared" si="6"/>
        <v>5.0861784443952791</v>
      </c>
      <c r="D71" s="11">
        <f t="shared" si="7"/>
        <v>6.4605000595552919</v>
      </c>
      <c r="E71" s="12">
        <f t="shared" si="8"/>
        <v>-4.9161784443952792</v>
      </c>
      <c r="F71" s="12">
        <f t="shared" si="9"/>
        <v>-0.76095943024164048</v>
      </c>
    </row>
    <row r="72" spans="1:6" x14ac:dyDescent="0.3">
      <c r="A72" s="9">
        <v>42684</v>
      </c>
      <c r="B72" s="10">
        <v>0.16</v>
      </c>
      <c r="C72" s="11">
        <f t="shared" si="6"/>
        <v>5.0861784443952791</v>
      </c>
      <c r="D72" s="11">
        <f t="shared" si="7"/>
        <v>6.4605000595552919</v>
      </c>
      <c r="E72" s="12">
        <f t="shared" si="8"/>
        <v>-4.926178444395279</v>
      </c>
      <c r="F72" s="12">
        <f t="shared" si="9"/>
        <v>-0.76250729803946049</v>
      </c>
    </row>
    <row r="73" spans="1:6" x14ac:dyDescent="0.3">
      <c r="A73" s="9">
        <v>42714</v>
      </c>
      <c r="B73" s="10">
        <v>0.73</v>
      </c>
      <c r="C73" s="11">
        <f t="shared" si="6"/>
        <v>5.0861784443952791</v>
      </c>
      <c r="D73" s="11">
        <f t="shared" si="7"/>
        <v>6.4605000595552919</v>
      </c>
      <c r="E73" s="12">
        <f t="shared" si="8"/>
        <v>-4.3561784443952796</v>
      </c>
      <c r="F73" s="12">
        <f t="shared" si="9"/>
        <v>-0.67427883356371898</v>
      </c>
    </row>
    <row r="74" spans="1:6" x14ac:dyDescent="0.3">
      <c r="A74" s="9">
        <v>42745</v>
      </c>
      <c r="B74" s="10">
        <v>1.7</v>
      </c>
      <c r="C74" s="11">
        <f t="shared" si="6"/>
        <v>5.0861784443952791</v>
      </c>
      <c r="D74" s="11">
        <f t="shared" si="7"/>
        <v>6.4605000595552919</v>
      </c>
      <c r="E74" s="12">
        <f t="shared" si="8"/>
        <v>-3.3861784443952789</v>
      </c>
      <c r="F74" s="12">
        <f t="shared" si="9"/>
        <v>-0.52413565717517641</v>
      </c>
    </row>
    <row r="75" spans="1:6" x14ac:dyDescent="0.3">
      <c r="A75" s="13">
        <v>42776</v>
      </c>
      <c r="B75" s="10">
        <v>4.83</v>
      </c>
      <c r="C75" s="11">
        <f t="shared" si="6"/>
        <v>5.0861784443952791</v>
      </c>
      <c r="D75" s="11">
        <f t="shared" si="7"/>
        <v>6.4605000595552919</v>
      </c>
      <c r="E75" s="12">
        <f t="shared" si="8"/>
        <v>-0.25617844439527904</v>
      </c>
      <c r="F75" s="12">
        <f t="shared" si="9"/>
        <v>-3.9653036457508069E-2</v>
      </c>
    </row>
    <row r="76" spans="1:6" x14ac:dyDescent="0.3">
      <c r="A76" s="9">
        <v>42804</v>
      </c>
      <c r="B76" s="10">
        <v>8.2200000000000006</v>
      </c>
      <c r="C76" s="11">
        <f t="shared" si="6"/>
        <v>5.0861784443952791</v>
      </c>
      <c r="D76" s="11">
        <f t="shared" si="7"/>
        <v>6.4605000595552919</v>
      </c>
      <c r="E76" s="12">
        <f t="shared" si="8"/>
        <v>3.1338215556047215</v>
      </c>
      <c r="F76" s="12">
        <f t="shared" si="9"/>
        <v>0.485074147003481</v>
      </c>
    </row>
    <row r="77" spans="1:6" x14ac:dyDescent="0.3">
      <c r="A77" s="9">
        <v>42835</v>
      </c>
      <c r="B77" s="10">
        <v>8.44</v>
      </c>
      <c r="C77" s="11">
        <f t="shared" si="6"/>
        <v>5.0861784443952791</v>
      </c>
      <c r="D77" s="11">
        <f t="shared" si="7"/>
        <v>6.4605000595552919</v>
      </c>
      <c r="E77" s="12">
        <f t="shared" si="8"/>
        <v>3.3538215556047204</v>
      </c>
      <c r="F77" s="12">
        <f t="shared" si="9"/>
        <v>0.51912723855552145</v>
      </c>
    </row>
    <row r="78" spans="1:6" x14ac:dyDescent="0.3">
      <c r="A78" s="9">
        <v>42865</v>
      </c>
      <c r="B78" s="10">
        <v>5.92</v>
      </c>
      <c r="C78" s="11">
        <f t="shared" si="6"/>
        <v>5.0861784443952791</v>
      </c>
      <c r="D78" s="11">
        <f t="shared" si="7"/>
        <v>6.4605000595552919</v>
      </c>
      <c r="E78" s="12">
        <f t="shared" si="8"/>
        <v>0.83382155560472082</v>
      </c>
      <c r="F78" s="12">
        <f t="shared" si="9"/>
        <v>0.12906455350487481</v>
      </c>
    </row>
    <row r="79" spans="1:6" x14ac:dyDescent="0.3">
      <c r="A79" s="9">
        <v>42896</v>
      </c>
      <c r="B79" s="10">
        <v>4.5</v>
      </c>
      <c r="C79" s="11">
        <f t="shared" si="6"/>
        <v>5.0861784443952791</v>
      </c>
      <c r="D79" s="11">
        <f t="shared" si="7"/>
        <v>6.4605000595552919</v>
      </c>
      <c r="E79" s="12">
        <f t="shared" si="8"/>
        <v>-0.58617844439527911</v>
      </c>
      <c r="F79" s="12">
        <f t="shared" si="9"/>
        <v>-9.0732673785568957E-2</v>
      </c>
    </row>
    <row r="80" spans="1:6" x14ac:dyDescent="0.3">
      <c r="A80" s="9">
        <v>42926</v>
      </c>
      <c r="B80" s="10">
        <v>3.0720000000000001</v>
      </c>
      <c r="C80" s="11">
        <f t="shared" si="6"/>
        <v>5.0861784443952791</v>
      </c>
      <c r="D80" s="11">
        <f t="shared" si="7"/>
        <v>6.4605000595552919</v>
      </c>
      <c r="E80" s="12">
        <f t="shared" si="8"/>
        <v>-2.014178444395279</v>
      </c>
      <c r="F80" s="12">
        <f t="shared" si="9"/>
        <v>-0.31176819531426875</v>
      </c>
    </row>
    <row r="81" spans="1:6" x14ac:dyDescent="0.3">
      <c r="A81" s="9">
        <v>42957</v>
      </c>
      <c r="B81" s="10">
        <v>2.04</v>
      </c>
      <c r="C81" s="11">
        <f t="shared" si="6"/>
        <v>5.0861784443952791</v>
      </c>
      <c r="D81" s="11">
        <f t="shared" si="7"/>
        <v>6.4605000595552919</v>
      </c>
      <c r="E81" s="12">
        <f t="shared" si="8"/>
        <v>-3.0461784443952791</v>
      </c>
      <c r="F81" s="12">
        <f t="shared" si="9"/>
        <v>-0.47150815204929547</v>
      </c>
    </row>
    <row r="82" spans="1:6" x14ac:dyDescent="0.3">
      <c r="A82" s="9">
        <v>42988</v>
      </c>
      <c r="B82" s="10">
        <v>1.38</v>
      </c>
      <c r="C82" s="11">
        <f t="shared" si="6"/>
        <v>5.0861784443952791</v>
      </c>
      <c r="D82" s="11">
        <f t="shared" si="7"/>
        <v>6.4605000595552919</v>
      </c>
      <c r="E82" s="12">
        <f t="shared" si="8"/>
        <v>-3.7061784443952792</v>
      </c>
      <c r="F82" s="12">
        <f t="shared" si="9"/>
        <v>-0.57366742670541726</v>
      </c>
    </row>
    <row r="83" spans="1:6" x14ac:dyDescent="0.3">
      <c r="A83" s="13">
        <v>43018</v>
      </c>
      <c r="B83" s="10">
        <v>0.94</v>
      </c>
      <c r="C83" s="11">
        <f t="shared" si="6"/>
        <v>5.0861784443952791</v>
      </c>
      <c r="D83" s="11">
        <f t="shared" si="7"/>
        <v>6.4605000595552919</v>
      </c>
      <c r="E83" s="12">
        <f t="shared" si="8"/>
        <v>-4.1461784443952787</v>
      </c>
      <c r="F83" s="12">
        <f t="shared" si="9"/>
        <v>-0.64177360980949838</v>
      </c>
    </row>
    <row r="84" spans="1:6" x14ac:dyDescent="0.3">
      <c r="A84" s="9">
        <v>43049</v>
      </c>
      <c r="B84" s="10">
        <v>0.98</v>
      </c>
      <c r="C84" s="11">
        <f t="shared" si="6"/>
        <v>5.0861784443952791</v>
      </c>
      <c r="D84" s="11">
        <f t="shared" si="7"/>
        <v>6.4605000595552919</v>
      </c>
      <c r="E84" s="12">
        <f t="shared" si="8"/>
        <v>-4.1061784443952796</v>
      </c>
      <c r="F84" s="12">
        <f t="shared" si="9"/>
        <v>-0.63558213861821833</v>
      </c>
    </row>
    <row r="85" spans="1:6" x14ac:dyDescent="0.3">
      <c r="A85" s="9">
        <v>43079</v>
      </c>
      <c r="B85" s="10">
        <v>1.43</v>
      </c>
      <c r="C85" s="11">
        <f t="shared" si="6"/>
        <v>5.0861784443952791</v>
      </c>
      <c r="D85" s="11">
        <f t="shared" si="7"/>
        <v>6.4605000595552919</v>
      </c>
      <c r="E85" s="12">
        <f t="shared" si="8"/>
        <v>-3.6561784443952794</v>
      </c>
      <c r="F85" s="12">
        <f t="shared" si="9"/>
        <v>-0.5659280877163172</v>
      </c>
    </row>
    <row r="86" spans="1:6" x14ac:dyDescent="0.3">
      <c r="A86" s="9">
        <v>43110</v>
      </c>
      <c r="B86" s="10">
        <v>3.52</v>
      </c>
      <c r="C86" s="11">
        <f t="shared" si="6"/>
        <v>5.0861784443952791</v>
      </c>
      <c r="D86" s="11">
        <f t="shared" si="7"/>
        <v>6.4605000595552919</v>
      </c>
      <c r="E86" s="12">
        <f t="shared" si="8"/>
        <v>-1.5661784443952791</v>
      </c>
      <c r="F86" s="12">
        <f t="shared" si="9"/>
        <v>-0.24242371797193155</v>
      </c>
    </row>
    <row r="87" spans="1:6" x14ac:dyDescent="0.3">
      <c r="A87" s="9">
        <v>43141</v>
      </c>
      <c r="B87" s="10">
        <v>2.95</v>
      </c>
      <c r="C87" s="11">
        <f t="shared" si="6"/>
        <v>5.0861784443952791</v>
      </c>
      <c r="D87" s="11">
        <f t="shared" si="7"/>
        <v>6.4605000595552919</v>
      </c>
      <c r="E87" s="12">
        <f t="shared" si="8"/>
        <v>-2.1361784443952789</v>
      </c>
      <c r="F87" s="12">
        <f t="shared" si="9"/>
        <v>-0.33065218244767303</v>
      </c>
    </row>
    <row r="88" spans="1:6" x14ac:dyDescent="0.3">
      <c r="A88" s="9">
        <v>43169</v>
      </c>
      <c r="B88" s="10">
        <v>3.13</v>
      </c>
      <c r="C88" s="11">
        <f t="shared" si="6"/>
        <v>5.0861784443952791</v>
      </c>
      <c r="D88" s="11">
        <f t="shared" si="7"/>
        <v>6.4605000595552919</v>
      </c>
      <c r="E88" s="12">
        <f t="shared" si="8"/>
        <v>-1.9561784443952792</v>
      </c>
      <c r="F88" s="12">
        <f t="shared" si="9"/>
        <v>-0.30279056208691263</v>
      </c>
    </row>
    <row r="89" spans="1:6" x14ac:dyDescent="0.3">
      <c r="A89" s="9">
        <v>43200</v>
      </c>
      <c r="B89" s="10">
        <v>3.2</v>
      </c>
      <c r="C89" s="11">
        <f t="shared" si="6"/>
        <v>5.0861784443952791</v>
      </c>
      <c r="D89" s="11">
        <f t="shared" si="7"/>
        <v>6.4605000595552919</v>
      </c>
      <c r="E89" s="12">
        <f t="shared" si="8"/>
        <v>-1.8861784443952789</v>
      </c>
      <c r="F89" s="12">
        <f t="shared" si="9"/>
        <v>-0.29195548750217237</v>
      </c>
    </row>
    <row r="90" spans="1:6" x14ac:dyDescent="0.3">
      <c r="A90" s="13">
        <v>43230</v>
      </c>
      <c r="B90" s="10">
        <v>3.87</v>
      </c>
      <c r="C90" s="11">
        <f t="shared" si="6"/>
        <v>5.0861784443952791</v>
      </c>
      <c r="D90" s="11">
        <f t="shared" si="7"/>
        <v>6.4605000595552919</v>
      </c>
      <c r="E90" s="12">
        <f t="shared" si="8"/>
        <v>-1.216178444395279</v>
      </c>
      <c r="F90" s="12">
        <f t="shared" si="9"/>
        <v>-0.1882483450482306</v>
      </c>
    </row>
    <row r="91" spans="1:6" x14ac:dyDescent="0.3">
      <c r="A91" s="9">
        <v>43261</v>
      </c>
      <c r="B91" s="10">
        <v>3.03</v>
      </c>
      <c r="C91" s="11">
        <f t="shared" si="6"/>
        <v>5.0861784443952791</v>
      </c>
      <c r="D91" s="11">
        <f t="shared" si="7"/>
        <v>6.4605000595552919</v>
      </c>
      <c r="E91" s="12">
        <f t="shared" si="8"/>
        <v>-2.0561784443952793</v>
      </c>
      <c r="F91" s="12">
        <f t="shared" si="9"/>
        <v>-0.31826924006511287</v>
      </c>
    </row>
    <row r="92" spans="1:6" x14ac:dyDescent="0.3">
      <c r="A92" s="9">
        <v>43291</v>
      </c>
      <c r="B92" s="10">
        <v>2.19</v>
      </c>
      <c r="C92" s="11">
        <f t="shared" si="6"/>
        <v>5.0861784443952791</v>
      </c>
      <c r="D92" s="11">
        <f t="shared" si="7"/>
        <v>6.4605000595552919</v>
      </c>
      <c r="E92" s="12">
        <f t="shared" si="8"/>
        <v>-2.8961784443952792</v>
      </c>
      <c r="F92" s="12">
        <f t="shared" si="9"/>
        <v>-0.44829013508199511</v>
      </c>
    </row>
    <row r="93" spans="1:6" x14ac:dyDescent="0.3">
      <c r="A93" s="9">
        <v>43322</v>
      </c>
      <c r="B93" s="10">
        <v>1.5</v>
      </c>
      <c r="C93" s="11">
        <f t="shared" si="6"/>
        <v>5.0861784443952791</v>
      </c>
      <c r="D93" s="11">
        <f t="shared" si="7"/>
        <v>6.4605000595552919</v>
      </c>
      <c r="E93" s="12">
        <f t="shared" si="8"/>
        <v>-3.5861784443952791</v>
      </c>
      <c r="F93" s="12">
        <f t="shared" si="9"/>
        <v>-0.55509301313157688</v>
      </c>
    </row>
    <row r="94" spans="1:6" x14ac:dyDescent="0.3">
      <c r="A94" s="9">
        <v>43353</v>
      </c>
      <c r="B94" s="10">
        <v>1.08</v>
      </c>
      <c r="C94" s="11">
        <f t="shared" si="6"/>
        <v>5.0861784443952791</v>
      </c>
      <c r="D94" s="11">
        <f t="shared" si="7"/>
        <v>6.4605000595552919</v>
      </c>
      <c r="E94" s="12">
        <f t="shared" si="8"/>
        <v>-4.006178444395279</v>
      </c>
      <c r="F94" s="12">
        <f t="shared" si="9"/>
        <v>-0.62010346064001798</v>
      </c>
    </row>
    <row r="95" spans="1:6" x14ac:dyDescent="0.3">
      <c r="A95" s="9">
        <v>43383</v>
      </c>
      <c r="B95" s="10">
        <v>0.79</v>
      </c>
      <c r="C95" s="11">
        <f t="shared" si="6"/>
        <v>5.0861784443952791</v>
      </c>
      <c r="D95" s="11">
        <f t="shared" si="7"/>
        <v>6.4605000595552919</v>
      </c>
      <c r="E95" s="12">
        <f t="shared" si="8"/>
        <v>-4.2961784443952791</v>
      </c>
      <c r="F95" s="12">
        <f t="shared" si="9"/>
        <v>-0.66499162677679879</v>
      </c>
    </row>
    <row r="96" spans="1:6" x14ac:dyDescent="0.3">
      <c r="A96" s="9">
        <v>43414</v>
      </c>
      <c r="B96" s="10">
        <v>0.64</v>
      </c>
      <c r="C96" s="11">
        <f t="shared" si="6"/>
        <v>5.0861784443952791</v>
      </c>
      <c r="D96" s="11">
        <f t="shared" si="7"/>
        <v>6.4605000595552919</v>
      </c>
      <c r="E96" s="12">
        <f t="shared" si="8"/>
        <v>-4.4461784443952794</v>
      </c>
      <c r="F96" s="12">
        <f t="shared" si="9"/>
        <v>-0.68820964374409921</v>
      </c>
    </row>
    <row r="97" spans="1:6" x14ac:dyDescent="0.3">
      <c r="A97" s="13">
        <v>43444</v>
      </c>
      <c r="B97" s="10">
        <v>0.57999999999999996</v>
      </c>
      <c r="C97" s="11">
        <f t="shared" si="6"/>
        <v>5.0861784443952791</v>
      </c>
      <c r="D97" s="11">
        <f t="shared" si="7"/>
        <v>6.4605000595552919</v>
      </c>
      <c r="E97" s="12">
        <f t="shared" si="8"/>
        <v>-4.506178444395279</v>
      </c>
      <c r="F97" s="12">
        <f t="shared" si="9"/>
        <v>-0.6974968505310194</v>
      </c>
    </row>
    <row r="98" spans="1:6" x14ac:dyDescent="0.3">
      <c r="A98" s="9">
        <v>43475</v>
      </c>
      <c r="B98" s="10">
        <v>0.82</v>
      </c>
      <c r="C98" s="11">
        <f t="shared" si="6"/>
        <v>5.0861784443952791</v>
      </c>
      <c r="D98" s="11">
        <f t="shared" si="7"/>
        <v>6.4605000595552919</v>
      </c>
      <c r="E98" s="12">
        <f t="shared" si="8"/>
        <v>-4.2661784443952788</v>
      </c>
      <c r="F98" s="12">
        <f t="shared" si="9"/>
        <v>-0.66034802338333864</v>
      </c>
    </row>
    <row r="99" spans="1:6" x14ac:dyDescent="0.3">
      <c r="A99" s="9">
        <v>43506</v>
      </c>
      <c r="B99" s="10">
        <v>1.71</v>
      </c>
      <c r="C99" s="11">
        <f t="shared" si="6"/>
        <v>5.0861784443952791</v>
      </c>
      <c r="D99" s="11">
        <f t="shared" si="7"/>
        <v>6.4605000595552919</v>
      </c>
      <c r="E99" s="12">
        <f t="shared" si="8"/>
        <v>-3.3761784443952791</v>
      </c>
      <c r="F99" s="12">
        <f t="shared" si="9"/>
        <v>-0.52258778937735639</v>
      </c>
    </row>
    <row r="100" spans="1:6" x14ac:dyDescent="0.3">
      <c r="A100" s="9">
        <v>43534</v>
      </c>
      <c r="B100" s="10">
        <v>3.14</v>
      </c>
      <c r="C100" s="11">
        <f t="shared" si="6"/>
        <v>5.0861784443952791</v>
      </c>
      <c r="D100" s="11">
        <f t="shared" si="7"/>
        <v>6.4605000595552919</v>
      </c>
      <c r="E100" s="12">
        <f t="shared" si="8"/>
        <v>-1.946178444395279</v>
      </c>
      <c r="F100" s="12">
        <f t="shared" si="9"/>
        <v>-0.30124269428909256</v>
      </c>
    </row>
    <row r="101" spans="1:6" x14ac:dyDescent="0.3">
      <c r="A101" s="9">
        <v>43565</v>
      </c>
      <c r="B101" s="10">
        <v>2.69</v>
      </c>
      <c r="C101" s="11">
        <f t="shared" si="6"/>
        <v>5.0861784443952791</v>
      </c>
      <c r="D101" s="11">
        <f t="shared" si="7"/>
        <v>6.4605000595552919</v>
      </c>
      <c r="E101" s="12">
        <f t="shared" si="8"/>
        <v>-2.3961784443952792</v>
      </c>
      <c r="F101" s="12">
        <f t="shared" si="9"/>
        <v>-0.37089674519099375</v>
      </c>
    </row>
    <row r="102" spans="1:6" x14ac:dyDescent="0.3">
      <c r="A102" s="9">
        <v>43595</v>
      </c>
      <c r="B102" s="10">
        <v>2.78</v>
      </c>
      <c r="C102" s="11">
        <f t="shared" si="6"/>
        <v>5.0861784443952791</v>
      </c>
      <c r="D102" s="11">
        <f t="shared" si="7"/>
        <v>6.4605000595552919</v>
      </c>
      <c r="E102" s="12">
        <f t="shared" si="8"/>
        <v>-2.3061784443952793</v>
      </c>
      <c r="F102" s="12">
        <f t="shared" si="9"/>
        <v>-0.35696593501061352</v>
      </c>
    </row>
    <row r="103" spans="1:6" x14ac:dyDescent="0.3">
      <c r="A103" s="9">
        <v>43626</v>
      </c>
      <c r="B103" s="10">
        <v>1.78</v>
      </c>
      <c r="C103" s="11">
        <f t="shared" si="6"/>
        <v>5.0861784443952791</v>
      </c>
      <c r="D103" s="11">
        <f t="shared" si="7"/>
        <v>6.4605000595552919</v>
      </c>
      <c r="E103" s="12">
        <f t="shared" si="8"/>
        <v>-3.3061784443952789</v>
      </c>
      <c r="F103" s="12">
        <f t="shared" si="9"/>
        <v>-0.51175271479261608</v>
      </c>
    </row>
    <row r="104" spans="1:6" x14ac:dyDescent="0.3">
      <c r="A104" s="13">
        <v>43656</v>
      </c>
      <c r="B104" s="10">
        <v>1.19</v>
      </c>
      <c r="C104" s="11">
        <f t="shared" si="6"/>
        <v>5.0861784443952791</v>
      </c>
      <c r="D104" s="11">
        <f t="shared" si="7"/>
        <v>6.4605000595552919</v>
      </c>
      <c r="E104" s="12">
        <f t="shared" si="8"/>
        <v>-3.8961784443952792</v>
      </c>
      <c r="F104" s="12">
        <f t="shared" si="9"/>
        <v>-0.60307691486399773</v>
      </c>
    </row>
    <row r="105" spans="1:6" x14ac:dyDescent="0.3">
      <c r="A105" s="9">
        <v>43687</v>
      </c>
      <c r="B105" s="10">
        <v>0.76300000000000001</v>
      </c>
      <c r="C105" s="11">
        <f t="shared" si="6"/>
        <v>5.0861784443952791</v>
      </c>
      <c r="D105" s="11">
        <f t="shared" si="7"/>
        <v>6.4605000595552919</v>
      </c>
      <c r="E105" s="12">
        <f t="shared" si="8"/>
        <v>-4.3231784443952792</v>
      </c>
      <c r="F105" s="12">
        <f t="shared" si="9"/>
        <v>-0.6691708698309129</v>
      </c>
    </row>
    <row r="106" spans="1:6" x14ac:dyDescent="0.3">
      <c r="A106" s="9">
        <v>43718</v>
      </c>
      <c r="B106" s="10">
        <v>0.53</v>
      </c>
      <c r="C106" s="11">
        <f t="shared" si="6"/>
        <v>5.0861784443952791</v>
      </c>
      <c r="D106" s="11">
        <f t="shared" si="7"/>
        <v>6.4605000595552919</v>
      </c>
      <c r="E106" s="12">
        <f t="shared" si="8"/>
        <v>-4.5561784443952789</v>
      </c>
      <c r="F106" s="12">
        <f t="shared" si="9"/>
        <v>-0.70523618952011946</v>
      </c>
    </row>
    <row r="107" spans="1:6" x14ac:dyDescent="0.3">
      <c r="A107" s="9">
        <v>43748</v>
      </c>
      <c r="B107" s="10">
        <v>0.41</v>
      </c>
      <c r="C107" s="11">
        <f t="shared" si="6"/>
        <v>5.0861784443952791</v>
      </c>
      <c r="D107" s="11">
        <f t="shared" si="7"/>
        <v>6.4605000595552919</v>
      </c>
      <c r="E107" s="12">
        <f t="shared" si="8"/>
        <v>-4.676178444395279</v>
      </c>
      <c r="F107" s="12">
        <f t="shared" si="9"/>
        <v>-0.72381060309395984</v>
      </c>
    </row>
    <row r="108" spans="1:6" x14ac:dyDescent="0.3">
      <c r="A108" s="9">
        <v>43779</v>
      </c>
      <c r="B108" s="10">
        <v>0.26700000000000002</v>
      </c>
      <c r="C108" s="11">
        <f t="shared" si="6"/>
        <v>5.0861784443952791</v>
      </c>
      <c r="D108" s="11">
        <f t="shared" si="7"/>
        <v>6.4605000595552919</v>
      </c>
      <c r="E108" s="12">
        <f t="shared" si="8"/>
        <v>-4.8191784443952788</v>
      </c>
      <c r="F108" s="12">
        <f t="shared" si="9"/>
        <v>-0.74594511260278618</v>
      </c>
    </row>
    <row r="109" spans="1:6" x14ac:dyDescent="0.3">
      <c r="A109" s="9">
        <v>43809</v>
      </c>
      <c r="B109" s="10">
        <v>0.46</v>
      </c>
      <c r="C109" s="11">
        <f t="shared" si="6"/>
        <v>5.0861784443952791</v>
      </c>
      <c r="D109" s="11">
        <f t="shared" si="7"/>
        <v>6.4605000595552919</v>
      </c>
      <c r="E109" s="12">
        <f t="shared" si="8"/>
        <v>-4.6261784443952791</v>
      </c>
      <c r="F109" s="12">
        <f t="shared" si="9"/>
        <v>-0.71607126410485966</v>
      </c>
    </row>
    <row r="110" spans="1:6" x14ac:dyDescent="0.3">
      <c r="A110" s="9">
        <v>43840</v>
      </c>
      <c r="B110" s="10">
        <v>0.255</v>
      </c>
      <c r="C110" s="11">
        <f t="shared" si="6"/>
        <v>5.0861784443952791</v>
      </c>
      <c r="D110" s="11">
        <f t="shared" si="7"/>
        <v>6.4605000595552919</v>
      </c>
      <c r="E110" s="12">
        <f t="shared" si="8"/>
        <v>-4.8311784443952792</v>
      </c>
      <c r="F110" s="12">
        <f t="shared" si="9"/>
        <v>-0.74780255396017026</v>
      </c>
    </row>
    <row r="111" spans="1:6" x14ac:dyDescent="0.3">
      <c r="A111" s="13">
        <v>43871</v>
      </c>
      <c r="B111" s="10">
        <v>1.38</v>
      </c>
      <c r="C111" s="11">
        <f t="shared" si="6"/>
        <v>5.0861784443952791</v>
      </c>
      <c r="D111" s="11">
        <f t="shared" si="7"/>
        <v>6.4605000595552919</v>
      </c>
      <c r="E111" s="12">
        <f t="shared" si="8"/>
        <v>-3.7061784443952792</v>
      </c>
      <c r="F111" s="12">
        <f t="shared" si="9"/>
        <v>-0.57366742670541726</v>
      </c>
    </row>
    <row r="112" spans="1:6" x14ac:dyDescent="0.3">
      <c r="A112" s="9">
        <v>43900</v>
      </c>
      <c r="B112" s="10">
        <v>2.16</v>
      </c>
      <c r="C112" s="11">
        <f t="shared" si="6"/>
        <v>5.0861784443952791</v>
      </c>
      <c r="D112" s="11">
        <f t="shared" si="7"/>
        <v>6.4605000595552919</v>
      </c>
      <c r="E112" s="12">
        <f t="shared" si="8"/>
        <v>-2.926178444395279</v>
      </c>
      <c r="F112" s="12">
        <f t="shared" si="9"/>
        <v>-0.45293373847545515</v>
      </c>
    </row>
    <row r="113" spans="1:6" x14ac:dyDescent="0.3">
      <c r="A113" s="9">
        <v>43931</v>
      </c>
      <c r="B113" s="10">
        <v>1.98</v>
      </c>
      <c r="C113" s="11">
        <f t="shared" si="6"/>
        <v>5.0861784443952791</v>
      </c>
      <c r="D113" s="11">
        <f t="shared" si="7"/>
        <v>6.4605000595552919</v>
      </c>
      <c r="E113" s="12">
        <f t="shared" si="8"/>
        <v>-3.1061784443952791</v>
      </c>
      <c r="F113" s="12">
        <f t="shared" si="9"/>
        <v>-0.48079535883621566</v>
      </c>
    </row>
    <row r="114" spans="1:6" x14ac:dyDescent="0.3">
      <c r="A114" s="9">
        <v>43961</v>
      </c>
      <c r="B114" s="10">
        <v>2.13</v>
      </c>
      <c r="C114" s="11">
        <f t="shared" si="6"/>
        <v>5.0861784443952791</v>
      </c>
      <c r="D114" s="11">
        <f t="shared" si="7"/>
        <v>6.4605000595552919</v>
      </c>
      <c r="E114" s="12">
        <f t="shared" si="8"/>
        <v>-2.9561784443952792</v>
      </c>
      <c r="F114" s="12">
        <f t="shared" si="9"/>
        <v>-0.45757734186891524</v>
      </c>
    </row>
    <row r="115" spans="1:6" x14ac:dyDescent="0.3">
      <c r="A115" s="9">
        <v>43992</v>
      </c>
      <c r="B115" s="10">
        <v>1.57</v>
      </c>
      <c r="C115" s="11">
        <f t="shared" si="6"/>
        <v>5.0861784443952791</v>
      </c>
      <c r="D115" s="11">
        <f t="shared" si="7"/>
        <v>6.4605000595552919</v>
      </c>
      <c r="E115" s="12">
        <f t="shared" si="8"/>
        <v>-3.5161784443952788</v>
      </c>
      <c r="F115" s="12">
        <f t="shared" si="9"/>
        <v>-0.54425793854683668</v>
      </c>
    </row>
    <row r="116" spans="1:6" x14ac:dyDescent="0.3">
      <c r="A116" s="9">
        <v>44022</v>
      </c>
      <c r="B116" s="10">
        <v>1.19</v>
      </c>
      <c r="C116" s="11">
        <f t="shared" si="6"/>
        <v>5.0861784443952791</v>
      </c>
      <c r="D116" s="11">
        <f t="shared" si="7"/>
        <v>6.4605000595552919</v>
      </c>
      <c r="E116" s="12">
        <f t="shared" si="8"/>
        <v>-3.8961784443952792</v>
      </c>
      <c r="F116" s="12">
        <f t="shared" si="9"/>
        <v>-0.60307691486399773</v>
      </c>
    </row>
    <row r="117" spans="1:6" x14ac:dyDescent="0.3">
      <c r="A117" s="9">
        <v>44053</v>
      </c>
      <c r="B117" s="10">
        <v>0.83</v>
      </c>
      <c r="C117" s="11">
        <f t="shared" si="6"/>
        <v>5.0861784443952791</v>
      </c>
      <c r="D117" s="11">
        <f t="shared" si="7"/>
        <v>6.4605000595552919</v>
      </c>
      <c r="E117" s="12">
        <f t="shared" si="8"/>
        <v>-4.256178444395279</v>
      </c>
      <c r="F117" s="12">
        <f t="shared" si="9"/>
        <v>-0.65880015558551863</v>
      </c>
    </row>
    <row r="118" spans="1:6" x14ac:dyDescent="0.3">
      <c r="A118" s="13">
        <v>44084</v>
      </c>
      <c r="B118" s="10">
        <v>0.59</v>
      </c>
      <c r="C118" s="11">
        <f t="shared" si="6"/>
        <v>5.0861784443952791</v>
      </c>
      <c r="D118" s="11">
        <f t="shared" si="7"/>
        <v>6.4605000595552919</v>
      </c>
      <c r="E118" s="12">
        <f t="shared" si="8"/>
        <v>-4.4961784443952793</v>
      </c>
      <c r="F118" s="12">
        <f t="shared" si="9"/>
        <v>-0.69594898273319938</v>
      </c>
    </row>
    <row r="119" spans="1:6" x14ac:dyDescent="0.3">
      <c r="A119" s="9">
        <v>44114</v>
      </c>
      <c r="B119" s="10">
        <v>0.46</v>
      </c>
      <c r="C119" s="11">
        <f t="shared" si="6"/>
        <v>5.0861784443952791</v>
      </c>
      <c r="D119" s="11">
        <f t="shared" si="7"/>
        <v>6.4605000595552919</v>
      </c>
      <c r="E119" s="12">
        <f t="shared" si="8"/>
        <v>-4.6261784443952791</v>
      </c>
      <c r="F119" s="12">
        <f t="shared" si="9"/>
        <v>-0.71607126410485966</v>
      </c>
    </row>
    <row r="120" spans="1:6" x14ac:dyDescent="0.3">
      <c r="A120" s="9">
        <v>44145</v>
      </c>
      <c r="B120" s="10">
        <v>0.60599999999999998</v>
      </c>
      <c r="C120" s="11">
        <f t="shared" si="6"/>
        <v>5.0861784443952791</v>
      </c>
      <c r="D120" s="11">
        <f t="shared" si="7"/>
        <v>6.4605000595552919</v>
      </c>
      <c r="E120" s="12">
        <f t="shared" si="8"/>
        <v>-4.4801784443952792</v>
      </c>
      <c r="F120" s="12">
        <f t="shared" si="9"/>
        <v>-0.69347239425668727</v>
      </c>
    </row>
    <row r="121" spans="1:6" x14ac:dyDescent="0.3">
      <c r="A121" s="9">
        <v>44175</v>
      </c>
      <c r="B121" s="10">
        <v>0.56000000000000005</v>
      </c>
      <c r="C121" s="11">
        <f t="shared" si="6"/>
        <v>5.0861784443952791</v>
      </c>
      <c r="D121" s="11">
        <f t="shared" si="7"/>
        <v>6.4605000595552919</v>
      </c>
      <c r="E121" s="12">
        <f t="shared" si="8"/>
        <v>-4.5261784443952795</v>
      </c>
      <c r="F121" s="12">
        <f t="shared" si="9"/>
        <v>-0.70059258612665942</v>
      </c>
    </row>
    <row r="122" spans="1:6" x14ac:dyDescent="0.3">
      <c r="A122" s="9">
        <v>44206</v>
      </c>
      <c r="B122" s="10">
        <v>0.76</v>
      </c>
      <c r="C122" s="11">
        <f t="shared" si="6"/>
        <v>5.0861784443952791</v>
      </c>
      <c r="D122" s="11">
        <f t="shared" si="7"/>
        <v>6.4605000595552919</v>
      </c>
      <c r="E122" s="12">
        <f t="shared" si="8"/>
        <v>-4.3261784443952793</v>
      </c>
      <c r="F122" s="12">
        <f t="shared" si="9"/>
        <v>-0.66963523017025894</v>
      </c>
    </row>
    <row r="123" spans="1:6" x14ac:dyDescent="0.3">
      <c r="A123" s="13">
        <v>44237</v>
      </c>
      <c r="B123" s="27">
        <v>0</v>
      </c>
      <c r="C123" s="11">
        <f t="shared" si="6"/>
        <v>5.0861784443952791</v>
      </c>
      <c r="D123" s="11">
        <f t="shared" si="7"/>
        <v>6.4605000595552919</v>
      </c>
      <c r="E123" s="12">
        <f t="shared" si="8"/>
        <v>-5.0861784443952791</v>
      </c>
      <c r="F123" s="12">
        <f t="shared" si="9"/>
        <v>-0.78727318280458092</v>
      </c>
    </row>
    <row r="124" spans="1:6" x14ac:dyDescent="0.3">
      <c r="A124" s="9">
        <v>44265</v>
      </c>
      <c r="B124" s="26">
        <v>0</v>
      </c>
      <c r="C124" s="11">
        <f t="shared" si="6"/>
        <v>5.0861784443952791</v>
      </c>
      <c r="D124" s="11">
        <f t="shared" si="7"/>
        <v>6.4605000595552919</v>
      </c>
      <c r="E124" s="12">
        <f t="shared" si="8"/>
        <v>-5.0861784443952791</v>
      </c>
      <c r="F124" s="12">
        <f t="shared" si="9"/>
        <v>-0.78727318280458092</v>
      </c>
    </row>
    <row r="125" spans="1:6" x14ac:dyDescent="0.3">
      <c r="A125" s="9">
        <v>44296</v>
      </c>
      <c r="B125" s="10">
        <v>6.02</v>
      </c>
      <c r="C125" s="11">
        <f t="shared" si="6"/>
        <v>5.0861784443952791</v>
      </c>
      <c r="D125" s="11">
        <f t="shared" si="7"/>
        <v>6.4605000595552919</v>
      </c>
      <c r="E125" s="12">
        <f t="shared" si="8"/>
        <v>0.93382155560472047</v>
      </c>
      <c r="F125" s="12">
        <f t="shared" si="9"/>
        <v>0.14454323148307502</v>
      </c>
    </row>
    <row r="126" spans="1:6" x14ac:dyDescent="0.3">
      <c r="A126" s="9">
        <v>44326</v>
      </c>
      <c r="B126" s="10">
        <v>5.24</v>
      </c>
      <c r="C126" s="11">
        <f t="shared" si="6"/>
        <v>5.0861784443952791</v>
      </c>
      <c r="D126" s="11">
        <f t="shared" si="7"/>
        <v>6.4605000595552919</v>
      </c>
      <c r="E126" s="12">
        <f t="shared" si="8"/>
        <v>0.15382155560472111</v>
      </c>
      <c r="F126" s="12">
        <f t="shared" si="9"/>
        <v>2.3809543253113043E-2</v>
      </c>
    </row>
    <row r="127" spans="1:6" x14ac:dyDescent="0.3">
      <c r="A127" s="9">
        <v>44357</v>
      </c>
      <c r="B127" s="10">
        <v>4.01</v>
      </c>
      <c r="C127" s="11">
        <f t="shared" si="6"/>
        <v>5.0861784443952791</v>
      </c>
      <c r="D127" s="11">
        <f t="shared" si="7"/>
        <v>6.4605000595552919</v>
      </c>
      <c r="E127" s="12">
        <f t="shared" si="8"/>
        <v>-1.0761784443952793</v>
      </c>
      <c r="F127" s="12">
        <f t="shared" si="9"/>
        <v>-0.16657819587875028</v>
      </c>
    </row>
    <row r="128" spans="1:6" x14ac:dyDescent="0.3">
      <c r="A128" s="9">
        <v>44387</v>
      </c>
      <c r="B128" s="10">
        <v>3.11</v>
      </c>
      <c r="C128" s="11">
        <f t="shared" si="6"/>
        <v>5.0861784443952791</v>
      </c>
      <c r="D128" s="11">
        <f t="shared" si="7"/>
        <v>6.4605000595552919</v>
      </c>
      <c r="E128" s="12">
        <f t="shared" si="8"/>
        <v>-1.9761784443952792</v>
      </c>
      <c r="F128" s="12">
        <f t="shared" si="9"/>
        <v>-0.30588629768255265</v>
      </c>
    </row>
    <row r="129" spans="1:6" x14ac:dyDescent="0.3">
      <c r="A129" s="9">
        <v>44418</v>
      </c>
      <c r="B129" s="10">
        <v>1.377</v>
      </c>
      <c r="C129" s="11">
        <f t="shared" si="6"/>
        <v>5.0861784443952791</v>
      </c>
      <c r="D129" s="11">
        <f t="shared" si="7"/>
        <v>6.4605000595552919</v>
      </c>
      <c r="E129" s="12">
        <f t="shared" si="8"/>
        <v>-3.7091784443952793</v>
      </c>
      <c r="F129" s="12">
        <f t="shared" si="9"/>
        <v>-0.57413178704476331</v>
      </c>
    </row>
    <row r="130" spans="1:6" x14ac:dyDescent="0.3">
      <c r="A130" s="9">
        <v>44449</v>
      </c>
      <c r="B130" s="10">
        <v>1.0169999999999999</v>
      </c>
      <c r="C130" s="11">
        <f t="shared" si="6"/>
        <v>5.0861784443952791</v>
      </c>
      <c r="D130" s="11">
        <f t="shared" si="7"/>
        <v>6.4605000595552919</v>
      </c>
      <c r="E130" s="12">
        <f t="shared" si="8"/>
        <v>-4.0691784443952788</v>
      </c>
      <c r="F130" s="12">
        <f t="shared" si="9"/>
        <v>-0.6298550277662841</v>
      </c>
    </row>
    <row r="131" spans="1:6" x14ac:dyDescent="0.3">
      <c r="A131" s="9">
        <v>44479</v>
      </c>
      <c r="B131" s="3">
        <v>0.84</v>
      </c>
      <c r="C131" s="11">
        <f t="shared" ref="C131:C172" si="10">AVERAGE($B$2:$B$172)</f>
        <v>5.0861784443952791</v>
      </c>
      <c r="D131" s="11">
        <f t="shared" ref="D131:D172" si="11">_xlfn.STDEV.S($B$2:$B$172)</f>
        <v>6.4605000595552919</v>
      </c>
      <c r="E131" s="12">
        <f t="shared" ref="E131:E171" si="12">B131-C131</f>
        <v>-4.2461784443952793</v>
      </c>
      <c r="F131" s="12">
        <f t="shared" ref="F131:F171" si="13">E131/D131</f>
        <v>-0.65725228778769873</v>
      </c>
    </row>
    <row r="132" spans="1:6" x14ac:dyDescent="0.3">
      <c r="A132" s="9">
        <v>44510</v>
      </c>
      <c r="B132" s="19">
        <v>0.88</v>
      </c>
      <c r="C132" s="11">
        <f t="shared" si="10"/>
        <v>5.0861784443952791</v>
      </c>
      <c r="D132" s="11">
        <f t="shared" si="11"/>
        <v>6.4605000595552919</v>
      </c>
      <c r="E132" s="12">
        <f t="shared" si="12"/>
        <v>-4.2061784443952792</v>
      </c>
      <c r="F132" s="12">
        <f t="shared" si="13"/>
        <v>-0.65106081659641857</v>
      </c>
    </row>
    <row r="133" spans="1:6" x14ac:dyDescent="0.3">
      <c r="A133" s="9">
        <v>44540</v>
      </c>
      <c r="B133" s="3">
        <v>1.48</v>
      </c>
      <c r="C133" s="11">
        <f t="shared" si="10"/>
        <v>5.0861784443952791</v>
      </c>
      <c r="D133" s="11">
        <f t="shared" si="11"/>
        <v>6.4605000595552919</v>
      </c>
      <c r="E133" s="12">
        <f t="shared" si="12"/>
        <v>-3.6061784443952791</v>
      </c>
      <c r="F133" s="12">
        <f t="shared" si="13"/>
        <v>-0.55818874872721702</v>
      </c>
    </row>
    <row r="134" spans="1:6" x14ac:dyDescent="0.3">
      <c r="A134" s="9">
        <v>44571</v>
      </c>
      <c r="B134" s="3">
        <v>4.46</v>
      </c>
      <c r="C134" s="11">
        <f t="shared" si="10"/>
        <v>5.0861784443952791</v>
      </c>
      <c r="D134" s="11">
        <f t="shared" si="11"/>
        <v>6.4605000595552919</v>
      </c>
      <c r="E134" s="12">
        <f t="shared" si="12"/>
        <v>-0.62617844439527914</v>
      </c>
      <c r="F134" s="12">
        <f t="shared" si="13"/>
        <v>-9.6924144976849064E-2</v>
      </c>
    </row>
    <row r="135" spans="1:6" x14ac:dyDescent="0.3">
      <c r="A135" s="9">
        <v>44602</v>
      </c>
      <c r="B135" s="3">
        <v>9.59</v>
      </c>
      <c r="C135" s="11">
        <f t="shared" si="10"/>
        <v>5.0861784443952791</v>
      </c>
      <c r="D135" s="11">
        <f t="shared" si="11"/>
        <v>6.4605000595552919</v>
      </c>
      <c r="E135" s="12">
        <f t="shared" si="12"/>
        <v>4.5038215556047207</v>
      </c>
      <c r="F135" s="12">
        <f t="shared" si="13"/>
        <v>0.69713203530482448</v>
      </c>
    </row>
    <row r="136" spans="1:6" x14ac:dyDescent="0.3">
      <c r="A136" s="9">
        <v>44630</v>
      </c>
      <c r="B136" s="3">
        <v>10.42</v>
      </c>
      <c r="C136" s="11">
        <f t="shared" si="10"/>
        <v>5.0861784443952791</v>
      </c>
      <c r="D136" s="11">
        <f t="shared" si="11"/>
        <v>6.4605000595552919</v>
      </c>
      <c r="E136" s="12">
        <f t="shared" si="12"/>
        <v>5.3338215556047208</v>
      </c>
      <c r="F136" s="12">
        <f t="shared" si="13"/>
        <v>0.82560506252388677</v>
      </c>
    </row>
    <row r="137" spans="1:6" x14ac:dyDescent="0.3">
      <c r="A137" s="9">
        <v>44661</v>
      </c>
      <c r="B137" s="3">
        <v>8.2100000000000009</v>
      </c>
      <c r="C137" s="11">
        <f t="shared" si="10"/>
        <v>5.0861784443952791</v>
      </c>
      <c r="D137" s="11">
        <f t="shared" si="11"/>
        <v>6.4605000595552919</v>
      </c>
      <c r="E137" s="12">
        <f t="shared" si="12"/>
        <v>3.1238215556047217</v>
      </c>
      <c r="F137" s="12">
        <f t="shared" si="13"/>
        <v>0.48352627920566105</v>
      </c>
    </row>
    <row r="138" spans="1:6" x14ac:dyDescent="0.3">
      <c r="A138" s="9">
        <v>44691</v>
      </c>
      <c r="B138" s="3">
        <v>7.89</v>
      </c>
      <c r="C138" s="11">
        <f t="shared" si="10"/>
        <v>5.0861784443952791</v>
      </c>
      <c r="D138" s="11">
        <f t="shared" si="11"/>
        <v>6.4605000595552919</v>
      </c>
      <c r="E138" s="12">
        <f t="shared" si="12"/>
        <v>2.8038215556047206</v>
      </c>
      <c r="F138" s="12">
        <f t="shared" si="13"/>
        <v>0.43399450967541997</v>
      </c>
    </row>
    <row r="139" spans="1:6" x14ac:dyDescent="0.3">
      <c r="A139" s="9">
        <v>44722</v>
      </c>
      <c r="B139" s="3">
        <v>8.31</v>
      </c>
      <c r="C139" s="11">
        <f t="shared" si="10"/>
        <v>5.0861784443952791</v>
      </c>
      <c r="D139" s="11">
        <f t="shared" si="11"/>
        <v>6.4605000595552919</v>
      </c>
      <c r="E139" s="12">
        <f t="shared" si="12"/>
        <v>3.2238215556047214</v>
      </c>
      <c r="F139" s="12">
        <f t="shared" si="13"/>
        <v>0.49900495718386123</v>
      </c>
    </row>
    <row r="140" spans="1:6" x14ac:dyDescent="0.3">
      <c r="A140" s="9">
        <v>44752</v>
      </c>
      <c r="B140" s="3">
        <v>7.18</v>
      </c>
      <c r="C140" s="11">
        <f t="shared" si="10"/>
        <v>5.0861784443952791</v>
      </c>
      <c r="D140" s="11">
        <f t="shared" si="11"/>
        <v>6.4605000595552919</v>
      </c>
      <c r="E140" s="12">
        <f t="shared" si="12"/>
        <v>2.0938215556047206</v>
      </c>
      <c r="F140" s="12">
        <f t="shared" si="13"/>
        <v>0.32409589603019812</v>
      </c>
    </row>
    <row r="141" spans="1:6" x14ac:dyDescent="0.3">
      <c r="A141" s="9">
        <v>44783</v>
      </c>
      <c r="B141" s="3">
        <v>5.39</v>
      </c>
      <c r="C141" s="11">
        <f t="shared" si="10"/>
        <v>5.0861784443952791</v>
      </c>
      <c r="D141" s="11">
        <f t="shared" si="11"/>
        <v>6.4605000595552919</v>
      </c>
      <c r="E141" s="12">
        <f t="shared" si="12"/>
        <v>0.30382155560472057</v>
      </c>
      <c r="F141" s="12">
        <f t="shared" si="13"/>
        <v>4.7027560220413357E-2</v>
      </c>
    </row>
    <row r="142" spans="1:6" x14ac:dyDescent="0.3">
      <c r="A142" s="9">
        <v>44814</v>
      </c>
      <c r="B142" s="3">
        <v>3.2730000000000001</v>
      </c>
      <c r="C142" s="11">
        <f t="shared" si="10"/>
        <v>5.0861784443952791</v>
      </c>
      <c r="D142" s="11">
        <f t="shared" si="11"/>
        <v>6.4605000595552919</v>
      </c>
      <c r="E142" s="12">
        <f t="shared" si="12"/>
        <v>-1.813178444395279</v>
      </c>
      <c r="F142" s="12">
        <f t="shared" si="13"/>
        <v>-0.28065605257808618</v>
      </c>
    </row>
    <row r="143" spans="1:6" x14ac:dyDescent="0.3">
      <c r="A143" s="13">
        <v>44844</v>
      </c>
      <c r="B143" s="4">
        <v>1.866346774193548</v>
      </c>
      <c r="C143" s="11">
        <f t="shared" si="10"/>
        <v>5.0861784443952791</v>
      </c>
      <c r="D143" s="11">
        <f t="shared" si="11"/>
        <v>6.4605000595552919</v>
      </c>
      <c r="E143" s="12">
        <f t="shared" si="12"/>
        <v>-3.2198316702017311</v>
      </c>
      <c r="F143" s="12">
        <f t="shared" si="13"/>
        <v>-0.49838737567063313</v>
      </c>
    </row>
    <row r="144" spans="1:6" x14ac:dyDescent="0.3">
      <c r="A144" s="9">
        <v>44875</v>
      </c>
      <c r="B144" s="4">
        <v>2.5736666666666665</v>
      </c>
      <c r="C144" s="11">
        <f t="shared" si="10"/>
        <v>5.0861784443952791</v>
      </c>
      <c r="D144" s="11">
        <f t="shared" si="11"/>
        <v>6.4605000595552919</v>
      </c>
      <c r="E144" s="12">
        <f t="shared" si="12"/>
        <v>-2.5125117777286126</v>
      </c>
      <c r="F144" s="12">
        <f t="shared" si="13"/>
        <v>-0.38890360723896678</v>
      </c>
    </row>
    <row r="145" spans="1:6" x14ac:dyDescent="0.3">
      <c r="A145" s="9">
        <v>44905</v>
      </c>
      <c r="B145" s="4">
        <v>4.2254838709677411</v>
      </c>
      <c r="C145" s="11">
        <f t="shared" si="10"/>
        <v>5.0861784443952791</v>
      </c>
      <c r="D145" s="11">
        <f t="shared" si="11"/>
        <v>6.4605000595552919</v>
      </c>
      <c r="E145" s="12">
        <f t="shared" si="12"/>
        <v>-0.86069457342753797</v>
      </c>
      <c r="F145" s="12">
        <f t="shared" si="13"/>
        <v>-0.13322414139669303</v>
      </c>
    </row>
    <row r="146" spans="1:6" x14ac:dyDescent="0.3">
      <c r="A146" s="9">
        <v>44936</v>
      </c>
      <c r="B146" s="4">
        <v>9.7606451612903218</v>
      </c>
      <c r="C146" s="11">
        <f t="shared" si="10"/>
        <v>5.0861784443952791</v>
      </c>
      <c r="D146" s="11">
        <f t="shared" si="11"/>
        <v>6.4605000595552919</v>
      </c>
      <c r="E146" s="12">
        <f t="shared" si="12"/>
        <v>4.6744667168950427</v>
      </c>
      <c r="F146" s="12">
        <f t="shared" si="13"/>
        <v>0.72354565030633389</v>
      </c>
    </row>
    <row r="147" spans="1:6" x14ac:dyDescent="0.3">
      <c r="A147" s="9">
        <v>44967</v>
      </c>
      <c r="B147" s="4">
        <v>10.080833333333333</v>
      </c>
      <c r="C147" s="11">
        <f t="shared" si="10"/>
        <v>5.0861784443952791</v>
      </c>
      <c r="D147" s="11">
        <f t="shared" si="11"/>
        <v>6.4605000595552919</v>
      </c>
      <c r="E147" s="12">
        <f t="shared" si="12"/>
        <v>4.9946548889380535</v>
      </c>
      <c r="F147" s="12">
        <f t="shared" si="13"/>
        <v>0.77310654638115739</v>
      </c>
    </row>
    <row r="148" spans="1:6" x14ac:dyDescent="0.3">
      <c r="A148" s="9">
        <v>44995</v>
      </c>
      <c r="B148" s="4">
        <v>36.547256202863643</v>
      </c>
      <c r="C148" s="11">
        <f t="shared" si="10"/>
        <v>5.0861784443952791</v>
      </c>
      <c r="D148" s="11">
        <f t="shared" si="11"/>
        <v>6.4605000595552919</v>
      </c>
      <c r="E148" s="12">
        <f t="shared" si="12"/>
        <v>31.461077758468363</v>
      </c>
      <c r="F148" s="12">
        <f t="shared" si="13"/>
        <v>4.8697589147045042</v>
      </c>
    </row>
    <row r="149" spans="1:6" x14ac:dyDescent="0.3">
      <c r="A149" s="9">
        <v>45026</v>
      </c>
      <c r="B149" s="4">
        <v>32.240046804571428</v>
      </c>
      <c r="C149" s="11">
        <f t="shared" si="10"/>
        <v>5.0861784443952791</v>
      </c>
      <c r="D149" s="11">
        <f t="shared" si="11"/>
        <v>6.4605000595552919</v>
      </c>
      <c r="E149" s="12">
        <f t="shared" si="12"/>
        <v>27.153868360176148</v>
      </c>
      <c r="F149" s="12">
        <f t="shared" si="13"/>
        <v>4.2030598420960752</v>
      </c>
    </row>
    <row r="150" spans="1:6" x14ac:dyDescent="0.3">
      <c r="A150" s="9">
        <v>45056</v>
      </c>
      <c r="B150" s="4">
        <v>27.110274192903226</v>
      </c>
      <c r="C150" s="11">
        <f t="shared" si="10"/>
        <v>5.0861784443952791</v>
      </c>
      <c r="D150" s="11">
        <f t="shared" si="11"/>
        <v>6.4605000595552919</v>
      </c>
      <c r="E150" s="12">
        <f t="shared" si="12"/>
        <v>22.024095748507946</v>
      </c>
      <c r="F150" s="12">
        <f t="shared" si="13"/>
        <v>3.4090388585220404</v>
      </c>
    </row>
    <row r="151" spans="1:6" x14ac:dyDescent="0.3">
      <c r="A151" s="9">
        <v>45087</v>
      </c>
      <c r="B151" s="4">
        <v>14.956819390645162</v>
      </c>
      <c r="C151" s="11">
        <f t="shared" si="10"/>
        <v>5.0861784443952791</v>
      </c>
      <c r="D151" s="11">
        <f t="shared" si="11"/>
        <v>6.4605000595552919</v>
      </c>
      <c r="E151" s="12">
        <f t="shared" si="12"/>
        <v>9.8706409462498819</v>
      </c>
      <c r="F151" s="12">
        <f t="shared" si="13"/>
        <v>1.5278447264543988</v>
      </c>
    </row>
    <row r="152" spans="1:6" x14ac:dyDescent="0.3">
      <c r="A152" s="9">
        <v>45117</v>
      </c>
      <c r="B152" s="20">
        <v>13.539577956677418</v>
      </c>
      <c r="C152" s="11">
        <f t="shared" si="10"/>
        <v>5.0861784443952791</v>
      </c>
      <c r="D152" s="11">
        <f t="shared" si="11"/>
        <v>6.4605000595552919</v>
      </c>
      <c r="E152" s="12">
        <f t="shared" si="12"/>
        <v>8.4533995122821395</v>
      </c>
      <c r="F152" s="12">
        <f t="shared" si="13"/>
        <v>1.3084744887169042</v>
      </c>
    </row>
    <row r="153" spans="1:6" x14ac:dyDescent="0.3">
      <c r="A153" s="9">
        <v>45148</v>
      </c>
      <c r="B153" s="4">
        <v>7.7173709677096793</v>
      </c>
      <c r="C153" s="11">
        <f t="shared" si="10"/>
        <v>5.0861784443952791</v>
      </c>
      <c r="D153" s="11">
        <f t="shared" si="11"/>
        <v>6.4605000595552919</v>
      </c>
      <c r="E153" s="12">
        <f t="shared" si="12"/>
        <v>2.6311925233144002</v>
      </c>
      <c r="F153" s="12">
        <f t="shared" si="13"/>
        <v>0.40727381767031795</v>
      </c>
    </row>
    <row r="154" spans="1:6" x14ac:dyDescent="0.3">
      <c r="A154" s="9">
        <v>45179</v>
      </c>
      <c r="B154" s="4">
        <v>0.92</v>
      </c>
      <c r="C154" s="11">
        <f t="shared" si="10"/>
        <v>5.0861784443952791</v>
      </c>
      <c r="D154" s="11">
        <f t="shared" si="11"/>
        <v>6.4605000595552919</v>
      </c>
      <c r="E154" s="12">
        <f t="shared" si="12"/>
        <v>-4.1661784443952792</v>
      </c>
      <c r="F154" s="12">
        <f t="shared" si="13"/>
        <v>-0.64486934540513852</v>
      </c>
    </row>
    <row r="155" spans="1:6" x14ac:dyDescent="0.3">
      <c r="A155" s="9">
        <v>45209</v>
      </c>
      <c r="B155" s="4">
        <v>1.23</v>
      </c>
      <c r="C155" s="11">
        <f t="shared" si="10"/>
        <v>5.0861784443952791</v>
      </c>
      <c r="D155" s="11">
        <f t="shared" si="11"/>
        <v>6.4605000595552919</v>
      </c>
      <c r="E155" s="12">
        <f t="shared" si="12"/>
        <v>-3.8561784443952791</v>
      </c>
      <c r="F155" s="12">
        <f t="shared" si="13"/>
        <v>-0.59688544367271767</v>
      </c>
    </row>
    <row r="156" spans="1:6" x14ac:dyDescent="0.3">
      <c r="A156" s="9">
        <v>45240</v>
      </c>
      <c r="B156" s="4">
        <v>1.32</v>
      </c>
      <c r="C156" s="11">
        <f t="shared" si="10"/>
        <v>5.0861784443952791</v>
      </c>
      <c r="D156" s="11">
        <f t="shared" si="11"/>
        <v>6.4605000595552919</v>
      </c>
      <c r="E156" s="12">
        <f t="shared" si="12"/>
        <v>-3.7661784443952788</v>
      </c>
      <c r="F156" s="12">
        <f t="shared" si="13"/>
        <v>-0.58295463349233734</v>
      </c>
    </row>
    <row r="157" spans="1:6" x14ac:dyDescent="0.3">
      <c r="A157" s="9">
        <v>45270</v>
      </c>
      <c r="B157" s="4">
        <v>3.8780407852687659</v>
      </c>
      <c r="C157" s="11">
        <f t="shared" si="10"/>
        <v>5.0861784443952791</v>
      </c>
      <c r="D157" s="11">
        <f t="shared" si="11"/>
        <v>6.4605000595552919</v>
      </c>
      <c r="E157" s="12">
        <f t="shared" si="12"/>
        <v>-1.2081376591265132</v>
      </c>
      <c r="F157" s="12">
        <f t="shared" si="13"/>
        <v>-0.18700373778955978</v>
      </c>
    </row>
    <row r="158" spans="1:6" x14ac:dyDescent="0.3">
      <c r="A158" s="9">
        <v>45301</v>
      </c>
      <c r="B158" s="4">
        <v>19.278204529800266</v>
      </c>
      <c r="C158" s="11">
        <f t="shared" si="10"/>
        <v>5.0861784443952791</v>
      </c>
      <c r="D158" s="11">
        <f t="shared" si="11"/>
        <v>6.4605000595552919</v>
      </c>
      <c r="E158" s="12">
        <f t="shared" si="12"/>
        <v>14.192026085404986</v>
      </c>
      <c r="F158" s="12">
        <f t="shared" si="13"/>
        <v>2.1967380163420187</v>
      </c>
    </row>
    <row r="159" spans="1:6" x14ac:dyDescent="0.3">
      <c r="A159" s="9">
        <v>45332</v>
      </c>
      <c r="B159" s="4">
        <v>13.630342203299291</v>
      </c>
      <c r="C159" s="11">
        <f t="shared" si="10"/>
        <v>5.0861784443952791</v>
      </c>
      <c r="D159" s="11">
        <f t="shared" si="11"/>
        <v>6.4605000595552919</v>
      </c>
      <c r="E159" s="12">
        <f t="shared" si="12"/>
        <v>8.5441637589040127</v>
      </c>
      <c r="F159" s="12">
        <f t="shared" si="13"/>
        <v>1.3225235941708435</v>
      </c>
    </row>
    <row r="160" spans="1:6" x14ac:dyDescent="0.3">
      <c r="A160" s="9">
        <v>45361</v>
      </c>
      <c r="B160" s="4">
        <v>9.4355191514021168</v>
      </c>
      <c r="C160" s="11">
        <f t="shared" si="10"/>
        <v>5.0861784443952791</v>
      </c>
      <c r="D160" s="11">
        <f t="shared" si="11"/>
        <v>6.4605000595552919</v>
      </c>
      <c r="E160" s="12">
        <f t="shared" si="12"/>
        <v>4.3493407070068377</v>
      </c>
      <c r="F160" s="12">
        <f t="shared" si="13"/>
        <v>0.6732204422123671</v>
      </c>
    </row>
    <row r="161" spans="1:6" x14ac:dyDescent="0.3">
      <c r="A161" s="9">
        <v>45392</v>
      </c>
      <c r="B161" s="4">
        <v>5.68</v>
      </c>
      <c r="C161" s="11">
        <f t="shared" si="10"/>
        <v>5.0861784443952791</v>
      </c>
      <c r="D161" s="11">
        <f t="shared" si="11"/>
        <v>6.4605000595552919</v>
      </c>
      <c r="E161" s="12">
        <f t="shared" si="12"/>
        <v>0.59382155560472061</v>
      </c>
      <c r="F161" s="12">
        <f t="shared" si="13"/>
        <v>9.1915726357194139E-2</v>
      </c>
    </row>
    <row r="162" spans="1:6" x14ac:dyDescent="0.3">
      <c r="A162" s="9">
        <v>45422</v>
      </c>
      <c r="B162" s="4">
        <v>4.67</v>
      </c>
      <c r="C162" s="11">
        <f t="shared" si="10"/>
        <v>5.0861784443952791</v>
      </c>
      <c r="D162" s="11">
        <f t="shared" si="11"/>
        <v>6.4605000595552919</v>
      </c>
      <c r="E162" s="12">
        <f t="shared" si="12"/>
        <v>-0.41617844439527918</v>
      </c>
      <c r="F162" s="12">
        <f t="shared" si="13"/>
        <v>-6.4418921222628517E-2</v>
      </c>
    </row>
    <row r="163" spans="1:6" x14ac:dyDescent="0.3">
      <c r="A163" s="9">
        <v>45453</v>
      </c>
      <c r="B163" s="4">
        <v>3.05</v>
      </c>
      <c r="C163" s="11">
        <f t="shared" si="10"/>
        <v>5.0861784443952791</v>
      </c>
      <c r="D163" s="11">
        <f t="shared" si="11"/>
        <v>6.4605000595552919</v>
      </c>
      <c r="E163" s="12">
        <f t="shared" si="12"/>
        <v>-2.0361784443952793</v>
      </c>
      <c r="F163" s="12">
        <f t="shared" si="13"/>
        <v>-0.31517350446947284</v>
      </c>
    </row>
    <row r="164" spans="1:6" x14ac:dyDescent="0.3">
      <c r="A164" s="9">
        <v>45483</v>
      </c>
      <c r="B164" s="21">
        <v>2.09</v>
      </c>
      <c r="C164" s="11">
        <f t="shared" si="10"/>
        <v>5.0861784443952791</v>
      </c>
      <c r="D164" s="11">
        <f t="shared" si="11"/>
        <v>6.4605000595552919</v>
      </c>
      <c r="E164" s="12">
        <f t="shared" si="12"/>
        <v>-2.9961784443952793</v>
      </c>
      <c r="F164" s="12">
        <f t="shared" si="13"/>
        <v>-0.46376881306019535</v>
      </c>
    </row>
    <row r="165" spans="1:6" x14ac:dyDescent="0.3">
      <c r="A165" s="9">
        <v>45514</v>
      </c>
      <c r="B165" s="22">
        <v>1.73</v>
      </c>
      <c r="C165" s="11">
        <f t="shared" si="10"/>
        <v>5.0861784443952791</v>
      </c>
      <c r="D165" s="11">
        <f t="shared" si="11"/>
        <v>6.4605000595552919</v>
      </c>
      <c r="E165" s="12">
        <f t="shared" si="12"/>
        <v>-3.3561784443952791</v>
      </c>
      <c r="F165" s="12">
        <f t="shared" si="13"/>
        <v>-0.51949205378171626</v>
      </c>
    </row>
    <row r="166" spans="1:6" x14ac:dyDescent="0.3">
      <c r="A166" s="9">
        <v>45545</v>
      </c>
      <c r="B166" s="23">
        <v>1.4159999999999999</v>
      </c>
      <c r="C166" s="11">
        <f t="shared" si="10"/>
        <v>5.0861784443952791</v>
      </c>
      <c r="D166" s="11">
        <f t="shared" si="11"/>
        <v>6.4605000595552919</v>
      </c>
      <c r="E166" s="12">
        <f t="shared" si="12"/>
        <v>-3.6701784443952792</v>
      </c>
      <c r="F166" s="12">
        <f t="shared" si="13"/>
        <v>-0.56809510263326513</v>
      </c>
    </row>
    <row r="167" spans="1:6" x14ac:dyDescent="0.3">
      <c r="A167" s="9">
        <v>45575</v>
      </c>
      <c r="B167" s="23">
        <v>1.165516</v>
      </c>
      <c r="C167" s="11">
        <f t="shared" si="10"/>
        <v>5.0861784443952791</v>
      </c>
      <c r="D167" s="11">
        <f t="shared" si="11"/>
        <v>6.4605000595552919</v>
      </c>
      <c r="E167" s="12">
        <f t="shared" si="12"/>
        <v>-3.9206624443952789</v>
      </c>
      <c r="F167" s="12">
        <f t="shared" si="13"/>
        <v>-0.60686671438018025</v>
      </c>
    </row>
    <row r="168" spans="1:6" x14ac:dyDescent="0.3">
      <c r="A168" s="9">
        <v>45606</v>
      </c>
      <c r="B168" s="24">
        <v>1.05</v>
      </c>
      <c r="C168" s="11">
        <f t="shared" si="10"/>
        <v>5.0861784443952791</v>
      </c>
      <c r="D168" s="11">
        <f t="shared" si="11"/>
        <v>6.4605000595552919</v>
      </c>
      <c r="E168" s="12">
        <f t="shared" si="12"/>
        <v>-4.0361784443952793</v>
      </c>
      <c r="F168" s="12">
        <f t="shared" si="13"/>
        <v>-0.62474706403347813</v>
      </c>
    </row>
    <row r="169" spans="1:6" x14ac:dyDescent="0.3">
      <c r="A169" s="9">
        <v>45636</v>
      </c>
      <c r="B169" s="25">
        <v>1.2566999999999999</v>
      </c>
      <c r="C169" s="11">
        <f t="shared" si="10"/>
        <v>5.0861784443952791</v>
      </c>
      <c r="D169" s="11">
        <f t="shared" si="11"/>
        <v>6.4605000595552919</v>
      </c>
      <c r="E169" s="12">
        <f t="shared" si="12"/>
        <v>-3.8294784443952792</v>
      </c>
      <c r="F169" s="12">
        <f t="shared" si="13"/>
        <v>-0.59275263665253819</v>
      </c>
    </row>
    <row r="170" spans="1:6" x14ac:dyDescent="0.3">
      <c r="A170" s="9">
        <v>45667</v>
      </c>
      <c r="B170" s="25">
        <v>4.899</v>
      </c>
      <c r="C170" s="11">
        <f t="shared" si="10"/>
        <v>5.0861784443952791</v>
      </c>
      <c r="D170" s="11">
        <f t="shared" si="11"/>
        <v>6.4605000595552919</v>
      </c>
      <c r="E170" s="12">
        <f t="shared" si="12"/>
        <v>-0.18717844439527909</v>
      </c>
      <c r="F170" s="12">
        <f t="shared" si="13"/>
        <v>-2.8972748652549892E-2</v>
      </c>
    </row>
    <row r="171" spans="1:6" x14ac:dyDescent="0.3">
      <c r="A171" s="9">
        <v>45698</v>
      </c>
      <c r="B171" s="25">
        <v>5.13</v>
      </c>
      <c r="C171" s="11">
        <f t="shared" si="10"/>
        <v>5.0861784443952791</v>
      </c>
      <c r="D171" s="11">
        <f t="shared" si="11"/>
        <v>6.4605000595552919</v>
      </c>
      <c r="E171" s="12">
        <f t="shared" si="12"/>
        <v>4.3821555604720785E-2</v>
      </c>
      <c r="F171" s="12">
        <f t="shared" si="13"/>
        <v>6.7829974770927002E-3</v>
      </c>
    </row>
    <row r="172" spans="1:6" x14ac:dyDescent="0.3">
      <c r="A172" s="18">
        <v>45735</v>
      </c>
      <c r="B172" s="25">
        <v>0.59887000000000001</v>
      </c>
      <c r="C172" s="11">
        <f t="shared" si="10"/>
        <v>5.0861784443952791</v>
      </c>
      <c r="D172" s="11">
        <f t="shared" si="11"/>
        <v>6.4605000595552919</v>
      </c>
      <c r="E172" s="12">
        <f t="shared" ref="E172" si="14">B172-C172</f>
        <v>-4.4873084443952793</v>
      </c>
      <c r="F172" s="12">
        <f t="shared" ref="F172" si="15">E172/D172</f>
        <v>-0.69457602399653295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Crocodile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2025-10-01T00:00:20Z</dcterms:modified>
  <cp:category/>
  <cp:contentStatus/>
</cp:coreProperties>
</file>