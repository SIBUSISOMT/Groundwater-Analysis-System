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OneDrive\Desktop\"/>
    </mc:Choice>
  </mc:AlternateContent>
  <xr:revisionPtr revIDLastSave="0" documentId="8_{65236DCE-3094-402F-A21C-1D4C2293DEE2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Sheet 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2" i="7" l="1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162" i="7"/>
  <c r="C163" i="7"/>
  <c r="C164" i="7"/>
  <c r="C165" i="7"/>
  <c r="C166" i="7"/>
  <c r="C167" i="7"/>
  <c r="C168" i="7"/>
  <c r="C169" i="7"/>
  <c r="C170" i="7"/>
  <c r="C171" i="7"/>
  <c r="C172" i="7"/>
  <c r="C142" i="7"/>
  <c r="C143" i="7"/>
  <c r="C144" i="7"/>
  <c r="C146" i="7"/>
  <c r="C148" i="7"/>
  <c r="C149" i="7"/>
  <c r="C150" i="7"/>
  <c r="C151" i="7"/>
  <c r="C152" i="7"/>
  <c r="C153" i="7"/>
  <c r="C154" i="7"/>
  <c r="C155" i="7"/>
  <c r="C156" i="7"/>
  <c r="C158" i="7"/>
  <c r="C159" i="7"/>
  <c r="C160" i="7"/>
  <c r="C161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47" i="7"/>
  <c r="C48" i="7"/>
  <c r="C49" i="7"/>
  <c r="C50" i="7"/>
  <c r="C51" i="7"/>
  <c r="C40" i="7"/>
  <c r="C41" i="7"/>
  <c r="C42" i="7"/>
  <c r="C43" i="7"/>
  <c r="C44" i="7"/>
  <c r="C45" i="7"/>
  <c r="C46" i="7"/>
  <c r="C34" i="7"/>
  <c r="C35" i="7"/>
  <c r="C36" i="7"/>
  <c r="C37" i="7"/>
  <c r="C38" i="7"/>
  <c r="C39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2" i="7"/>
  <c r="B145" i="7" l="1"/>
  <c r="C145" i="7" s="1"/>
  <c r="B147" i="7"/>
  <c r="C147" i="7" s="1"/>
  <c r="B157" i="7"/>
  <c r="C157" i="7" s="1"/>
  <c r="E9" i="7" l="1"/>
  <c r="E17" i="7"/>
  <c r="E25" i="7"/>
  <c r="E33" i="7"/>
  <c r="E41" i="7"/>
  <c r="E49" i="7"/>
  <c r="E57" i="7"/>
  <c r="E65" i="7"/>
  <c r="E73" i="7"/>
  <c r="E81" i="7"/>
  <c r="E89" i="7"/>
  <c r="E97" i="7"/>
  <c r="E105" i="7"/>
  <c r="E113" i="7"/>
  <c r="E121" i="7"/>
  <c r="E129" i="7"/>
  <c r="E137" i="7"/>
  <c r="E145" i="7"/>
  <c r="E153" i="7"/>
  <c r="E161" i="7"/>
  <c r="E169" i="7"/>
  <c r="D6" i="7"/>
  <c r="D14" i="7"/>
  <c r="D22" i="7"/>
  <c r="F22" i="7" s="1"/>
  <c r="D30" i="7"/>
  <c r="D38" i="7"/>
  <c r="D46" i="7"/>
  <c r="D54" i="7"/>
  <c r="D62" i="7"/>
  <c r="F62" i="7" s="1"/>
  <c r="D70" i="7"/>
  <c r="D78" i="7"/>
  <c r="D86" i="7"/>
  <c r="F86" i="7" s="1"/>
  <c r="D94" i="7"/>
  <c r="D102" i="7"/>
  <c r="D110" i="7"/>
  <c r="D118" i="7"/>
  <c r="D126" i="7"/>
  <c r="F126" i="7" s="1"/>
  <c r="D134" i="7"/>
  <c r="D142" i="7"/>
  <c r="D150" i="7"/>
  <c r="F150" i="7" s="1"/>
  <c r="D158" i="7"/>
  <c r="D166" i="7"/>
  <c r="F166" i="7" s="1"/>
  <c r="E21" i="7"/>
  <c r="E37" i="7"/>
  <c r="E77" i="7"/>
  <c r="E101" i="7"/>
  <c r="E133" i="7"/>
  <c r="E2" i="7"/>
  <c r="D42" i="7"/>
  <c r="D74" i="7"/>
  <c r="D106" i="7"/>
  <c r="D130" i="7"/>
  <c r="D162" i="7"/>
  <c r="F162" i="7" s="1"/>
  <c r="D21" i="7"/>
  <c r="D69" i="7"/>
  <c r="D117" i="7"/>
  <c r="F117" i="7" s="1"/>
  <c r="G117" i="7" s="1"/>
  <c r="D165" i="7"/>
  <c r="F165" i="7" s="1"/>
  <c r="E10" i="7"/>
  <c r="E18" i="7"/>
  <c r="E26" i="7"/>
  <c r="E34" i="7"/>
  <c r="E42" i="7"/>
  <c r="E50" i="7"/>
  <c r="E58" i="7"/>
  <c r="E66" i="7"/>
  <c r="E74" i="7"/>
  <c r="E82" i="7"/>
  <c r="E90" i="7"/>
  <c r="E98" i="7"/>
  <c r="E106" i="7"/>
  <c r="E114" i="7"/>
  <c r="E122" i="7"/>
  <c r="E130" i="7"/>
  <c r="E138" i="7"/>
  <c r="E146" i="7"/>
  <c r="E154" i="7"/>
  <c r="E162" i="7"/>
  <c r="E170" i="7"/>
  <c r="D7" i="7"/>
  <c r="D15" i="7"/>
  <c r="F15" i="7" s="1"/>
  <c r="G15" i="7" s="1"/>
  <c r="D23" i="7"/>
  <c r="D31" i="7"/>
  <c r="D39" i="7"/>
  <c r="D47" i="7"/>
  <c r="D55" i="7"/>
  <c r="F55" i="7" s="1"/>
  <c r="D63" i="7"/>
  <c r="D71" i="7"/>
  <c r="D79" i="7"/>
  <c r="F79" i="7" s="1"/>
  <c r="D87" i="7"/>
  <c r="D95" i="7"/>
  <c r="D103" i="7"/>
  <c r="D111" i="7"/>
  <c r="D119" i="7"/>
  <c r="F119" i="7" s="1"/>
  <c r="D127" i="7"/>
  <c r="D135" i="7"/>
  <c r="D143" i="7"/>
  <c r="F143" i="7" s="1"/>
  <c r="G143" i="7" s="1"/>
  <c r="D151" i="7"/>
  <c r="D159" i="7"/>
  <c r="D167" i="7"/>
  <c r="F167" i="7" s="1"/>
  <c r="E29" i="7"/>
  <c r="E61" i="7"/>
  <c r="E93" i="7"/>
  <c r="E125" i="7"/>
  <c r="E157" i="7"/>
  <c r="D18" i="7"/>
  <c r="D50" i="7"/>
  <c r="D82" i="7"/>
  <c r="D114" i="7"/>
  <c r="D146" i="7"/>
  <c r="F146" i="7" s="1"/>
  <c r="G146" i="7" s="1"/>
  <c r="D170" i="7"/>
  <c r="F170" i="7" s="1"/>
  <c r="G170" i="7" s="1"/>
  <c r="D13" i="7"/>
  <c r="D61" i="7"/>
  <c r="F61" i="7" s="1"/>
  <c r="D109" i="7"/>
  <c r="D157" i="7"/>
  <c r="E3" i="7"/>
  <c r="E11" i="7"/>
  <c r="E19" i="7"/>
  <c r="E27" i="7"/>
  <c r="E35" i="7"/>
  <c r="E43" i="7"/>
  <c r="E51" i="7"/>
  <c r="E59" i="7"/>
  <c r="E67" i="7"/>
  <c r="E75" i="7"/>
  <c r="E83" i="7"/>
  <c r="E91" i="7"/>
  <c r="E99" i="7"/>
  <c r="E107" i="7"/>
  <c r="E115" i="7"/>
  <c r="E123" i="7"/>
  <c r="E131" i="7"/>
  <c r="E139" i="7"/>
  <c r="E147" i="7"/>
  <c r="E155" i="7"/>
  <c r="E163" i="7"/>
  <c r="E171" i="7"/>
  <c r="D8" i="7"/>
  <c r="D16" i="7"/>
  <c r="D24" i="7"/>
  <c r="D32" i="7"/>
  <c r="D40" i="7"/>
  <c r="F40" i="7" s="1"/>
  <c r="D48" i="7"/>
  <c r="D56" i="7"/>
  <c r="D64" i="7"/>
  <c r="F64" i="7" s="1"/>
  <c r="G64" i="7" s="1"/>
  <c r="D72" i="7"/>
  <c r="D80" i="7"/>
  <c r="D88" i="7"/>
  <c r="D96" i="7"/>
  <c r="D104" i="7"/>
  <c r="F104" i="7" s="1"/>
  <c r="D112" i="7"/>
  <c r="D120" i="7"/>
  <c r="D128" i="7"/>
  <c r="F128" i="7" s="1"/>
  <c r="G128" i="7" s="1"/>
  <c r="D136" i="7"/>
  <c r="D144" i="7"/>
  <c r="D152" i="7"/>
  <c r="D160" i="7"/>
  <c r="D168" i="7"/>
  <c r="F168" i="7" s="1"/>
  <c r="G168" i="7" s="1"/>
  <c r="D161" i="7"/>
  <c r="E5" i="7"/>
  <c r="E53" i="7"/>
  <c r="G53" i="7" s="1"/>
  <c r="E85" i="7"/>
  <c r="E117" i="7"/>
  <c r="E149" i="7"/>
  <c r="D10" i="7"/>
  <c r="D26" i="7"/>
  <c r="F26" i="7" s="1"/>
  <c r="G26" i="7" s="1"/>
  <c r="D58" i="7"/>
  <c r="D90" i="7"/>
  <c r="D122" i="7"/>
  <c r="F122" i="7" s="1"/>
  <c r="G122" i="7" s="1"/>
  <c r="D154" i="7"/>
  <c r="E168" i="7"/>
  <c r="D53" i="7"/>
  <c r="D101" i="7"/>
  <c r="D149" i="7"/>
  <c r="F149" i="7" s="1"/>
  <c r="E4" i="7"/>
  <c r="E12" i="7"/>
  <c r="E20" i="7"/>
  <c r="E28" i="7"/>
  <c r="E36" i="7"/>
  <c r="E44" i="7"/>
  <c r="E52" i="7"/>
  <c r="E60" i="7"/>
  <c r="E68" i="7"/>
  <c r="E76" i="7"/>
  <c r="E84" i="7"/>
  <c r="E92" i="7"/>
  <c r="E100" i="7"/>
  <c r="E108" i="7"/>
  <c r="E116" i="7"/>
  <c r="E124" i="7"/>
  <c r="E132" i="7"/>
  <c r="E140" i="7"/>
  <c r="E148" i="7"/>
  <c r="E156" i="7"/>
  <c r="E164" i="7"/>
  <c r="E172" i="7"/>
  <c r="D9" i="7"/>
  <c r="D17" i="7"/>
  <c r="F17" i="7" s="1"/>
  <c r="G17" i="7" s="1"/>
  <c r="D25" i="7"/>
  <c r="D33" i="7"/>
  <c r="D41" i="7"/>
  <c r="F41" i="7" s="1"/>
  <c r="G41" i="7" s="1"/>
  <c r="D49" i="7"/>
  <c r="D57" i="7"/>
  <c r="D65" i="7"/>
  <c r="D73" i="7"/>
  <c r="D81" i="7"/>
  <c r="F81" i="7" s="1"/>
  <c r="G81" i="7" s="1"/>
  <c r="D89" i="7"/>
  <c r="D97" i="7"/>
  <c r="D105" i="7"/>
  <c r="F105" i="7" s="1"/>
  <c r="G105" i="7" s="1"/>
  <c r="D113" i="7"/>
  <c r="D121" i="7"/>
  <c r="D129" i="7"/>
  <c r="D137" i="7"/>
  <c r="D145" i="7"/>
  <c r="F145" i="7" s="1"/>
  <c r="D153" i="7"/>
  <c r="D169" i="7"/>
  <c r="F169" i="7" s="1"/>
  <c r="E13" i="7"/>
  <c r="E45" i="7"/>
  <c r="E69" i="7"/>
  <c r="E109" i="7"/>
  <c r="E141" i="7"/>
  <c r="E165" i="7"/>
  <c r="D34" i="7"/>
  <c r="D66" i="7"/>
  <c r="D98" i="7"/>
  <c r="D138" i="7"/>
  <c r="E160" i="7"/>
  <c r="D37" i="7"/>
  <c r="D85" i="7"/>
  <c r="D133" i="7"/>
  <c r="F133" i="7" s="1"/>
  <c r="E6" i="7"/>
  <c r="E14" i="7"/>
  <c r="E22" i="7"/>
  <c r="E30" i="7"/>
  <c r="E38" i="7"/>
  <c r="E46" i="7"/>
  <c r="E54" i="7"/>
  <c r="E62" i="7"/>
  <c r="E70" i="7"/>
  <c r="E78" i="7"/>
  <c r="E86" i="7"/>
  <c r="E94" i="7"/>
  <c r="E102" i="7"/>
  <c r="E110" i="7"/>
  <c r="E118" i="7"/>
  <c r="E126" i="7"/>
  <c r="E134" i="7"/>
  <c r="E142" i="7"/>
  <c r="E150" i="7"/>
  <c r="E158" i="7"/>
  <c r="E166" i="7"/>
  <c r="D3" i="7"/>
  <c r="D11" i="7"/>
  <c r="D19" i="7"/>
  <c r="F19" i="7" s="1"/>
  <c r="G19" i="7" s="1"/>
  <c r="D27" i="7"/>
  <c r="D35" i="7"/>
  <c r="D43" i="7"/>
  <c r="F43" i="7" s="1"/>
  <c r="G43" i="7" s="1"/>
  <c r="D51" i="7"/>
  <c r="D59" i="7"/>
  <c r="D67" i="7"/>
  <c r="D75" i="7"/>
  <c r="D83" i="7"/>
  <c r="F83" i="7" s="1"/>
  <c r="G83" i="7" s="1"/>
  <c r="D91" i="7"/>
  <c r="D99" i="7"/>
  <c r="D107" i="7"/>
  <c r="F107" i="7" s="1"/>
  <c r="G107" i="7" s="1"/>
  <c r="D115" i="7"/>
  <c r="D123" i="7"/>
  <c r="D131" i="7"/>
  <c r="D139" i="7"/>
  <c r="D147" i="7"/>
  <c r="D155" i="7"/>
  <c r="D163" i="7"/>
  <c r="D171" i="7"/>
  <c r="F171" i="7" s="1"/>
  <c r="G171" i="7" s="1"/>
  <c r="E16" i="7"/>
  <c r="E32" i="7"/>
  <c r="E48" i="7"/>
  <c r="E64" i="7"/>
  <c r="E80" i="7"/>
  <c r="E96" i="7"/>
  <c r="E120" i="7"/>
  <c r="E136" i="7"/>
  <c r="E152" i="7"/>
  <c r="D29" i="7"/>
  <c r="D77" i="7"/>
  <c r="D125" i="7"/>
  <c r="D2" i="7"/>
  <c r="F2" i="7" s="1"/>
  <c r="E7" i="7"/>
  <c r="E15" i="7"/>
  <c r="E23" i="7"/>
  <c r="E31" i="7"/>
  <c r="E39" i="7"/>
  <c r="E47" i="7"/>
  <c r="E55" i="7"/>
  <c r="E63" i="7"/>
  <c r="E71" i="7"/>
  <c r="E79" i="7"/>
  <c r="E87" i="7"/>
  <c r="E95" i="7"/>
  <c r="E103" i="7"/>
  <c r="E111" i="7"/>
  <c r="E119" i="7"/>
  <c r="E127" i="7"/>
  <c r="E135" i="7"/>
  <c r="E143" i="7"/>
  <c r="E151" i="7"/>
  <c r="E159" i="7"/>
  <c r="E167" i="7"/>
  <c r="D4" i="7"/>
  <c r="D12" i="7"/>
  <c r="D20" i="7"/>
  <c r="F20" i="7" s="1"/>
  <c r="D28" i="7"/>
  <c r="D36" i="7"/>
  <c r="D44" i="7"/>
  <c r="F44" i="7" s="1"/>
  <c r="G44" i="7" s="1"/>
  <c r="D52" i="7"/>
  <c r="D60" i="7"/>
  <c r="D68" i="7"/>
  <c r="D76" i="7"/>
  <c r="D84" i="7"/>
  <c r="F84" i="7" s="1"/>
  <c r="D92" i="7"/>
  <c r="D100" i="7"/>
  <c r="D108" i="7"/>
  <c r="D116" i="7"/>
  <c r="D124" i="7"/>
  <c r="D132" i="7"/>
  <c r="D140" i="7"/>
  <c r="D148" i="7"/>
  <c r="F148" i="7" s="1"/>
  <c r="D156" i="7"/>
  <c r="D164" i="7"/>
  <c r="D172" i="7"/>
  <c r="F172" i="7" s="1"/>
  <c r="G172" i="7" s="1"/>
  <c r="E8" i="7"/>
  <c r="E24" i="7"/>
  <c r="E40" i="7"/>
  <c r="E56" i="7"/>
  <c r="E72" i="7"/>
  <c r="E88" i="7"/>
  <c r="E104" i="7"/>
  <c r="E112" i="7"/>
  <c r="E128" i="7"/>
  <c r="E144" i="7"/>
  <c r="D5" i="7"/>
  <c r="D45" i="7"/>
  <c r="D93" i="7"/>
  <c r="F93" i="7" s="1"/>
  <c r="D141" i="7"/>
  <c r="F85" i="7"/>
  <c r="G85" i="7" s="1"/>
  <c r="F21" i="7"/>
  <c r="G21" i="7" s="1"/>
  <c r="F53" i="7"/>
  <c r="F109" i="7"/>
  <c r="F127" i="7"/>
  <c r="F95" i="7"/>
  <c r="F31" i="7"/>
  <c r="F151" i="7"/>
  <c r="F87" i="7"/>
  <c r="F23" i="7"/>
  <c r="F99" i="7"/>
  <c r="F28" i="7"/>
  <c r="G28" i="7" s="1"/>
  <c r="F60" i="7"/>
  <c r="G60" i="7" s="1"/>
  <c r="F92" i="7"/>
  <c r="G92" i="7" s="1"/>
  <c r="F116" i="7"/>
  <c r="G116" i="7" s="1"/>
  <c r="F156" i="7"/>
  <c r="G156" i="7" s="1"/>
  <c r="F52" i="7"/>
  <c r="G52" i="7" s="1"/>
  <c r="F100" i="7"/>
  <c r="F164" i="7"/>
  <c r="G164" i="7" s="1"/>
  <c r="F138" i="7"/>
  <c r="G138" i="7" s="1"/>
  <c r="F154" i="7"/>
  <c r="G154" i="7" s="1"/>
  <c r="F140" i="7"/>
  <c r="F12" i="7"/>
  <c r="F76" i="7"/>
  <c r="G76" i="7" s="1"/>
  <c r="F108" i="7"/>
  <c r="G108" i="7" s="1"/>
  <c r="F4" i="7"/>
  <c r="G4" i="7" s="1"/>
  <c r="F36" i="7"/>
  <c r="F132" i="7"/>
  <c r="G132" i="7" s="1"/>
  <c r="F77" i="7"/>
  <c r="F13" i="7"/>
  <c r="F45" i="7"/>
  <c r="F29" i="7"/>
  <c r="F5" i="7"/>
  <c r="G5" i="7" s="1"/>
  <c r="F111" i="7"/>
  <c r="F135" i="7"/>
  <c r="F103" i="7"/>
  <c r="F71" i="7"/>
  <c r="G71" i="7" s="1"/>
  <c r="F39" i="7"/>
  <c r="G39" i="7" s="1"/>
  <c r="F7" i="7"/>
  <c r="G7" i="7" s="1"/>
  <c r="F141" i="7"/>
  <c r="G141" i="7" s="1"/>
  <c r="F124" i="7"/>
  <c r="F68" i="7"/>
  <c r="G68" i="7" s="1"/>
  <c r="F47" i="7"/>
  <c r="F157" i="7"/>
  <c r="F101" i="7"/>
  <c r="G101" i="7" s="1"/>
  <c r="F69" i="7"/>
  <c r="G69" i="7" s="1"/>
  <c r="F37" i="7"/>
  <c r="G37" i="7" s="1"/>
  <c r="F125" i="7"/>
  <c r="G125" i="7" s="1"/>
  <c r="F159" i="7"/>
  <c r="G159" i="7" s="1"/>
  <c r="F63" i="7"/>
  <c r="F158" i="7"/>
  <c r="G158" i="7" s="1"/>
  <c r="F142" i="7"/>
  <c r="G142" i="7" s="1"/>
  <c r="F134" i="7"/>
  <c r="F118" i="7"/>
  <c r="G118" i="7" s="1"/>
  <c r="F110" i="7"/>
  <c r="G110" i="7" s="1"/>
  <c r="F102" i="7"/>
  <c r="G102" i="7" s="1"/>
  <c r="F94" i="7"/>
  <c r="G94" i="7" s="1"/>
  <c r="F78" i="7"/>
  <c r="G78" i="7" s="1"/>
  <c r="F70" i="7"/>
  <c r="F54" i="7"/>
  <c r="G54" i="7" s="1"/>
  <c r="F46" i="7"/>
  <c r="G46" i="7" s="1"/>
  <c r="F38" i="7"/>
  <c r="G38" i="7" s="1"/>
  <c r="F30" i="7"/>
  <c r="G30" i="7" s="1"/>
  <c r="F14" i="7"/>
  <c r="G14" i="7" s="1"/>
  <c r="F6" i="7"/>
  <c r="G6" i="7" s="1"/>
  <c r="F163" i="7"/>
  <c r="G163" i="7" s="1"/>
  <c r="F155" i="7"/>
  <c r="F147" i="7"/>
  <c r="G147" i="7" s="1"/>
  <c r="F139" i="7"/>
  <c r="G139" i="7" s="1"/>
  <c r="F131" i="7"/>
  <c r="G131" i="7" s="1"/>
  <c r="F123" i="7"/>
  <c r="G123" i="7" s="1"/>
  <c r="F115" i="7"/>
  <c r="G115" i="7" s="1"/>
  <c r="F91" i="7"/>
  <c r="F75" i="7"/>
  <c r="G75" i="7" s="1"/>
  <c r="F67" i="7"/>
  <c r="G67" i="7" s="1"/>
  <c r="F59" i="7"/>
  <c r="G59" i="7" s="1"/>
  <c r="F51" i="7"/>
  <c r="G51" i="7" s="1"/>
  <c r="F35" i="7"/>
  <c r="F27" i="7"/>
  <c r="F11" i="7"/>
  <c r="G11" i="7" s="1"/>
  <c r="F3" i="7"/>
  <c r="G3" i="7" s="1"/>
  <c r="F130" i="7"/>
  <c r="G130" i="7" s="1"/>
  <c r="F114" i="7"/>
  <c r="G114" i="7" s="1"/>
  <c r="F106" i="7"/>
  <c r="G106" i="7" s="1"/>
  <c r="F98" i="7"/>
  <c r="F90" i="7"/>
  <c r="G90" i="7" s="1"/>
  <c r="F82" i="7"/>
  <c r="G82" i="7" s="1"/>
  <c r="F74" i="7"/>
  <c r="G74" i="7" s="1"/>
  <c r="F66" i="7"/>
  <c r="G66" i="7" s="1"/>
  <c r="F58" i="7"/>
  <c r="F50" i="7"/>
  <c r="G50" i="7" s="1"/>
  <c r="F42" i="7"/>
  <c r="G42" i="7" s="1"/>
  <c r="F34" i="7"/>
  <c r="F18" i="7"/>
  <c r="G18" i="7" s="1"/>
  <c r="F10" i="7"/>
  <c r="G10" i="7" s="1"/>
  <c r="F161" i="7"/>
  <c r="F153" i="7"/>
  <c r="G153" i="7" s="1"/>
  <c r="F137" i="7"/>
  <c r="G137" i="7" s="1"/>
  <c r="F129" i="7"/>
  <c r="F121" i="7"/>
  <c r="G121" i="7" s="1"/>
  <c r="F113" i="7"/>
  <c r="G113" i="7" s="1"/>
  <c r="F97" i="7"/>
  <c r="G97" i="7" s="1"/>
  <c r="F89" i="7"/>
  <c r="G89" i="7" s="1"/>
  <c r="F73" i="7"/>
  <c r="G73" i="7" s="1"/>
  <c r="F65" i="7"/>
  <c r="F57" i="7"/>
  <c r="G57" i="7" s="1"/>
  <c r="F49" i="7"/>
  <c r="G49" i="7" s="1"/>
  <c r="F33" i="7"/>
  <c r="G33" i="7" s="1"/>
  <c r="F25" i="7"/>
  <c r="G25" i="7" s="1"/>
  <c r="F9" i="7"/>
  <c r="G9" i="7" s="1"/>
  <c r="F160" i="7"/>
  <c r="F152" i="7"/>
  <c r="G152" i="7" s="1"/>
  <c r="F144" i="7"/>
  <c r="G144" i="7" s="1"/>
  <c r="F136" i="7"/>
  <c r="F120" i="7"/>
  <c r="G120" i="7" s="1"/>
  <c r="F112" i="7"/>
  <c r="F96" i="7"/>
  <c r="G96" i="7" s="1"/>
  <c r="F88" i="7"/>
  <c r="G88" i="7" s="1"/>
  <c r="F80" i="7"/>
  <c r="F72" i="7"/>
  <c r="F56" i="7"/>
  <c r="G56" i="7" s="1"/>
  <c r="F48" i="7"/>
  <c r="G48" i="7" s="1"/>
  <c r="F32" i="7"/>
  <c r="F24" i="7"/>
  <c r="G24" i="7" s="1"/>
  <c r="F16" i="7"/>
  <c r="G16" i="7" s="1"/>
  <c r="F8" i="7"/>
  <c r="G8" i="7" s="1"/>
  <c r="G151" i="7" l="1"/>
  <c r="G148" i="7"/>
  <c r="G84" i="7"/>
  <c r="G20" i="7"/>
  <c r="G104" i="7"/>
  <c r="G40" i="7"/>
  <c r="G119" i="7"/>
  <c r="G55" i="7"/>
  <c r="G162" i="7"/>
  <c r="G126" i="7"/>
  <c r="G62" i="7"/>
  <c r="G22" i="7"/>
  <c r="G150" i="7"/>
  <c r="G58" i="7"/>
  <c r="G13" i="7"/>
  <c r="G169" i="7"/>
  <c r="G112" i="7"/>
  <c r="G77" i="7"/>
  <c r="G23" i="7"/>
  <c r="G72" i="7"/>
  <c r="G136" i="7"/>
  <c r="G167" i="7"/>
  <c r="G80" i="7"/>
  <c r="G166" i="7"/>
  <c r="G65" i="7"/>
  <c r="G129" i="7"/>
  <c r="G63" i="7"/>
  <c r="G165" i="7"/>
  <c r="G27" i="7"/>
  <c r="G111" i="7"/>
  <c r="G29" i="7"/>
  <c r="G35" i="7"/>
  <c r="G99" i="7"/>
  <c r="G155" i="7"/>
  <c r="G32" i="7"/>
  <c r="G160" i="7"/>
  <c r="G70" i="7"/>
  <c r="G134" i="7"/>
  <c r="G149" i="7"/>
  <c r="G103" i="7"/>
  <c r="G36" i="7"/>
  <c r="G45" i="7"/>
  <c r="G79" i="7"/>
  <c r="G91" i="7"/>
  <c r="G87" i="7"/>
  <c r="G145" i="7"/>
  <c r="G157" i="7"/>
  <c r="G124" i="7"/>
  <c r="G135" i="7"/>
  <c r="G109" i="7"/>
  <c r="G86" i="7"/>
  <c r="G93" i="7"/>
  <c r="G31" i="7"/>
  <c r="G12" i="7"/>
  <c r="G140" i="7"/>
  <c r="G161" i="7"/>
  <c r="G47" i="7"/>
  <c r="G95" i="7"/>
  <c r="G34" i="7"/>
  <c r="G98" i="7"/>
  <c r="G2" i="7"/>
  <c r="G127" i="7"/>
  <c r="G61" i="7"/>
  <c r="G100" i="7"/>
  <c r="G13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<sst xmlns="http://schemas.openxmlformats.org/spreadsheetml/2006/main" count="6" uniqueCount="6">
  <si>
    <t>Recharge</t>
  </si>
  <si>
    <t>Recharge (inches)</t>
  </si>
  <si>
    <t>Average recharge</t>
  </si>
  <si>
    <t>STDEV</t>
  </si>
  <si>
    <t>Date</t>
  </si>
  <si>
    <t xml:space="preserve">Standardized recharge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</si>
</sst>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7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4" borderId="3" applyNumberFormat="0" applyAlignment="0" applyProtection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18">
    <xf numFmtId="0" fontId="0" fillId="0" borderId="0" xfId="0"/>
    <xf numFmtId="0" fontId="0" fillId="3" borderId="1" xfId="0" applyFill="1" applyBorder="1"/>
    <xf numFmtId="165" fontId="0" fillId="3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0" borderId="0" xfId="0" applyAlignment="1">
      <alignment horizontal="center"/>
    </xf>
    <xf numFmtId="0" fontId="0" fillId="5" borderId="1" xfId="0" applyFill="1" applyBorder="1"/>
    <xf numFmtId="165" fontId="1" fillId="5" borderId="1" xfId="0" applyNumberFormat="1" applyFon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0" fontId="0" fillId="2" borderId="4" xfId="0" applyFill="1" applyBorder="1"/>
    <xf numFmtId="165" fontId="1" fillId="3" borderId="4" xfId="0" applyNumberFormat="1" applyFont="1" applyFill="1" applyBorder="1"/>
    <xf numFmtId="0" fontId="0" fillId="3" borderId="4" xfId="0" applyFill="1" applyBorder="1"/>
    <xf numFmtId="0" fontId="5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7" fontId="6" fillId="0" borderId="0" xfId="0" applyNumberFormat="1" applyFont="1" applyAlignment="1">
      <alignment horizontal="center"/>
    </xf>
    <xf numFmtId="165" fontId="1" fillId="3" borderId="1" xfId="0" applyNumberFormat="1" applyFont="1" applyFill="1" applyBorder="1"/>
    <xf numFmtId="167" fontId="1" fillId="5" borderId="2" xfId="0" applyNumberFormat="1" applyFont="1" applyFill="1" applyBorder="1" applyAlignment="1">
      <alignment horizontal="center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I172"/>
  <sheetViews>
    <sheetView tabSelected="1" zoomScale="103" zoomScaleNormal="100" workbookViewId="0">
      <selection activeCell="J13" sqref="J13"/>
    </sheetView>
  </sheetViews>
  <sheetFormatPr defaultRowHeight="14.4" x14ac:dyDescent="0.3"/>
  <cols>
    <col min="1" max="1" width="15.5546875" style="9" customWidth="1"/>
    <col min="2" max="2" width="18.6640625" style="1" customWidth="1"/>
    <col min="3" max="3" width="19.5546875" style="12" customWidth="1"/>
    <col min="4" max="4" width="22.88671875" style="1" customWidth="1"/>
    <col min="5" max="5" width="16" style="1" customWidth="1"/>
    <col min="6" max="6" width="13.6640625" style="1" customWidth="1"/>
    <col min="7" max="7" width="30.77734375" style="1" customWidth="1"/>
  </cols>
  <sheetData>
    <row r="1" spans="1:9" x14ac:dyDescent="0.3">
      <c r="A1" s="8" t="s">
        <v>4</v>
      </c>
      <c r="B1" s="3" t="s">
        <v>1</v>
      </c>
      <c r="C1" s="10" t="s">
        <v>0</v>
      </c>
      <c r="D1" s="4" t="s">
        <v>2</v>
      </c>
      <c r="E1" s="4" t="s">
        <v>3</v>
      </c>
      <c r="F1" s="3"/>
      <c r="G1" s="3" t="s">
        <v>5</v>
      </c>
      <c r="H1" s="13"/>
      <c r="I1" s="13"/>
    </row>
    <row r="2" spans="1:9" x14ac:dyDescent="0.3">
      <c r="A2" s="17">
        <f>DATE(2011,1,1)</f>
        <v>40544</v>
      </c>
      <c r="B2" s="6">
        <v>0.11</v>
      </c>
      <c r="C2" s="11">
        <f>B2*25.4</f>
        <v>2.794</v>
      </c>
      <c r="D2" s="2">
        <f>AVERAGE($C$2:$C$172)</f>
        <v>1.257374269005848</v>
      </c>
      <c r="E2" s="2">
        <f>_xlfn.STDEV.S($C$2:$C$172)</f>
        <v>2.5798292465687851</v>
      </c>
      <c r="F2" s="2">
        <f>C2-D2</f>
        <v>1.536625730994152</v>
      </c>
      <c r="G2" s="1">
        <f>F2/E2</f>
        <v>0.59563078953302406</v>
      </c>
      <c r="H2" s="14"/>
      <c r="I2" s="15"/>
    </row>
    <row r="3" spans="1:9" x14ac:dyDescent="0.3">
      <c r="A3" s="17">
        <f>DATE(2011,2,1)</f>
        <v>40575</v>
      </c>
      <c r="B3" s="6">
        <v>0.01</v>
      </c>
      <c r="C3" s="11">
        <f t="shared" ref="C3:C66" si="0">B3*25.4</f>
        <v>0.254</v>
      </c>
      <c r="D3" s="2">
        <f t="shared" ref="D3:D66" si="1">AVERAGE($C$2:$C$172)</f>
        <v>1.257374269005848</v>
      </c>
      <c r="E3" s="2">
        <f t="shared" ref="E3:E66" si="2">_xlfn.STDEV.S($C$2:$C$172)</f>
        <v>2.5798292465687851</v>
      </c>
      <c r="F3" s="2">
        <f t="shared" ref="F3:F66" si="3">C3-D3</f>
        <v>-1.003374269005848</v>
      </c>
      <c r="G3" s="1">
        <f t="shared" ref="G3:G66" si="4">F3/E3</f>
        <v>-0.38893049621030235</v>
      </c>
      <c r="H3" s="14"/>
      <c r="I3" s="15"/>
    </row>
    <row r="4" spans="1:9" x14ac:dyDescent="0.3">
      <c r="A4" s="17">
        <f>DATE(2011,3,1)</f>
        <v>40603</v>
      </c>
      <c r="B4" s="6">
        <v>7.0000000000000007E-2</v>
      </c>
      <c r="C4" s="11">
        <f t="shared" si="0"/>
        <v>1.778</v>
      </c>
      <c r="D4" s="2">
        <f t="shared" si="1"/>
        <v>1.257374269005848</v>
      </c>
      <c r="E4" s="2">
        <f t="shared" si="2"/>
        <v>2.5798292465687851</v>
      </c>
      <c r="F4" s="2">
        <f t="shared" si="3"/>
        <v>0.52062573099415199</v>
      </c>
      <c r="G4" s="1">
        <f t="shared" si="4"/>
        <v>0.20180627523569347</v>
      </c>
      <c r="H4" s="14"/>
      <c r="I4" s="15"/>
    </row>
    <row r="5" spans="1:9" x14ac:dyDescent="0.3">
      <c r="A5" s="17">
        <f>DATE(2011,4,1)</f>
        <v>40634</v>
      </c>
      <c r="B5" s="6">
        <v>0.05</v>
      </c>
      <c r="C5" s="11">
        <f t="shared" si="0"/>
        <v>1.27</v>
      </c>
      <c r="D5" s="2">
        <f t="shared" si="1"/>
        <v>1.257374269005848</v>
      </c>
      <c r="E5" s="2">
        <f t="shared" si="2"/>
        <v>2.5798292465687851</v>
      </c>
      <c r="F5" s="2">
        <f t="shared" si="3"/>
        <v>1.2625730994151985E-2</v>
      </c>
      <c r="G5" s="1">
        <f t="shared" si="4"/>
        <v>4.8940180870282067E-3</v>
      </c>
      <c r="H5" s="14"/>
      <c r="I5" s="15"/>
    </row>
    <row r="6" spans="1:9" x14ac:dyDescent="0.3">
      <c r="A6" s="17">
        <f>DATE(2011,5,1)</f>
        <v>40664</v>
      </c>
      <c r="B6" s="6">
        <v>0.03</v>
      </c>
      <c r="C6" s="11">
        <f t="shared" si="0"/>
        <v>0.7619999999999999</v>
      </c>
      <c r="D6" s="2">
        <f t="shared" si="1"/>
        <v>1.257374269005848</v>
      </c>
      <c r="E6" s="2">
        <f t="shared" si="2"/>
        <v>2.5798292465687851</v>
      </c>
      <c r="F6" s="2">
        <f t="shared" si="3"/>
        <v>-0.49537426900584813</v>
      </c>
      <c r="G6" s="1">
        <f t="shared" si="4"/>
        <v>-0.19201823906163712</v>
      </c>
      <c r="H6" s="14"/>
      <c r="I6" s="15"/>
    </row>
    <row r="7" spans="1:9" x14ac:dyDescent="0.3">
      <c r="A7" s="17">
        <f>DATE(2011,6,1)</f>
        <v>40695</v>
      </c>
      <c r="B7" s="6">
        <v>0.01</v>
      </c>
      <c r="C7" s="11">
        <f t="shared" si="0"/>
        <v>0.254</v>
      </c>
      <c r="D7" s="2">
        <f t="shared" si="1"/>
        <v>1.257374269005848</v>
      </c>
      <c r="E7" s="2">
        <f t="shared" si="2"/>
        <v>2.5798292465687851</v>
      </c>
      <c r="F7" s="2">
        <f t="shared" si="3"/>
        <v>-1.003374269005848</v>
      </c>
      <c r="G7" s="1">
        <f t="shared" si="4"/>
        <v>-0.38893049621030235</v>
      </c>
      <c r="H7" s="14"/>
      <c r="I7" s="15"/>
    </row>
    <row r="8" spans="1:9" x14ac:dyDescent="0.3">
      <c r="A8" s="17">
        <f>DATE(2011,7,1)</f>
        <v>40725</v>
      </c>
      <c r="B8" s="6">
        <v>0.03</v>
      </c>
      <c r="C8" s="11">
        <f t="shared" si="0"/>
        <v>0.7619999999999999</v>
      </c>
      <c r="D8" s="2">
        <f t="shared" si="1"/>
        <v>1.257374269005848</v>
      </c>
      <c r="E8" s="2">
        <f t="shared" si="2"/>
        <v>2.5798292465687851</v>
      </c>
      <c r="F8" s="2">
        <f t="shared" si="3"/>
        <v>-0.49537426900584813</v>
      </c>
      <c r="G8" s="1">
        <f t="shared" si="4"/>
        <v>-0.19201823906163712</v>
      </c>
      <c r="H8" s="14"/>
      <c r="I8" s="15"/>
    </row>
    <row r="9" spans="1:9" x14ac:dyDescent="0.3">
      <c r="A9" s="17">
        <f>DATE(2011,8,1)</f>
        <v>40756</v>
      </c>
      <c r="B9" s="6">
        <v>0.01</v>
      </c>
      <c r="C9" s="11">
        <f t="shared" si="0"/>
        <v>0.254</v>
      </c>
      <c r="D9" s="2">
        <f t="shared" si="1"/>
        <v>1.257374269005848</v>
      </c>
      <c r="E9" s="2">
        <f t="shared" si="2"/>
        <v>2.5798292465687851</v>
      </c>
      <c r="F9" s="2">
        <f t="shared" si="3"/>
        <v>-1.003374269005848</v>
      </c>
      <c r="G9" s="1">
        <f t="shared" si="4"/>
        <v>-0.38893049621030235</v>
      </c>
      <c r="H9" s="14"/>
      <c r="I9" s="15"/>
    </row>
    <row r="10" spans="1:9" x14ac:dyDescent="0.3">
      <c r="A10" s="17">
        <f>DATE(2011,9,1)</f>
        <v>40787</v>
      </c>
      <c r="B10" s="6">
        <v>0.01</v>
      </c>
      <c r="C10" s="11">
        <f t="shared" si="0"/>
        <v>0.254</v>
      </c>
      <c r="D10" s="2">
        <f t="shared" si="1"/>
        <v>1.257374269005848</v>
      </c>
      <c r="E10" s="2">
        <f t="shared" si="2"/>
        <v>2.5798292465687851</v>
      </c>
      <c r="F10" s="2">
        <f t="shared" si="3"/>
        <v>-1.003374269005848</v>
      </c>
      <c r="G10" s="1">
        <f t="shared" si="4"/>
        <v>-0.38893049621030235</v>
      </c>
      <c r="H10" s="14"/>
      <c r="I10" s="15"/>
    </row>
    <row r="11" spans="1:9" x14ac:dyDescent="0.3">
      <c r="A11" s="17">
        <f>DATE(2011,10,1)</f>
        <v>40817</v>
      </c>
      <c r="B11" s="6">
        <v>0.01</v>
      </c>
      <c r="C11" s="11">
        <f t="shared" si="0"/>
        <v>0.254</v>
      </c>
      <c r="D11" s="2">
        <f t="shared" si="1"/>
        <v>1.257374269005848</v>
      </c>
      <c r="E11" s="2">
        <f t="shared" si="2"/>
        <v>2.5798292465687851</v>
      </c>
      <c r="F11" s="2">
        <f t="shared" si="3"/>
        <v>-1.003374269005848</v>
      </c>
      <c r="G11" s="1">
        <f t="shared" si="4"/>
        <v>-0.38893049621030235</v>
      </c>
      <c r="H11" s="14"/>
      <c r="I11" s="15"/>
    </row>
    <row r="12" spans="1:9" x14ac:dyDescent="0.3">
      <c r="A12" s="17">
        <f>DATE(2011,11,1)</f>
        <v>40848</v>
      </c>
      <c r="B12" s="6">
        <v>0.01</v>
      </c>
      <c r="C12" s="11">
        <f t="shared" si="0"/>
        <v>0.254</v>
      </c>
      <c r="D12" s="2">
        <f t="shared" si="1"/>
        <v>1.257374269005848</v>
      </c>
      <c r="E12" s="2">
        <f t="shared" si="2"/>
        <v>2.5798292465687851</v>
      </c>
      <c r="F12" s="2">
        <f t="shared" si="3"/>
        <v>-1.003374269005848</v>
      </c>
      <c r="G12" s="1">
        <f t="shared" si="4"/>
        <v>-0.38893049621030235</v>
      </c>
      <c r="H12" s="14"/>
      <c r="I12" s="15"/>
    </row>
    <row r="13" spans="1:9" x14ac:dyDescent="0.3">
      <c r="A13" s="17">
        <f>DATE(2011,12,1)</f>
        <v>40878</v>
      </c>
      <c r="B13" s="6">
        <v>0.05</v>
      </c>
      <c r="C13" s="11">
        <f t="shared" si="0"/>
        <v>1.27</v>
      </c>
      <c r="D13" s="2">
        <f t="shared" si="1"/>
        <v>1.257374269005848</v>
      </c>
      <c r="E13" s="2">
        <f t="shared" si="2"/>
        <v>2.5798292465687851</v>
      </c>
      <c r="F13" s="2">
        <f t="shared" si="3"/>
        <v>1.2625730994151985E-2</v>
      </c>
      <c r="G13" s="1">
        <f t="shared" si="4"/>
        <v>4.8940180870282067E-3</v>
      </c>
      <c r="H13" s="14"/>
      <c r="I13" s="15"/>
    </row>
    <row r="14" spans="1:9" x14ac:dyDescent="0.3">
      <c r="A14" s="17">
        <f>DATE(2012,1,1)</f>
        <v>40909</v>
      </c>
      <c r="B14" s="6">
        <v>0.02</v>
      </c>
      <c r="C14" s="11">
        <f t="shared" si="0"/>
        <v>0.50800000000000001</v>
      </c>
      <c r="D14" s="2">
        <f t="shared" si="1"/>
        <v>1.257374269005848</v>
      </c>
      <c r="E14" s="2">
        <f t="shared" si="2"/>
        <v>2.5798292465687851</v>
      </c>
      <c r="F14" s="2">
        <f t="shared" si="3"/>
        <v>-0.74937426900584803</v>
      </c>
      <c r="G14" s="1">
        <f t="shared" si="4"/>
        <v>-0.29047436763596973</v>
      </c>
      <c r="H14" s="14"/>
      <c r="I14" s="15"/>
    </row>
    <row r="15" spans="1:9" x14ac:dyDescent="0.3">
      <c r="A15" s="17">
        <f>DATE(2012,2,1)</f>
        <v>40940</v>
      </c>
      <c r="B15" s="6">
        <v>0</v>
      </c>
      <c r="C15" s="11">
        <f t="shared" si="0"/>
        <v>0</v>
      </c>
      <c r="D15" s="2">
        <f t="shared" si="1"/>
        <v>1.257374269005848</v>
      </c>
      <c r="E15" s="2">
        <f t="shared" si="2"/>
        <v>2.5798292465687851</v>
      </c>
      <c r="F15" s="2">
        <f t="shared" si="3"/>
        <v>-1.257374269005848</v>
      </c>
      <c r="G15" s="1">
        <f t="shared" si="4"/>
        <v>-0.48738662478463496</v>
      </c>
      <c r="H15" s="5"/>
      <c r="I15" s="15"/>
    </row>
    <row r="16" spans="1:9" x14ac:dyDescent="0.3">
      <c r="A16" s="17">
        <f>DATE(2012,3,1)</f>
        <v>40969</v>
      </c>
      <c r="B16" s="6">
        <v>0</v>
      </c>
      <c r="C16" s="11">
        <f t="shared" si="0"/>
        <v>0</v>
      </c>
      <c r="D16" s="2">
        <f t="shared" si="1"/>
        <v>1.257374269005848</v>
      </c>
      <c r="E16" s="2">
        <f t="shared" si="2"/>
        <v>2.5798292465687851</v>
      </c>
      <c r="F16" s="2">
        <f t="shared" si="3"/>
        <v>-1.257374269005848</v>
      </c>
      <c r="G16" s="1">
        <f t="shared" si="4"/>
        <v>-0.48738662478463496</v>
      </c>
      <c r="H16" s="14"/>
      <c r="I16" s="15"/>
    </row>
    <row r="17" spans="1:9" x14ac:dyDescent="0.3">
      <c r="A17" s="17">
        <f t="shared" ref="A17:A80" si="5">DATE(2011,1,1)</f>
        <v>40544</v>
      </c>
      <c r="B17" s="6">
        <v>0.02</v>
      </c>
      <c r="C17" s="11">
        <f t="shared" si="0"/>
        <v>0.50800000000000001</v>
      </c>
      <c r="D17" s="2">
        <f t="shared" si="1"/>
        <v>1.257374269005848</v>
      </c>
      <c r="E17" s="2">
        <f t="shared" si="2"/>
        <v>2.5798292465687851</v>
      </c>
      <c r="F17" s="2">
        <f t="shared" si="3"/>
        <v>-0.74937426900584803</v>
      </c>
      <c r="G17" s="1">
        <f t="shared" si="4"/>
        <v>-0.29047436763596973</v>
      </c>
      <c r="H17" s="14"/>
      <c r="I17" s="15"/>
    </row>
    <row r="18" spans="1:9" x14ac:dyDescent="0.3">
      <c r="A18" s="17">
        <f t="shared" si="5"/>
        <v>40544</v>
      </c>
      <c r="B18" s="6">
        <v>0.01</v>
      </c>
      <c r="C18" s="11">
        <f t="shared" si="0"/>
        <v>0.254</v>
      </c>
      <c r="D18" s="2">
        <f t="shared" si="1"/>
        <v>1.257374269005848</v>
      </c>
      <c r="E18" s="2">
        <f t="shared" si="2"/>
        <v>2.5798292465687851</v>
      </c>
      <c r="F18" s="2">
        <f t="shared" si="3"/>
        <v>-1.003374269005848</v>
      </c>
      <c r="G18" s="1">
        <f t="shared" si="4"/>
        <v>-0.38893049621030235</v>
      </c>
      <c r="H18" s="5"/>
      <c r="I18" s="15"/>
    </row>
    <row r="19" spans="1:9" x14ac:dyDescent="0.3">
      <c r="A19" s="17">
        <f t="shared" si="5"/>
        <v>40544</v>
      </c>
      <c r="B19" s="6">
        <v>0.01</v>
      </c>
      <c r="C19" s="11">
        <f t="shared" si="0"/>
        <v>0.254</v>
      </c>
      <c r="D19" s="2">
        <f t="shared" si="1"/>
        <v>1.257374269005848</v>
      </c>
      <c r="E19" s="2">
        <f t="shared" si="2"/>
        <v>2.5798292465687851</v>
      </c>
      <c r="F19" s="2">
        <f t="shared" si="3"/>
        <v>-1.003374269005848</v>
      </c>
      <c r="G19" s="1">
        <f t="shared" si="4"/>
        <v>-0.38893049621030235</v>
      </c>
      <c r="H19" s="5"/>
      <c r="I19" s="15"/>
    </row>
    <row r="20" spans="1:9" x14ac:dyDescent="0.3">
      <c r="A20" s="17">
        <f t="shared" si="5"/>
        <v>40544</v>
      </c>
      <c r="B20" s="6">
        <v>0.01</v>
      </c>
      <c r="C20" s="11">
        <f t="shared" si="0"/>
        <v>0.254</v>
      </c>
      <c r="D20" s="2">
        <f t="shared" si="1"/>
        <v>1.257374269005848</v>
      </c>
      <c r="E20" s="2">
        <f t="shared" si="2"/>
        <v>2.5798292465687851</v>
      </c>
      <c r="F20" s="2">
        <f t="shared" si="3"/>
        <v>-1.003374269005848</v>
      </c>
      <c r="G20" s="1">
        <f t="shared" si="4"/>
        <v>-0.38893049621030235</v>
      </c>
    </row>
    <row r="21" spans="1:9" x14ac:dyDescent="0.3">
      <c r="A21" s="17">
        <f t="shared" si="5"/>
        <v>40544</v>
      </c>
      <c r="B21" s="6">
        <v>0</v>
      </c>
      <c r="C21" s="11">
        <f t="shared" si="0"/>
        <v>0</v>
      </c>
      <c r="D21" s="2">
        <f t="shared" si="1"/>
        <v>1.257374269005848</v>
      </c>
      <c r="E21" s="2">
        <f t="shared" si="2"/>
        <v>2.5798292465687851</v>
      </c>
      <c r="F21" s="2">
        <f t="shared" si="3"/>
        <v>-1.257374269005848</v>
      </c>
      <c r="G21" s="1">
        <f t="shared" si="4"/>
        <v>-0.48738662478463496</v>
      </c>
    </row>
    <row r="22" spans="1:9" x14ac:dyDescent="0.3">
      <c r="A22" s="17">
        <f t="shared" si="5"/>
        <v>40544</v>
      </c>
      <c r="B22" s="6">
        <v>0.02</v>
      </c>
      <c r="C22" s="11">
        <f t="shared" si="0"/>
        <v>0.50800000000000001</v>
      </c>
      <c r="D22" s="2">
        <f t="shared" si="1"/>
        <v>1.257374269005848</v>
      </c>
      <c r="E22" s="2">
        <f t="shared" si="2"/>
        <v>2.5798292465687851</v>
      </c>
      <c r="F22" s="2">
        <f t="shared" si="3"/>
        <v>-0.74937426900584803</v>
      </c>
      <c r="G22" s="1">
        <f t="shared" si="4"/>
        <v>-0.29047436763596973</v>
      </c>
    </row>
    <row r="23" spans="1:9" x14ac:dyDescent="0.3">
      <c r="A23" s="17">
        <f t="shared" si="5"/>
        <v>40544</v>
      </c>
      <c r="B23" s="6">
        <v>0.02</v>
      </c>
      <c r="C23" s="11">
        <f t="shared" si="0"/>
        <v>0.50800000000000001</v>
      </c>
      <c r="D23" s="2">
        <f t="shared" si="1"/>
        <v>1.257374269005848</v>
      </c>
      <c r="E23" s="2">
        <f t="shared" si="2"/>
        <v>2.5798292465687851</v>
      </c>
      <c r="F23" s="2">
        <f t="shared" si="3"/>
        <v>-0.74937426900584803</v>
      </c>
      <c r="G23" s="1">
        <f t="shared" si="4"/>
        <v>-0.29047436763596973</v>
      </c>
    </row>
    <row r="24" spans="1:9" x14ac:dyDescent="0.3">
      <c r="A24" s="17">
        <f t="shared" si="5"/>
        <v>40544</v>
      </c>
      <c r="B24" s="6">
        <v>0.01</v>
      </c>
      <c r="C24" s="11">
        <f t="shared" si="0"/>
        <v>0.254</v>
      </c>
      <c r="D24" s="2">
        <f t="shared" si="1"/>
        <v>1.257374269005848</v>
      </c>
      <c r="E24" s="2">
        <f t="shared" si="2"/>
        <v>2.5798292465687851</v>
      </c>
      <c r="F24" s="2">
        <f t="shared" si="3"/>
        <v>-1.003374269005848</v>
      </c>
      <c r="G24" s="1">
        <f t="shared" si="4"/>
        <v>-0.38893049621030235</v>
      </c>
    </row>
    <row r="25" spans="1:9" x14ac:dyDescent="0.3">
      <c r="A25" s="17">
        <f t="shared" si="5"/>
        <v>40544</v>
      </c>
      <c r="B25" s="6">
        <v>7.0000000000000007E-2</v>
      </c>
      <c r="C25" s="11">
        <f t="shared" si="0"/>
        <v>1.778</v>
      </c>
      <c r="D25" s="2">
        <f t="shared" si="1"/>
        <v>1.257374269005848</v>
      </c>
      <c r="E25" s="2">
        <f t="shared" si="2"/>
        <v>2.5798292465687851</v>
      </c>
      <c r="F25" s="2">
        <f t="shared" si="3"/>
        <v>0.52062573099415199</v>
      </c>
      <c r="G25" s="1">
        <f t="shared" si="4"/>
        <v>0.20180627523569347</v>
      </c>
    </row>
    <row r="26" spans="1:9" x14ac:dyDescent="0.3">
      <c r="A26" s="17">
        <f t="shared" si="5"/>
        <v>40544</v>
      </c>
      <c r="B26" s="6">
        <v>0.04</v>
      </c>
      <c r="C26" s="11">
        <f t="shared" si="0"/>
        <v>1.016</v>
      </c>
      <c r="D26" s="2">
        <f t="shared" si="1"/>
        <v>1.257374269005848</v>
      </c>
      <c r="E26" s="2">
        <f t="shared" si="2"/>
        <v>2.5798292465687851</v>
      </c>
      <c r="F26" s="2">
        <f t="shared" si="3"/>
        <v>-0.24137426900584802</v>
      </c>
      <c r="G26" s="1">
        <f t="shared" si="4"/>
        <v>-9.3562110487304437E-2</v>
      </c>
    </row>
    <row r="27" spans="1:9" x14ac:dyDescent="0.3">
      <c r="A27" s="17">
        <f t="shared" si="5"/>
        <v>40544</v>
      </c>
      <c r="B27" s="6">
        <v>0</v>
      </c>
      <c r="C27" s="11">
        <f t="shared" si="0"/>
        <v>0</v>
      </c>
      <c r="D27" s="2">
        <f t="shared" si="1"/>
        <v>1.257374269005848</v>
      </c>
      <c r="E27" s="2">
        <f t="shared" si="2"/>
        <v>2.5798292465687851</v>
      </c>
      <c r="F27" s="2">
        <f t="shared" si="3"/>
        <v>-1.257374269005848</v>
      </c>
      <c r="G27" s="1">
        <f t="shared" si="4"/>
        <v>-0.48738662478463496</v>
      </c>
    </row>
    <row r="28" spans="1:9" x14ac:dyDescent="0.3">
      <c r="A28" s="17">
        <f t="shared" si="5"/>
        <v>40544</v>
      </c>
      <c r="B28" s="6">
        <v>0.04</v>
      </c>
      <c r="C28" s="11">
        <f t="shared" si="0"/>
        <v>1.016</v>
      </c>
      <c r="D28" s="2">
        <f t="shared" si="1"/>
        <v>1.257374269005848</v>
      </c>
      <c r="E28" s="2">
        <f t="shared" si="2"/>
        <v>2.5798292465687851</v>
      </c>
      <c r="F28" s="2">
        <f t="shared" si="3"/>
        <v>-0.24137426900584802</v>
      </c>
      <c r="G28" s="1">
        <f t="shared" si="4"/>
        <v>-9.3562110487304437E-2</v>
      </c>
    </row>
    <row r="29" spans="1:9" x14ac:dyDescent="0.3">
      <c r="A29" s="17">
        <f t="shared" si="5"/>
        <v>40544</v>
      </c>
      <c r="B29" s="6">
        <v>0.05</v>
      </c>
      <c r="C29" s="11">
        <f t="shared" si="0"/>
        <v>1.27</v>
      </c>
      <c r="D29" s="2">
        <f t="shared" si="1"/>
        <v>1.257374269005848</v>
      </c>
      <c r="E29" s="2">
        <f t="shared" si="2"/>
        <v>2.5798292465687851</v>
      </c>
      <c r="F29" s="2">
        <f t="shared" si="3"/>
        <v>1.2625730994151985E-2</v>
      </c>
      <c r="G29" s="1">
        <f t="shared" si="4"/>
        <v>4.8940180870282067E-3</v>
      </c>
    </row>
    <row r="30" spans="1:9" x14ac:dyDescent="0.3">
      <c r="A30" s="17">
        <f t="shared" si="5"/>
        <v>40544</v>
      </c>
      <c r="B30" s="6">
        <v>0.02</v>
      </c>
      <c r="C30" s="11">
        <f t="shared" si="0"/>
        <v>0.50800000000000001</v>
      </c>
      <c r="D30" s="2">
        <f t="shared" si="1"/>
        <v>1.257374269005848</v>
      </c>
      <c r="E30" s="2">
        <f t="shared" si="2"/>
        <v>2.5798292465687851</v>
      </c>
      <c r="F30" s="2">
        <f t="shared" si="3"/>
        <v>-0.74937426900584803</v>
      </c>
      <c r="G30" s="1">
        <f t="shared" si="4"/>
        <v>-0.29047436763596973</v>
      </c>
    </row>
    <row r="31" spans="1:9" x14ac:dyDescent="0.3">
      <c r="A31" s="17">
        <f t="shared" si="5"/>
        <v>40544</v>
      </c>
      <c r="B31" s="6">
        <v>0.01</v>
      </c>
      <c r="C31" s="11">
        <f t="shared" si="0"/>
        <v>0.254</v>
      </c>
      <c r="D31" s="2">
        <f t="shared" si="1"/>
        <v>1.257374269005848</v>
      </c>
      <c r="E31" s="2">
        <f t="shared" si="2"/>
        <v>2.5798292465687851</v>
      </c>
      <c r="F31" s="2">
        <f t="shared" si="3"/>
        <v>-1.003374269005848</v>
      </c>
      <c r="G31" s="1">
        <f t="shared" si="4"/>
        <v>-0.38893049621030235</v>
      </c>
    </row>
    <row r="32" spans="1:9" x14ac:dyDescent="0.3">
      <c r="A32" s="17">
        <f t="shared" si="5"/>
        <v>40544</v>
      </c>
      <c r="B32" s="6">
        <v>0.01</v>
      </c>
      <c r="C32" s="11">
        <f t="shared" si="0"/>
        <v>0.254</v>
      </c>
      <c r="D32" s="2">
        <f t="shared" si="1"/>
        <v>1.257374269005848</v>
      </c>
      <c r="E32" s="2">
        <f t="shared" si="2"/>
        <v>2.5798292465687851</v>
      </c>
      <c r="F32" s="2">
        <f t="shared" si="3"/>
        <v>-1.003374269005848</v>
      </c>
      <c r="G32" s="1">
        <f t="shared" si="4"/>
        <v>-0.38893049621030235</v>
      </c>
    </row>
    <row r="33" spans="1:7" x14ac:dyDescent="0.3">
      <c r="A33" s="17">
        <f t="shared" si="5"/>
        <v>40544</v>
      </c>
      <c r="B33" s="6">
        <v>0.01</v>
      </c>
      <c r="C33" s="11">
        <f t="shared" si="0"/>
        <v>0.254</v>
      </c>
      <c r="D33" s="2">
        <f t="shared" si="1"/>
        <v>1.257374269005848</v>
      </c>
      <c r="E33" s="2">
        <f t="shared" si="2"/>
        <v>2.5798292465687851</v>
      </c>
      <c r="F33" s="2">
        <f t="shared" si="3"/>
        <v>-1.003374269005848</v>
      </c>
      <c r="G33" s="1">
        <f t="shared" si="4"/>
        <v>-0.38893049621030235</v>
      </c>
    </row>
    <row r="34" spans="1:7" x14ac:dyDescent="0.3">
      <c r="A34" s="17">
        <f t="shared" si="5"/>
        <v>40544</v>
      </c>
      <c r="B34" s="6">
        <v>0</v>
      </c>
      <c r="C34" s="11">
        <f>B34*25.4</f>
        <v>0</v>
      </c>
      <c r="D34" s="2">
        <f t="shared" si="1"/>
        <v>1.257374269005848</v>
      </c>
      <c r="E34" s="2">
        <f t="shared" si="2"/>
        <v>2.5798292465687851</v>
      </c>
      <c r="F34" s="2">
        <f t="shared" si="3"/>
        <v>-1.257374269005848</v>
      </c>
      <c r="G34" s="1">
        <f t="shared" si="4"/>
        <v>-0.48738662478463496</v>
      </c>
    </row>
    <row r="35" spans="1:7" x14ac:dyDescent="0.3">
      <c r="A35" s="17">
        <f t="shared" si="5"/>
        <v>40544</v>
      </c>
      <c r="B35" s="6">
        <v>0.02</v>
      </c>
      <c r="C35" s="11">
        <f t="shared" si="0"/>
        <v>0.50800000000000001</v>
      </c>
      <c r="D35" s="2">
        <f t="shared" si="1"/>
        <v>1.257374269005848</v>
      </c>
      <c r="E35" s="2">
        <f t="shared" si="2"/>
        <v>2.5798292465687851</v>
      </c>
      <c r="F35" s="2">
        <f t="shared" si="3"/>
        <v>-0.74937426900584803</v>
      </c>
      <c r="G35" s="1">
        <f t="shared" si="4"/>
        <v>-0.29047436763596973</v>
      </c>
    </row>
    <row r="36" spans="1:7" x14ac:dyDescent="0.3">
      <c r="A36" s="17">
        <f t="shared" si="5"/>
        <v>40544</v>
      </c>
      <c r="B36" s="6">
        <v>0.02</v>
      </c>
      <c r="C36" s="11">
        <f t="shared" si="0"/>
        <v>0.50800000000000001</v>
      </c>
      <c r="D36" s="2">
        <f t="shared" si="1"/>
        <v>1.257374269005848</v>
      </c>
      <c r="E36" s="2">
        <f t="shared" si="2"/>
        <v>2.5798292465687851</v>
      </c>
      <c r="F36" s="2">
        <f t="shared" si="3"/>
        <v>-0.74937426900584803</v>
      </c>
      <c r="G36" s="1">
        <f t="shared" si="4"/>
        <v>-0.29047436763596973</v>
      </c>
    </row>
    <row r="37" spans="1:7" x14ac:dyDescent="0.3">
      <c r="A37" s="17">
        <f t="shared" si="5"/>
        <v>40544</v>
      </c>
      <c r="B37" s="6">
        <v>0.09</v>
      </c>
      <c r="C37" s="11">
        <f t="shared" si="0"/>
        <v>2.2859999999999996</v>
      </c>
      <c r="D37" s="2">
        <f t="shared" si="1"/>
        <v>1.257374269005848</v>
      </c>
      <c r="E37" s="2">
        <f t="shared" si="2"/>
        <v>2.5798292465687851</v>
      </c>
      <c r="F37" s="2">
        <f t="shared" si="3"/>
        <v>1.0286257309941516</v>
      </c>
      <c r="G37" s="1">
        <f t="shared" si="4"/>
        <v>0.39871853238435861</v>
      </c>
    </row>
    <row r="38" spans="1:7" x14ac:dyDescent="0.3">
      <c r="A38" s="17">
        <f t="shared" si="5"/>
        <v>40544</v>
      </c>
      <c r="B38" s="6">
        <v>0.05</v>
      </c>
      <c r="C38" s="11">
        <f t="shared" si="0"/>
        <v>1.27</v>
      </c>
      <c r="D38" s="2">
        <f t="shared" si="1"/>
        <v>1.257374269005848</v>
      </c>
      <c r="E38" s="2">
        <f t="shared" si="2"/>
        <v>2.5798292465687851</v>
      </c>
      <c r="F38" s="2">
        <f t="shared" si="3"/>
        <v>1.2625730994151985E-2</v>
      </c>
      <c r="G38" s="1">
        <f t="shared" si="4"/>
        <v>4.8940180870282067E-3</v>
      </c>
    </row>
    <row r="39" spans="1:7" x14ac:dyDescent="0.3">
      <c r="A39" s="17">
        <f t="shared" si="5"/>
        <v>40544</v>
      </c>
      <c r="B39" s="6">
        <v>0</v>
      </c>
      <c r="C39" s="11">
        <f t="shared" si="0"/>
        <v>0</v>
      </c>
      <c r="D39" s="2">
        <f t="shared" si="1"/>
        <v>1.257374269005848</v>
      </c>
      <c r="E39" s="2">
        <f t="shared" si="2"/>
        <v>2.5798292465687851</v>
      </c>
      <c r="F39" s="2">
        <f t="shared" si="3"/>
        <v>-1.257374269005848</v>
      </c>
      <c r="G39" s="1">
        <f t="shared" si="4"/>
        <v>-0.48738662478463496</v>
      </c>
    </row>
    <row r="40" spans="1:7" x14ac:dyDescent="0.3">
      <c r="A40" s="17">
        <f t="shared" si="5"/>
        <v>40544</v>
      </c>
      <c r="B40" s="6">
        <v>0</v>
      </c>
      <c r="C40" s="11">
        <f>B40*25.4</f>
        <v>0</v>
      </c>
      <c r="D40" s="2">
        <f t="shared" si="1"/>
        <v>1.257374269005848</v>
      </c>
      <c r="E40" s="2">
        <f t="shared" si="2"/>
        <v>2.5798292465687851</v>
      </c>
      <c r="F40" s="2">
        <f t="shared" si="3"/>
        <v>-1.257374269005848</v>
      </c>
      <c r="G40" s="1">
        <f t="shared" si="4"/>
        <v>-0.48738662478463496</v>
      </c>
    </row>
    <row r="41" spans="1:7" x14ac:dyDescent="0.3">
      <c r="A41" s="17">
        <f t="shared" si="5"/>
        <v>40544</v>
      </c>
      <c r="B41" s="6">
        <v>0</v>
      </c>
      <c r="C41" s="11">
        <f t="shared" si="0"/>
        <v>0</v>
      </c>
      <c r="D41" s="2">
        <f t="shared" si="1"/>
        <v>1.257374269005848</v>
      </c>
      <c r="E41" s="2">
        <f t="shared" si="2"/>
        <v>2.5798292465687851</v>
      </c>
      <c r="F41" s="2">
        <f t="shared" si="3"/>
        <v>-1.257374269005848</v>
      </c>
      <c r="G41" s="1">
        <f t="shared" si="4"/>
        <v>-0.48738662478463496</v>
      </c>
    </row>
    <row r="42" spans="1:7" x14ac:dyDescent="0.3">
      <c r="A42" s="17">
        <f t="shared" si="5"/>
        <v>40544</v>
      </c>
      <c r="B42" s="6">
        <v>0</v>
      </c>
      <c r="C42" s="11">
        <f t="shared" si="0"/>
        <v>0</v>
      </c>
      <c r="D42" s="2">
        <f t="shared" si="1"/>
        <v>1.257374269005848</v>
      </c>
      <c r="E42" s="2">
        <f t="shared" si="2"/>
        <v>2.5798292465687851</v>
      </c>
      <c r="F42" s="2">
        <f t="shared" si="3"/>
        <v>-1.257374269005848</v>
      </c>
      <c r="G42" s="1">
        <f t="shared" si="4"/>
        <v>-0.48738662478463496</v>
      </c>
    </row>
    <row r="43" spans="1:7" x14ac:dyDescent="0.3">
      <c r="A43" s="17">
        <f t="shared" si="5"/>
        <v>40544</v>
      </c>
      <c r="B43" s="6">
        <v>0.03</v>
      </c>
      <c r="C43" s="11">
        <f t="shared" si="0"/>
        <v>0.7619999999999999</v>
      </c>
      <c r="D43" s="2">
        <f t="shared" si="1"/>
        <v>1.257374269005848</v>
      </c>
      <c r="E43" s="2">
        <f t="shared" si="2"/>
        <v>2.5798292465687851</v>
      </c>
      <c r="F43" s="2">
        <f t="shared" si="3"/>
        <v>-0.49537426900584813</v>
      </c>
      <c r="G43" s="1">
        <f t="shared" si="4"/>
        <v>-0.19201823906163712</v>
      </c>
    </row>
    <row r="44" spans="1:7" x14ac:dyDescent="0.3">
      <c r="A44" s="17">
        <f t="shared" si="5"/>
        <v>40544</v>
      </c>
      <c r="B44" s="6">
        <v>0.02</v>
      </c>
      <c r="C44" s="11">
        <f t="shared" si="0"/>
        <v>0.50800000000000001</v>
      </c>
      <c r="D44" s="2">
        <f t="shared" si="1"/>
        <v>1.257374269005848</v>
      </c>
      <c r="E44" s="2">
        <f t="shared" si="2"/>
        <v>2.5798292465687851</v>
      </c>
      <c r="F44" s="2">
        <f t="shared" si="3"/>
        <v>-0.74937426900584803</v>
      </c>
      <c r="G44" s="1">
        <f t="shared" si="4"/>
        <v>-0.29047436763596973</v>
      </c>
    </row>
    <row r="45" spans="1:7" x14ac:dyDescent="0.3">
      <c r="A45" s="17">
        <f t="shared" si="5"/>
        <v>40544</v>
      </c>
      <c r="B45" s="6">
        <v>0.01</v>
      </c>
      <c r="C45" s="11">
        <f t="shared" si="0"/>
        <v>0.254</v>
      </c>
      <c r="D45" s="2">
        <f t="shared" si="1"/>
        <v>1.257374269005848</v>
      </c>
      <c r="E45" s="2">
        <f t="shared" si="2"/>
        <v>2.5798292465687851</v>
      </c>
      <c r="F45" s="2">
        <f t="shared" si="3"/>
        <v>-1.003374269005848</v>
      </c>
      <c r="G45" s="1">
        <f t="shared" si="4"/>
        <v>-0.38893049621030235</v>
      </c>
    </row>
    <row r="46" spans="1:7" x14ac:dyDescent="0.3">
      <c r="A46" s="17">
        <f t="shared" si="5"/>
        <v>40544</v>
      </c>
      <c r="B46" s="6">
        <v>0</v>
      </c>
      <c r="C46" s="11">
        <f t="shared" si="0"/>
        <v>0</v>
      </c>
      <c r="D46" s="2">
        <f t="shared" si="1"/>
        <v>1.257374269005848</v>
      </c>
      <c r="E46" s="2">
        <f t="shared" si="2"/>
        <v>2.5798292465687851</v>
      </c>
      <c r="F46" s="2">
        <f t="shared" si="3"/>
        <v>-1.257374269005848</v>
      </c>
      <c r="G46" s="1">
        <f t="shared" si="4"/>
        <v>-0.48738662478463496</v>
      </c>
    </row>
    <row r="47" spans="1:7" x14ac:dyDescent="0.3">
      <c r="A47" s="17">
        <f t="shared" si="5"/>
        <v>40544</v>
      </c>
      <c r="B47" s="6">
        <v>0</v>
      </c>
      <c r="C47" s="11">
        <f>B47*25.4</f>
        <v>0</v>
      </c>
      <c r="D47" s="2">
        <f t="shared" si="1"/>
        <v>1.257374269005848</v>
      </c>
      <c r="E47" s="2">
        <f t="shared" si="2"/>
        <v>2.5798292465687851</v>
      </c>
      <c r="F47" s="2">
        <f t="shared" si="3"/>
        <v>-1.257374269005848</v>
      </c>
      <c r="G47" s="1">
        <f t="shared" si="4"/>
        <v>-0.48738662478463496</v>
      </c>
    </row>
    <row r="48" spans="1:7" x14ac:dyDescent="0.3">
      <c r="A48" s="17">
        <f t="shared" si="5"/>
        <v>40544</v>
      </c>
      <c r="B48" s="6">
        <v>0.01</v>
      </c>
      <c r="C48" s="11">
        <f t="shared" si="0"/>
        <v>0.254</v>
      </c>
      <c r="D48" s="2">
        <f t="shared" si="1"/>
        <v>1.257374269005848</v>
      </c>
      <c r="E48" s="2">
        <f t="shared" si="2"/>
        <v>2.5798292465687851</v>
      </c>
      <c r="F48" s="2">
        <f t="shared" si="3"/>
        <v>-1.003374269005848</v>
      </c>
      <c r="G48" s="1">
        <f t="shared" si="4"/>
        <v>-0.38893049621030235</v>
      </c>
    </row>
    <row r="49" spans="1:7" x14ac:dyDescent="0.3">
      <c r="A49" s="17">
        <f t="shared" si="5"/>
        <v>40544</v>
      </c>
      <c r="B49" s="6">
        <v>7.0000000000000007E-2</v>
      </c>
      <c r="C49" s="11">
        <f t="shared" si="0"/>
        <v>1.778</v>
      </c>
      <c r="D49" s="2">
        <f t="shared" si="1"/>
        <v>1.257374269005848</v>
      </c>
      <c r="E49" s="2">
        <f t="shared" si="2"/>
        <v>2.5798292465687851</v>
      </c>
      <c r="F49" s="2">
        <f t="shared" si="3"/>
        <v>0.52062573099415199</v>
      </c>
      <c r="G49" s="1">
        <f t="shared" si="4"/>
        <v>0.20180627523569347</v>
      </c>
    </row>
    <row r="50" spans="1:7" x14ac:dyDescent="0.3">
      <c r="A50" s="17">
        <f t="shared" si="5"/>
        <v>40544</v>
      </c>
      <c r="B50" s="6">
        <v>0.02</v>
      </c>
      <c r="C50" s="11">
        <f t="shared" si="0"/>
        <v>0.50800000000000001</v>
      </c>
      <c r="D50" s="2">
        <f t="shared" si="1"/>
        <v>1.257374269005848</v>
      </c>
      <c r="E50" s="2">
        <f t="shared" si="2"/>
        <v>2.5798292465687851</v>
      </c>
      <c r="F50" s="2">
        <f t="shared" si="3"/>
        <v>-0.74937426900584803</v>
      </c>
      <c r="G50" s="1">
        <f t="shared" si="4"/>
        <v>-0.29047436763596973</v>
      </c>
    </row>
    <row r="51" spans="1:7" x14ac:dyDescent="0.3">
      <c r="A51" s="17">
        <f t="shared" si="5"/>
        <v>40544</v>
      </c>
      <c r="B51" s="6">
        <v>0.01</v>
      </c>
      <c r="C51" s="11">
        <f t="shared" si="0"/>
        <v>0.254</v>
      </c>
      <c r="D51" s="2">
        <f t="shared" si="1"/>
        <v>1.257374269005848</v>
      </c>
      <c r="E51" s="2">
        <f t="shared" si="2"/>
        <v>2.5798292465687851</v>
      </c>
      <c r="F51" s="2">
        <f t="shared" si="3"/>
        <v>-1.003374269005848</v>
      </c>
      <c r="G51" s="1">
        <f t="shared" si="4"/>
        <v>-0.38893049621030235</v>
      </c>
    </row>
    <row r="52" spans="1:7" x14ac:dyDescent="0.3">
      <c r="A52" s="17">
        <f t="shared" si="5"/>
        <v>40544</v>
      </c>
      <c r="B52" s="6">
        <v>0.02</v>
      </c>
      <c r="C52" s="11">
        <f>B52*25.4</f>
        <v>0.50800000000000001</v>
      </c>
      <c r="D52" s="2">
        <f t="shared" si="1"/>
        <v>1.257374269005848</v>
      </c>
      <c r="E52" s="2">
        <f t="shared" si="2"/>
        <v>2.5798292465687851</v>
      </c>
      <c r="F52" s="2">
        <f t="shared" si="3"/>
        <v>-0.74937426900584803</v>
      </c>
      <c r="G52" s="1">
        <f t="shared" si="4"/>
        <v>-0.29047436763596973</v>
      </c>
    </row>
    <row r="53" spans="1:7" x14ac:dyDescent="0.3">
      <c r="A53" s="17">
        <f t="shared" si="5"/>
        <v>40544</v>
      </c>
      <c r="B53" s="6">
        <v>0.03</v>
      </c>
      <c r="C53" s="11">
        <f t="shared" si="0"/>
        <v>0.7619999999999999</v>
      </c>
      <c r="D53" s="2">
        <f t="shared" si="1"/>
        <v>1.257374269005848</v>
      </c>
      <c r="E53" s="2">
        <f t="shared" si="2"/>
        <v>2.5798292465687851</v>
      </c>
      <c r="F53" s="2">
        <f t="shared" si="3"/>
        <v>-0.49537426900584813</v>
      </c>
      <c r="G53" s="1">
        <f t="shared" si="4"/>
        <v>-0.19201823906163712</v>
      </c>
    </row>
    <row r="54" spans="1:7" x14ac:dyDescent="0.3">
      <c r="A54" s="17">
        <f t="shared" si="5"/>
        <v>40544</v>
      </c>
      <c r="B54" s="6">
        <v>0.01</v>
      </c>
      <c r="C54" s="11">
        <f t="shared" si="0"/>
        <v>0.254</v>
      </c>
      <c r="D54" s="2">
        <f t="shared" si="1"/>
        <v>1.257374269005848</v>
      </c>
      <c r="E54" s="2">
        <f t="shared" si="2"/>
        <v>2.5798292465687851</v>
      </c>
      <c r="F54" s="2">
        <f t="shared" si="3"/>
        <v>-1.003374269005848</v>
      </c>
      <c r="G54" s="1">
        <f t="shared" si="4"/>
        <v>-0.38893049621030235</v>
      </c>
    </row>
    <row r="55" spans="1:7" x14ac:dyDescent="0.3">
      <c r="A55" s="17">
        <f t="shared" si="5"/>
        <v>40544</v>
      </c>
      <c r="B55" s="6">
        <v>0.01</v>
      </c>
      <c r="C55" s="11">
        <f t="shared" si="0"/>
        <v>0.254</v>
      </c>
      <c r="D55" s="2">
        <f t="shared" si="1"/>
        <v>1.257374269005848</v>
      </c>
      <c r="E55" s="2">
        <f t="shared" si="2"/>
        <v>2.5798292465687851</v>
      </c>
      <c r="F55" s="2">
        <f t="shared" si="3"/>
        <v>-1.003374269005848</v>
      </c>
      <c r="G55" s="1">
        <f t="shared" si="4"/>
        <v>-0.38893049621030235</v>
      </c>
    </row>
    <row r="56" spans="1:7" x14ac:dyDescent="0.3">
      <c r="A56" s="17">
        <f t="shared" si="5"/>
        <v>40544</v>
      </c>
      <c r="B56" s="6">
        <v>0.01</v>
      </c>
      <c r="C56" s="11">
        <f t="shared" si="0"/>
        <v>0.254</v>
      </c>
      <c r="D56" s="2">
        <f t="shared" si="1"/>
        <v>1.257374269005848</v>
      </c>
      <c r="E56" s="2">
        <f t="shared" si="2"/>
        <v>2.5798292465687851</v>
      </c>
      <c r="F56" s="2">
        <f t="shared" si="3"/>
        <v>-1.003374269005848</v>
      </c>
      <c r="G56" s="1">
        <f t="shared" si="4"/>
        <v>-0.38893049621030235</v>
      </c>
    </row>
    <row r="57" spans="1:7" x14ac:dyDescent="0.3">
      <c r="A57" s="17">
        <f t="shared" si="5"/>
        <v>40544</v>
      </c>
      <c r="B57" s="6">
        <v>0</v>
      </c>
      <c r="C57" s="11">
        <f t="shared" si="0"/>
        <v>0</v>
      </c>
      <c r="D57" s="2">
        <f t="shared" si="1"/>
        <v>1.257374269005848</v>
      </c>
      <c r="E57" s="2">
        <f t="shared" si="2"/>
        <v>2.5798292465687851</v>
      </c>
      <c r="F57" s="2">
        <f t="shared" si="3"/>
        <v>-1.257374269005848</v>
      </c>
      <c r="G57" s="1">
        <f t="shared" si="4"/>
        <v>-0.48738662478463496</v>
      </c>
    </row>
    <row r="58" spans="1:7" x14ac:dyDescent="0.3">
      <c r="A58" s="17">
        <f t="shared" si="5"/>
        <v>40544</v>
      </c>
      <c r="B58" s="6">
        <v>0.02</v>
      </c>
      <c r="C58" s="11">
        <f t="shared" si="0"/>
        <v>0.50800000000000001</v>
      </c>
      <c r="D58" s="2">
        <f t="shared" si="1"/>
        <v>1.257374269005848</v>
      </c>
      <c r="E58" s="2">
        <f t="shared" si="2"/>
        <v>2.5798292465687851</v>
      </c>
      <c r="F58" s="2">
        <f t="shared" si="3"/>
        <v>-0.74937426900584803</v>
      </c>
      <c r="G58" s="1">
        <f t="shared" si="4"/>
        <v>-0.29047436763596973</v>
      </c>
    </row>
    <row r="59" spans="1:7" x14ac:dyDescent="0.3">
      <c r="A59" s="17">
        <f t="shared" si="5"/>
        <v>40544</v>
      </c>
      <c r="B59" s="6">
        <v>0</v>
      </c>
      <c r="C59" s="11">
        <f t="shared" si="0"/>
        <v>0</v>
      </c>
      <c r="D59" s="2">
        <f t="shared" si="1"/>
        <v>1.257374269005848</v>
      </c>
      <c r="E59" s="2">
        <f t="shared" si="2"/>
        <v>2.5798292465687851</v>
      </c>
      <c r="F59" s="2">
        <f t="shared" si="3"/>
        <v>-1.257374269005848</v>
      </c>
      <c r="G59" s="1">
        <f t="shared" si="4"/>
        <v>-0.48738662478463496</v>
      </c>
    </row>
    <row r="60" spans="1:7" x14ac:dyDescent="0.3">
      <c r="A60" s="17">
        <f t="shared" si="5"/>
        <v>40544</v>
      </c>
      <c r="B60" s="6">
        <v>0.01</v>
      </c>
      <c r="C60" s="11">
        <f t="shared" si="0"/>
        <v>0.254</v>
      </c>
      <c r="D60" s="2">
        <f t="shared" si="1"/>
        <v>1.257374269005848</v>
      </c>
      <c r="E60" s="2">
        <f t="shared" si="2"/>
        <v>2.5798292465687851</v>
      </c>
      <c r="F60" s="2">
        <f t="shared" si="3"/>
        <v>-1.003374269005848</v>
      </c>
      <c r="G60" s="1">
        <f t="shared" si="4"/>
        <v>-0.38893049621030235</v>
      </c>
    </row>
    <row r="61" spans="1:7" x14ac:dyDescent="0.3">
      <c r="A61" s="17">
        <f t="shared" si="5"/>
        <v>40544</v>
      </c>
      <c r="B61" s="6">
        <v>0.01</v>
      </c>
      <c r="C61" s="11">
        <f t="shared" si="0"/>
        <v>0.254</v>
      </c>
      <c r="D61" s="2">
        <f t="shared" si="1"/>
        <v>1.257374269005848</v>
      </c>
      <c r="E61" s="2">
        <f t="shared" si="2"/>
        <v>2.5798292465687851</v>
      </c>
      <c r="F61" s="2">
        <f t="shared" si="3"/>
        <v>-1.003374269005848</v>
      </c>
      <c r="G61" s="1">
        <f t="shared" si="4"/>
        <v>-0.38893049621030235</v>
      </c>
    </row>
    <row r="62" spans="1:7" x14ac:dyDescent="0.3">
      <c r="A62" s="17">
        <f t="shared" si="5"/>
        <v>40544</v>
      </c>
      <c r="B62" s="6">
        <v>0.01</v>
      </c>
      <c r="C62" s="11">
        <f t="shared" si="0"/>
        <v>0.254</v>
      </c>
      <c r="D62" s="2">
        <f t="shared" si="1"/>
        <v>1.257374269005848</v>
      </c>
      <c r="E62" s="2">
        <f t="shared" si="2"/>
        <v>2.5798292465687851</v>
      </c>
      <c r="F62" s="2">
        <f t="shared" si="3"/>
        <v>-1.003374269005848</v>
      </c>
      <c r="G62" s="1">
        <f t="shared" si="4"/>
        <v>-0.38893049621030235</v>
      </c>
    </row>
    <row r="63" spans="1:7" x14ac:dyDescent="0.3">
      <c r="A63" s="17">
        <f t="shared" si="5"/>
        <v>40544</v>
      </c>
      <c r="B63" s="6">
        <v>0.01</v>
      </c>
      <c r="C63" s="11">
        <f t="shared" si="0"/>
        <v>0.254</v>
      </c>
      <c r="D63" s="2">
        <f t="shared" si="1"/>
        <v>1.257374269005848</v>
      </c>
      <c r="E63" s="2">
        <f t="shared" si="2"/>
        <v>2.5798292465687851</v>
      </c>
      <c r="F63" s="2">
        <f t="shared" si="3"/>
        <v>-1.003374269005848</v>
      </c>
      <c r="G63" s="1">
        <f t="shared" si="4"/>
        <v>-0.38893049621030235</v>
      </c>
    </row>
    <row r="64" spans="1:7" x14ac:dyDescent="0.3">
      <c r="A64" s="17">
        <f t="shared" si="5"/>
        <v>40544</v>
      </c>
      <c r="B64" s="6">
        <v>0.03</v>
      </c>
      <c r="C64" s="11">
        <f t="shared" si="0"/>
        <v>0.7619999999999999</v>
      </c>
      <c r="D64" s="2">
        <f t="shared" si="1"/>
        <v>1.257374269005848</v>
      </c>
      <c r="E64" s="2">
        <f t="shared" si="2"/>
        <v>2.5798292465687851</v>
      </c>
      <c r="F64" s="2">
        <f t="shared" si="3"/>
        <v>-0.49537426900584813</v>
      </c>
      <c r="G64" s="1">
        <f t="shared" si="4"/>
        <v>-0.19201823906163712</v>
      </c>
    </row>
    <row r="65" spans="1:7" x14ac:dyDescent="0.3">
      <c r="A65" s="17">
        <f t="shared" si="5"/>
        <v>40544</v>
      </c>
      <c r="B65" s="6">
        <v>0</v>
      </c>
      <c r="C65" s="11">
        <f t="shared" si="0"/>
        <v>0</v>
      </c>
      <c r="D65" s="2">
        <f t="shared" si="1"/>
        <v>1.257374269005848</v>
      </c>
      <c r="E65" s="2">
        <f t="shared" si="2"/>
        <v>2.5798292465687851</v>
      </c>
      <c r="F65" s="2">
        <f t="shared" si="3"/>
        <v>-1.257374269005848</v>
      </c>
      <c r="G65" s="1">
        <f t="shared" si="4"/>
        <v>-0.48738662478463496</v>
      </c>
    </row>
    <row r="66" spans="1:7" x14ac:dyDescent="0.3">
      <c r="A66" s="17">
        <f t="shared" si="5"/>
        <v>40544</v>
      </c>
      <c r="B66" s="6">
        <v>0.01</v>
      </c>
      <c r="C66" s="11">
        <f t="shared" si="0"/>
        <v>0.254</v>
      </c>
      <c r="D66" s="2">
        <f t="shared" si="1"/>
        <v>1.257374269005848</v>
      </c>
      <c r="E66" s="2">
        <f t="shared" si="2"/>
        <v>2.5798292465687851</v>
      </c>
      <c r="F66" s="2">
        <f t="shared" si="3"/>
        <v>-1.003374269005848</v>
      </c>
      <c r="G66" s="1">
        <f t="shared" si="4"/>
        <v>-0.38893049621030235</v>
      </c>
    </row>
    <row r="67" spans="1:7" x14ac:dyDescent="0.3">
      <c r="A67" s="17">
        <f t="shared" si="5"/>
        <v>40544</v>
      </c>
      <c r="B67" s="6">
        <v>0</v>
      </c>
      <c r="C67" s="11">
        <f t="shared" ref="C67:C69" si="6">B67*25.4</f>
        <v>0</v>
      </c>
      <c r="D67" s="2">
        <f t="shared" ref="D67:D130" si="7">AVERAGE($C$2:$C$172)</f>
        <v>1.257374269005848</v>
      </c>
      <c r="E67" s="2">
        <f t="shared" ref="E67:E130" si="8">_xlfn.STDEV.S($C$2:$C$172)</f>
        <v>2.5798292465687851</v>
      </c>
      <c r="F67" s="2">
        <f t="shared" ref="F67:F130" si="9">C67-D67</f>
        <v>-1.257374269005848</v>
      </c>
      <c r="G67" s="1">
        <f t="shared" ref="G67:G130" si="10">F67/E67</f>
        <v>-0.48738662478463496</v>
      </c>
    </row>
    <row r="68" spans="1:7" x14ac:dyDescent="0.3">
      <c r="A68" s="17">
        <f t="shared" si="5"/>
        <v>40544</v>
      </c>
      <c r="B68" s="6">
        <v>0.01</v>
      </c>
      <c r="C68" s="11">
        <f t="shared" si="6"/>
        <v>0.254</v>
      </c>
      <c r="D68" s="2">
        <f t="shared" si="7"/>
        <v>1.257374269005848</v>
      </c>
      <c r="E68" s="2">
        <f t="shared" si="8"/>
        <v>2.5798292465687851</v>
      </c>
      <c r="F68" s="2">
        <f t="shared" si="9"/>
        <v>-1.003374269005848</v>
      </c>
      <c r="G68" s="1">
        <f t="shared" si="10"/>
        <v>-0.38893049621030235</v>
      </c>
    </row>
    <row r="69" spans="1:7" x14ac:dyDescent="0.3">
      <c r="A69" s="17">
        <f t="shared" si="5"/>
        <v>40544</v>
      </c>
      <c r="B69" s="6">
        <v>0</v>
      </c>
      <c r="C69" s="11">
        <f t="shared" si="6"/>
        <v>0</v>
      </c>
      <c r="D69" s="2">
        <f t="shared" si="7"/>
        <v>1.257374269005848</v>
      </c>
      <c r="E69" s="2">
        <f t="shared" si="8"/>
        <v>2.5798292465687851</v>
      </c>
      <c r="F69" s="2">
        <f t="shared" si="9"/>
        <v>-1.257374269005848</v>
      </c>
      <c r="G69" s="1">
        <f t="shared" si="10"/>
        <v>-0.48738662478463496</v>
      </c>
    </row>
    <row r="70" spans="1:7" x14ac:dyDescent="0.3">
      <c r="A70" s="17">
        <f t="shared" si="5"/>
        <v>40544</v>
      </c>
      <c r="B70" s="6">
        <v>0</v>
      </c>
      <c r="C70" s="11">
        <f>B70*25.4</f>
        <v>0</v>
      </c>
      <c r="D70" s="2">
        <f t="shared" si="7"/>
        <v>1.257374269005848</v>
      </c>
      <c r="E70" s="2">
        <f t="shared" si="8"/>
        <v>2.5798292465687851</v>
      </c>
      <c r="F70" s="2">
        <f t="shared" si="9"/>
        <v>-1.257374269005848</v>
      </c>
      <c r="G70" s="1">
        <f t="shared" si="10"/>
        <v>-0.48738662478463496</v>
      </c>
    </row>
    <row r="71" spans="1:7" x14ac:dyDescent="0.3">
      <c r="A71" s="17">
        <f t="shared" si="5"/>
        <v>40544</v>
      </c>
      <c r="B71" s="6">
        <v>0</v>
      </c>
      <c r="C71" s="11">
        <f t="shared" ref="C71:C84" si="11">B71*25.4</f>
        <v>0</v>
      </c>
      <c r="D71" s="2">
        <f t="shared" si="7"/>
        <v>1.257374269005848</v>
      </c>
      <c r="E71" s="2">
        <f t="shared" si="8"/>
        <v>2.5798292465687851</v>
      </c>
      <c r="F71" s="2">
        <f t="shared" si="9"/>
        <v>-1.257374269005848</v>
      </c>
      <c r="G71" s="1">
        <f t="shared" si="10"/>
        <v>-0.48738662478463496</v>
      </c>
    </row>
    <row r="72" spans="1:7" x14ac:dyDescent="0.3">
      <c r="A72" s="17">
        <f t="shared" si="5"/>
        <v>40544</v>
      </c>
      <c r="B72" s="6">
        <v>0.01</v>
      </c>
      <c r="C72" s="11">
        <f t="shared" si="11"/>
        <v>0.254</v>
      </c>
      <c r="D72" s="2">
        <f t="shared" si="7"/>
        <v>1.257374269005848</v>
      </c>
      <c r="E72" s="2">
        <f t="shared" si="8"/>
        <v>2.5798292465687851</v>
      </c>
      <c r="F72" s="2">
        <f t="shared" si="9"/>
        <v>-1.003374269005848</v>
      </c>
      <c r="G72" s="1">
        <f t="shared" si="10"/>
        <v>-0.38893049621030235</v>
      </c>
    </row>
    <row r="73" spans="1:7" x14ac:dyDescent="0.3">
      <c r="A73" s="17">
        <f t="shared" si="5"/>
        <v>40544</v>
      </c>
      <c r="B73" s="6">
        <v>0.04</v>
      </c>
      <c r="C73" s="11">
        <f t="shared" si="11"/>
        <v>1.016</v>
      </c>
      <c r="D73" s="2">
        <f t="shared" si="7"/>
        <v>1.257374269005848</v>
      </c>
      <c r="E73" s="2">
        <f t="shared" si="8"/>
        <v>2.5798292465687851</v>
      </c>
      <c r="F73" s="2">
        <f t="shared" si="9"/>
        <v>-0.24137426900584802</v>
      </c>
      <c r="G73" s="1">
        <f t="shared" si="10"/>
        <v>-9.3562110487304437E-2</v>
      </c>
    </row>
    <row r="74" spans="1:7" x14ac:dyDescent="0.3">
      <c r="A74" s="17">
        <f t="shared" si="5"/>
        <v>40544</v>
      </c>
      <c r="B74" s="6">
        <v>0.06</v>
      </c>
      <c r="C74" s="11">
        <f t="shared" si="11"/>
        <v>1.5239999999999998</v>
      </c>
      <c r="D74" s="2">
        <f t="shared" si="7"/>
        <v>1.257374269005848</v>
      </c>
      <c r="E74" s="2">
        <f t="shared" si="8"/>
        <v>2.5798292465687851</v>
      </c>
      <c r="F74" s="2">
        <f t="shared" si="9"/>
        <v>0.26662573099415177</v>
      </c>
      <c r="G74" s="1">
        <f t="shared" si="10"/>
        <v>0.10335014666136076</v>
      </c>
    </row>
    <row r="75" spans="1:7" x14ac:dyDescent="0.3">
      <c r="A75" s="17">
        <f t="shared" si="5"/>
        <v>40544</v>
      </c>
      <c r="B75" s="6">
        <v>0.12</v>
      </c>
      <c r="C75" s="11">
        <f t="shared" si="11"/>
        <v>3.0479999999999996</v>
      </c>
      <c r="D75" s="2">
        <f t="shared" si="7"/>
        <v>1.257374269005848</v>
      </c>
      <c r="E75" s="2">
        <f t="shared" si="8"/>
        <v>2.5798292465687851</v>
      </c>
      <c r="F75" s="2">
        <f t="shared" si="9"/>
        <v>1.7906257309941516</v>
      </c>
      <c r="G75" s="1">
        <f t="shared" si="10"/>
        <v>0.69408691810735645</v>
      </c>
    </row>
    <row r="76" spans="1:7" x14ac:dyDescent="0.3">
      <c r="A76" s="17">
        <f t="shared" si="5"/>
        <v>40544</v>
      </c>
      <c r="B76" s="6">
        <v>0</v>
      </c>
      <c r="C76" s="11">
        <f t="shared" si="11"/>
        <v>0</v>
      </c>
      <c r="D76" s="2">
        <f t="shared" si="7"/>
        <v>1.257374269005848</v>
      </c>
      <c r="E76" s="2">
        <f t="shared" si="8"/>
        <v>2.5798292465687851</v>
      </c>
      <c r="F76" s="2">
        <f t="shared" si="9"/>
        <v>-1.257374269005848</v>
      </c>
      <c r="G76" s="1">
        <f t="shared" si="10"/>
        <v>-0.48738662478463496</v>
      </c>
    </row>
    <row r="77" spans="1:7" x14ac:dyDescent="0.3">
      <c r="A77" s="17">
        <f t="shared" si="5"/>
        <v>40544</v>
      </c>
      <c r="B77" s="6">
        <v>0.02</v>
      </c>
      <c r="C77" s="11">
        <f t="shared" si="11"/>
        <v>0.50800000000000001</v>
      </c>
      <c r="D77" s="2">
        <f t="shared" si="7"/>
        <v>1.257374269005848</v>
      </c>
      <c r="E77" s="2">
        <f t="shared" si="8"/>
        <v>2.5798292465687851</v>
      </c>
      <c r="F77" s="2">
        <f t="shared" si="9"/>
        <v>-0.74937426900584803</v>
      </c>
      <c r="G77" s="1">
        <f t="shared" si="10"/>
        <v>-0.29047436763596973</v>
      </c>
    </row>
    <row r="78" spans="1:7" x14ac:dyDescent="0.3">
      <c r="A78" s="17">
        <f t="shared" si="5"/>
        <v>40544</v>
      </c>
      <c r="B78" s="6">
        <v>0.03</v>
      </c>
      <c r="C78" s="11">
        <f t="shared" si="11"/>
        <v>0.7619999999999999</v>
      </c>
      <c r="D78" s="2">
        <f t="shared" si="7"/>
        <v>1.257374269005848</v>
      </c>
      <c r="E78" s="2">
        <f t="shared" si="8"/>
        <v>2.5798292465687851</v>
      </c>
      <c r="F78" s="2">
        <f t="shared" si="9"/>
        <v>-0.49537426900584813</v>
      </c>
      <c r="G78" s="1">
        <f t="shared" si="10"/>
        <v>-0.19201823906163712</v>
      </c>
    </row>
    <row r="79" spans="1:7" x14ac:dyDescent="0.3">
      <c r="A79" s="17">
        <f t="shared" si="5"/>
        <v>40544</v>
      </c>
      <c r="B79" s="6">
        <v>0.01</v>
      </c>
      <c r="C79" s="11">
        <f t="shared" si="11"/>
        <v>0.254</v>
      </c>
      <c r="D79" s="2">
        <f t="shared" si="7"/>
        <v>1.257374269005848</v>
      </c>
      <c r="E79" s="2">
        <f t="shared" si="8"/>
        <v>2.5798292465687851</v>
      </c>
      <c r="F79" s="2">
        <f t="shared" si="9"/>
        <v>-1.003374269005848</v>
      </c>
      <c r="G79" s="1">
        <f t="shared" si="10"/>
        <v>-0.38893049621030235</v>
      </c>
    </row>
    <row r="80" spans="1:7" x14ac:dyDescent="0.3">
      <c r="A80" s="17">
        <f t="shared" si="5"/>
        <v>40544</v>
      </c>
      <c r="B80" s="6">
        <v>0.01</v>
      </c>
      <c r="C80" s="11">
        <f t="shared" si="11"/>
        <v>0.254</v>
      </c>
      <c r="D80" s="2">
        <f t="shared" si="7"/>
        <v>1.257374269005848</v>
      </c>
      <c r="E80" s="2">
        <f t="shared" si="8"/>
        <v>2.5798292465687851</v>
      </c>
      <c r="F80" s="2">
        <f t="shared" si="9"/>
        <v>-1.003374269005848</v>
      </c>
      <c r="G80" s="1">
        <f t="shared" si="10"/>
        <v>-0.38893049621030235</v>
      </c>
    </row>
    <row r="81" spans="1:7" x14ac:dyDescent="0.3">
      <c r="A81" s="17">
        <f t="shared" ref="A81:A144" si="12">DATE(2011,1,1)</f>
        <v>40544</v>
      </c>
      <c r="B81" s="6">
        <v>0</v>
      </c>
      <c r="C81" s="11">
        <f t="shared" si="11"/>
        <v>0</v>
      </c>
      <c r="D81" s="2">
        <f t="shared" si="7"/>
        <v>1.257374269005848</v>
      </c>
      <c r="E81" s="2">
        <f t="shared" si="8"/>
        <v>2.5798292465687851</v>
      </c>
      <c r="F81" s="2">
        <f t="shared" si="9"/>
        <v>-1.257374269005848</v>
      </c>
      <c r="G81" s="1">
        <f t="shared" si="10"/>
        <v>-0.48738662478463496</v>
      </c>
    </row>
    <row r="82" spans="1:7" x14ac:dyDescent="0.3">
      <c r="A82" s="17">
        <f t="shared" si="12"/>
        <v>40544</v>
      </c>
      <c r="B82" s="6">
        <v>0.01</v>
      </c>
      <c r="C82" s="11">
        <f t="shared" si="11"/>
        <v>0.254</v>
      </c>
      <c r="D82" s="2">
        <f t="shared" si="7"/>
        <v>1.257374269005848</v>
      </c>
      <c r="E82" s="2">
        <f t="shared" si="8"/>
        <v>2.5798292465687851</v>
      </c>
      <c r="F82" s="2">
        <f t="shared" si="9"/>
        <v>-1.003374269005848</v>
      </c>
      <c r="G82" s="1">
        <f t="shared" si="10"/>
        <v>-0.38893049621030235</v>
      </c>
    </row>
    <row r="83" spans="1:7" x14ac:dyDescent="0.3">
      <c r="A83" s="17">
        <f t="shared" si="12"/>
        <v>40544</v>
      </c>
      <c r="B83" s="6">
        <v>0.01</v>
      </c>
      <c r="C83" s="11">
        <f t="shared" si="11"/>
        <v>0.254</v>
      </c>
      <c r="D83" s="2">
        <f t="shared" si="7"/>
        <v>1.257374269005848</v>
      </c>
      <c r="E83" s="2">
        <f t="shared" si="8"/>
        <v>2.5798292465687851</v>
      </c>
      <c r="F83" s="2">
        <f t="shared" si="9"/>
        <v>-1.003374269005848</v>
      </c>
      <c r="G83" s="1">
        <f t="shared" si="10"/>
        <v>-0.38893049621030235</v>
      </c>
    </row>
    <row r="84" spans="1:7" x14ac:dyDescent="0.3">
      <c r="A84" s="17">
        <f t="shared" si="12"/>
        <v>40544</v>
      </c>
      <c r="B84" s="6">
        <v>0.01</v>
      </c>
      <c r="C84" s="11">
        <f t="shared" si="11"/>
        <v>0.254</v>
      </c>
      <c r="D84" s="2">
        <f t="shared" si="7"/>
        <v>1.257374269005848</v>
      </c>
      <c r="E84" s="2">
        <f t="shared" si="8"/>
        <v>2.5798292465687851</v>
      </c>
      <c r="F84" s="2">
        <f t="shared" si="9"/>
        <v>-1.003374269005848</v>
      </c>
      <c r="G84" s="1">
        <f t="shared" si="10"/>
        <v>-0.38893049621030235</v>
      </c>
    </row>
    <row r="85" spans="1:7" x14ac:dyDescent="0.3">
      <c r="A85" s="17">
        <f t="shared" si="12"/>
        <v>40544</v>
      </c>
      <c r="B85" s="6">
        <v>0.01</v>
      </c>
      <c r="C85" s="11">
        <f>B85*25.4</f>
        <v>0.254</v>
      </c>
      <c r="D85" s="2">
        <f t="shared" si="7"/>
        <v>1.257374269005848</v>
      </c>
      <c r="E85" s="2">
        <f t="shared" si="8"/>
        <v>2.5798292465687851</v>
      </c>
      <c r="F85" s="2">
        <f t="shared" si="9"/>
        <v>-1.003374269005848</v>
      </c>
      <c r="G85" s="1">
        <f t="shared" si="10"/>
        <v>-0.38893049621030235</v>
      </c>
    </row>
    <row r="86" spans="1:7" x14ac:dyDescent="0.3">
      <c r="A86" s="17">
        <f t="shared" si="12"/>
        <v>40544</v>
      </c>
      <c r="B86" s="6">
        <v>0.01</v>
      </c>
      <c r="C86" s="11">
        <f t="shared" ref="C86:C120" si="13">B86*25.4</f>
        <v>0.254</v>
      </c>
      <c r="D86" s="2">
        <f t="shared" si="7"/>
        <v>1.257374269005848</v>
      </c>
      <c r="E86" s="2">
        <f t="shared" si="8"/>
        <v>2.5798292465687851</v>
      </c>
      <c r="F86" s="2">
        <f t="shared" si="9"/>
        <v>-1.003374269005848</v>
      </c>
      <c r="G86" s="1">
        <f t="shared" si="10"/>
        <v>-0.38893049621030235</v>
      </c>
    </row>
    <row r="87" spans="1:7" x14ac:dyDescent="0.3">
      <c r="A87" s="17">
        <f t="shared" si="12"/>
        <v>40544</v>
      </c>
      <c r="B87" s="6">
        <v>0.03</v>
      </c>
      <c r="C87" s="11">
        <f t="shared" si="13"/>
        <v>0.7619999999999999</v>
      </c>
      <c r="D87" s="2">
        <f t="shared" si="7"/>
        <v>1.257374269005848</v>
      </c>
      <c r="E87" s="2">
        <f t="shared" si="8"/>
        <v>2.5798292465687851</v>
      </c>
      <c r="F87" s="2">
        <f t="shared" si="9"/>
        <v>-0.49537426900584813</v>
      </c>
      <c r="G87" s="1">
        <f t="shared" si="10"/>
        <v>-0.19201823906163712</v>
      </c>
    </row>
    <row r="88" spans="1:7" x14ac:dyDescent="0.3">
      <c r="A88" s="17">
        <f t="shared" si="12"/>
        <v>40544</v>
      </c>
      <c r="B88" s="6">
        <v>0.02</v>
      </c>
      <c r="C88" s="11">
        <f t="shared" si="13"/>
        <v>0.50800000000000001</v>
      </c>
      <c r="D88" s="2">
        <f t="shared" si="7"/>
        <v>1.257374269005848</v>
      </c>
      <c r="E88" s="2">
        <f t="shared" si="8"/>
        <v>2.5798292465687851</v>
      </c>
      <c r="F88" s="2">
        <f t="shared" si="9"/>
        <v>-0.74937426900584803</v>
      </c>
      <c r="G88" s="1">
        <f t="shared" si="10"/>
        <v>-0.29047436763596973</v>
      </c>
    </row>
    <row r="89" spans="1:7" x14ac:dyDescent="0.3">
      <c r="A89" s="17">
        <f t="shared" si="12"/>
        <v>40544</v>
      </c>
      <c r="B89" s="6">
        <v>0.02</v>
      </c>
      <c r="C89" s="11">
        <f t="shared" si="13"/>
        <v>0.50800000000000001</v>
      </c>
      <c r="D89" s="2">
        <f t="shared" si="7"/>
        <v>1.257374269005848</v>
      </c>
      <c r="E89" s="2">
        <f t="shared" si="8"/>
        <v>2.5798292465687851</v>
      </c>
      <c r="F89" s="2">
        <f t="shared" si="9"/>
        <v>-0.74937426900584803</v>
      </c>
      <c r="G89" s="1">
        <f t="shared" si="10"/>
        <v>-0.29047436763596973</v>
      </c>
    </row>
    <row r="90" spans="1:7" x14ac:dyDescent="0.3">
      <c r="A90" s="17">
        <f t="shared" si="12"/>
        <v>40544</v>
      </c>
      <c r="B90" s="6">
        <v>0.01</v>
      </c>
      <c r="C90" s="11">
        <f t="shared" si="13"/>
        <v>0.254</v>
      </c>
      <c r="D90" s="2">
        <f t="shared" si="7"/>
        <v>1.257374269005848</v>
      </c>
      <c r="E90" s="2">
        <f t="shared" si="8"/>
        <v>2.5798292465687851</v>
      </c>
      <c r="F90" s="2">
        <f t="shared" si="9"/>
        <v>-1.003374269005848</v>
      </c>
      <c r="G90" s="1">
        <f t="shared" si="10"/>
        <v>-0.38893049621030235</v>
      </c>
    </row>
    <row r="91" spans="1:7" x14ac:dyDescent="0.3">
      <c r="A91" s="17">
        <f t="shared" si="12"/>
        <v>40544</v>
      </c>
      <c r="B91" s="6">
        <v>0</v>
      </c>
      <c r="C91" s="11">
        <f t="shared" si="13"/>
        <v>0</v>
      </c>
      <c r="D91" s="2">
        <f t="shared" si="7"/>
        <v>1.257374269005848</v>
      </c>
      <c r="E91" s="2">
        <f t="shared" si="8"/>
        <v>2.5798292465687851</v>
      </c>
      <c r="F91" s="2">
        <f t="shared" si="9"/>
        <v>-1.257374269005848</v>
      </c>
      <c r="G91" s="1">
        <f t="shared" si="10"/>
        <v>-0.48738662478463496</v>
      </c>
    </row>
    <row r="92" spans="1:7" x14ac:dyDescent="0.3">
      <c r="A92" s="17">
        <f t="shared" si="12"/>
        <v>40544</v>
      </c>
      <c r="B92" s="6">
        <v>0.01</v>
      </c>
      <c r="C92" s="11">
        <f t="shared" si="13"/>
        <v>0.254</v>
      </c>
      <c r="D92" s="2">
        <f t="shared" si="7"/>
        <v>1.257374269005848</v>
      </c>
      <c r="E92" s="2">
        <f t="shared" si="8"/>
        <v>2.5798292465687851</v>
      </c>
      <c r="F92" s="2">
        <f t="shared" si="9"/>
        <v>-1.003374269005848</v>
      </c>
      <c r="G92" s="1">
        <f t="shared" si="10"/>
        <v>-0.38893049621030235</v>
      </c>
    </row>
    <row r="93" spans="1:7" x14ac:dyDescent="0.3">
      <c r="A93" s="17">
        <f t="shared" si="12"/>
        <v>40544</v>
      </c>
      <c r="B93" s="6">
        <v>0.01</v>
      </c>
      <c r="C93" s="11">
        <f t="shared" si="13"/>
        <v>0.254</v>
      </c>
      <c r="D93" s="2">
        <f t="shared" si="7"/>
        <v>1.257374269005848</v>
      </c>
      <c r="E93" s="2">
        <f t="shared" si="8"/>
        <v>2.5798292465687851</v>
      </c>
      <c r="F93" s="2">
        <f t="shared" si="9"/>
        <v>-1.003374269005848</v>
      </c>
      <c r="G93" s="1">
        <f t="shared" si="10"/>
        <v>-0.38893049621030235</v>
      </c>
    </row>
    <row r="94" spans="1:7" x14ac:dyDescent="0.3">
      <c r="A94" s="17">
        <f t="shared" si="12"/>
        <v>40544</v>
      </c>
      <c r="B94" s="6">
        <v>0</v>
      </c>
      <c r="C94" s="11">
        <f t="shared" si="13"/>
        <v>0</v>
      </c>
      <c r="D94" s="2">
        <f t="shared" si="7"/>
        <v>1.257374269005848</v>
      </c>
      <c r="E94" s="2">
        <f t="shared" si="8"/>
        <v>2.5798292465687851</v>
      </c>
      <c r="F94" s="2">
        <f t="shared" si="9"/>
        <v>-1.257374269005848</v>
      </c>
      <c r="G94" s="1">
        <f t="shared" si="10"/>
        <v>-0.48738662478463496</v>
      </c>
    </row>
    <row r="95" spans="1:7" x14ac:dyDescent="0.3">
      <c r="A95" s="17">
        <f t="shared" si="12"/>
        <v>40544</v>
      </c>
      <c r="B95" s="6">
        <v>0.01</v>
      </c>
      <c r="C95" s="11">
        <f t="shared" si="13"/>
        <v>0.254</v>
      </c>
      <c r="D95" s="2">
        <f t="shared" si="7"/>
        <v>1.257374269005848</v>
      </c>
      <c r="E95" s="2">
        <f t="shared" si="8"/>
        <v>2.5798292465687851</v>
      </c>
      <c r="F95" s="2">
        <f t="shared" si="9"/>
        <v>-1.003374269005848</v>
      </c>
      <c r="G95" s="1">
        <f t="shared" si="10"/>
        <v>-0.38893049621030235</v>
      </c>
    </row>
    <row r="96" spans="1:7" x14ac:dyDescent="0.3">
      <c r="A96" s="17">
        <f t="shared" si="12"/>
        <v>40544</v>
      </c>
      <c r="B96" s="6">
        <v>0</v>
      </c>
      <c r="C96" s="11">
        <f t="shared" si="13"/>
        <v>0</v>
      </c>
      <c r="D96" s="2">
        <f t="shared" si="7"/>
        <v>1.257374269005848</v>
      </c>
      <c r="E96" s="2">
        <f t="shared" si="8"/>
        <v>2.5798292465687851</v>
      </c>
      <c r="F96" s="2">
        <f t="shared" si="9"/>
        <v>-1.257374269005848</v>
      </c>
      <c r="G96" s="1">
        <f t="shared" si="10"/>
        <v>-0.48738662478463496</v>
      </c>
    </row>
    <row r="97" spans="1:7" x14ac:dyDescent="0.3">
      <c r="A97" s="17">
        <f t="shared" si="12"/>
        <v>40544</v>
      </c>
      <c r="B97" s="6">
        <v>0.01</v>
      </c>
      <c r="C97" s="11">
        <f t="shared" si="13"/>
        <v>0.254</v>
      </c>
      <c r="D97" s="2">
        <f t="shared" si="7"/>
        <v>1.257374269005848</v>
      </c>
      <c r="E97" s="2">
        <f t="shared" si="8"/>
        <v>2.5798292465687851</v>
      </c>
      <c r="F97" s="2">
        <f t="shared" si="9"/>
        <v>-1.003374269005848</v>
      </c>
      <c r="G97" s="1">
        <f t="shared" si="10"/>
        <v>-0.38893049621030235</v>
      </c>
    </row>
    <row r="98" spans="1:7" x14ac:dyDescent="0.3">
      <c r="A98" s="17">
        <f t="shared" si="12"/>
        <v>40544</v>
      </c>
      <c r="B98" s="6">
        <v>0.03</v>
      </c>
      <c r="C98" s="11">
        <f t="shared" si="13"/>
        <v>0.7619999999999999</v>
      </c>
      <c r="D98" s="2">
        <f t="shared" si="7"/>
        <v>1.257374269005848</v>
      </c>
      <c r="E98" s="2">
        <f t="shared" si="8"/>
        <v>2.5798292465687851</v>
      </c>
      <c r="F98" s="2">
        <f t="shared" si="9"/>
        <v>-0.49537426900584813</v>
      </c>
      <c r="G98" s="1">
        <f t="shared" si="10"/>
        <v>-0.19201823906163712</v>
      </c>
    </row>
    <row r="99" spans="1:7" x14ac:dyDescent="0.3">
      <c r="A99" s="17">
        <f t="shared" si="12"/>
        <v>40544</v>
      </c>
      <c r="B99" s="6">
        <v>0.02</v>
      </c>
      <c r="C99" s="11">
        <f t="shared" si="13"/>
        <v>0.50800000000000001</v>
      </c>
      <c r="D99" s="2">
        <f t="shared" si="7"/>
        <v>1.257374269005848</v>
      </c>
      <c r="E99" s="2">
        <f t="shared" si="8"/>
        <v>2.5798292465687851</v>
      </c>
      <c r="F99" s="2">
        <f t="shared" si="9"/>
        <v>-0.74937426900584803</v>
      </c>
      <c r="G99" s="1">
        <f t="shared" si="10"/>
        <v>-0.29047436763596973</v>
      </c>
    </row>
    <row r="100" spans="1:7" x14ac:dyDescent="0.3">
      <c r="A100" s="17">
        <f t="shared" si="12"/>
        <v>40544</v>
      </c>
      <c r="B100" s="6">
        <v>0.01</v>
      </c>
      <c r="C100" s="11">
        <f t="shared" si="13"/>
        <v>0.254</v>
      </c>
      <c r="D100" s="2">
        <f t="shared" si="7"/>
        <v>1.257374269005848</v>
      </c>
      <c r="E100" s="2">
        <f t="shared" si="8"/>
        <v>2.5798292465687851</v>
      </c>
      <c r="F100" s="2">
        <f t="shared" si="9"/>
        <v>-1.003374269005848</v>
      </c>
      <c r="G100" s="1">
        <f t="shared" si="10"/>
        <v>-0.38893049621030235</v>
      </c>
    </row>
    <row r="101" spans="1:7" x14ac:dyDescent="0.3">
      <c r="A101" s="17">
        <f t="shared" si="12"/>
        <v>40544</v>
      </c>
      <c r="B101" s="6">
        <v>0.03</v>
      </c>
      <c r="C101" s="11">
        <f t="shared" si="13"/>
        <v>0.7619999999999999</v>
      </c>
      <c r="D101" s="2">
        <f t="shared" si="7"/>
        <v>1.257374269005848</v>
      </c>
      <c r="E101" s="2">
        <f t="shared" si="8"/>
        <v>2.5798292465687851</v>
      </c>
      <c r="F101" s="2">
        <f t="shared" si="9"/>
        <v>-0.49537426900584813</v>
      </c>
      <c r="G101" s="1">
        <f t="shared" si="10"/>
        <v>-0.19201823906163712</v>
      </c>
    </row>
    <row r="102" spans="1:7" x14ac:dyDescent="0.3">
      <c r="A102" s="17">
        <f t="shared" si="12"/>
        <v>40544</v>
      </c>
      <c r="B102" s="6">
        <v>0</v>
      </c>
      <c r="C102" s="11">
        <f t="shared" si="13"/>
        <v>0</v>
      </c>
      <c r="D102" s="2">
        <f t="shared" si="7"/>
        <v>1.257374269005848</v>
      </c>
      <c r="E102" s="2">
        <f t="shared" si="8"/>
        <v>2.5798292465687851</v>
      </c>
      <c r="F102" s="2">
        <f t="shared" si="9"/>
        <v>-1.257374269005848</v>
      </c>
      <c r="G102" s="1">
        <f t="shared" si="10"/>
        <v>-0.48738662478463496</v>
      </c>
    </row>
    <row r="103" spans="1:7" x14ac:dyDescent="0.3">
      <c r="A103" s="17">
        <f t="shared" si="12"/>
        <v>40544</v>
      </c>
      <c r="B103" s="6">
        <v>0.01</v>
      </c>
      <c r="C103" s="11">
        <f t="shared" si="13"/>
        <v>0.254</v>
      </c>
      <c r="D103" s="2">
        <f t="shared" si="7"/>
        <v>1.257374269005848</v>
      </c>
      <c r="E103" s="2">
        <f t="shared" si="8"/>
        <v>2.5798292465687851</v>
      </c>
      <c r="F103" s="2">
        <f t="shared" si="9"/>
        <v>-1.003374269005848</v>
      </c>
      <c r="G103" s="1">
        <f t="shared" si="10"/>
        <v>-0.38893049621030235</v>
      </c>
    </row>
    <row r="104" spans="1:7" x14ac:dyDescent="0.3">
      <c r="A104" s="17">
        <f t="shared" si="12"/>
        <v>40544</v>
      </c>
      <c r="B104" s="6">
        <v>0</v>
      </c>
      <c r="C104" s="11">
        <f t="shared" si="13"/>
        <v>0</v>
      </c>
      <c r="D104" s="2">
        <f t="shared" si="7"/>
        <v>1.257374269005848</v>
      </c>
      <c r="E104" s="2">
        <f t="shared" si="8"/>
        <v>2.5798292465687851</v>
      </c>
      <c r="F104" s="2">
        <f t="shared" si="9"/>
        <v>-1.257374269005848</v>
      </c>
      <c r="G104" s="1">
        <f t="shared" si="10"/>
        <v>-0.48738662478463496</v>
      </c>
    </row>
    <row r="105" spans="1:7" x14ac:dyDescent="0.3">
      <c r="A105" s="17">
        <f t="shared" si="12"/>
        <v>40544</v>
      </c>
      <c r="B105" s="6">
        <v>0</v>
      </c>
      <c r="C105" s="11">
        <f t="shared" si="13"/>
        <v>0</v>
      </c>
      <c r="D105" s="2">
        <f t="shared" si="7"/>
        <v>1.257374269005848</v>
      </c>
      <c r="E105" s="2">
        <f t="shared" si="8"/>
        <v>2.5798292465687851</v>
      </c>
      <c r="F105" s="2">
        <f t="shared" si="9"/>
        <v>-1.257374269005848</v>
      </c>
      <c r="G105" s="1">
        <f t="shared" si="10"/>
        <v>-0.48738662478463496</v>
      </c>
    </row>
    <row r="106" spans="1:7" x14ac:dyDescent="0.3">
      <c r="A106" s="17">
        <f t="shared" si="12"/>
        <v>40544</v>
      </c>
      <c r="B106" s="6">
        <v>0</v>
      </c>
      <c r="C106" s="11">
        <f t="shared" si="13"/>
        <v>0</v>
      </c>
      <c r="D106" s="2">
        <f t="shared" si="7"/>
        <v>1.257374269005848</v>
      </c>
      <c r="E106" s="2">
        <f t="shared" si="8"/>
        <v>2.5798292465687851</v>
      </c>
      <c r="F106" s="2">
        <f t="shared" si="9"/>
        <v>-1.257374269005848</v>
      </c>
      <c r="G106" s="1">
        <f t="shared" si="10"/>
        <v>-0.48738662478463496</v>
      </c>
    </row>
    <row r="107" spans="1:7" x14ac:dyDescent="0.3">
      <c r="A107" s="17">
        <f t="shared" si="12"/>
        <v>40544</v>
      </c>
      <c r="B107" s="6">
        <v>0</v>
      </c>
      <c r="C107" s="11">
        <f t="shared" si="13"/>
        <v>0</v>
      </c>
      <c r="D107" s="2">
        <f t="shared" si="7"/>
        <v>1.257374269005848</v>
      </c>
      <c r="E107" s="2">
        <f t="shared" si="8"/>
        <v>2.5798292465687851</v>
      </c>
      <c r="F107" s="2">
        <f t="shared" si="9"/>
        <v>-1.257374269005848</v>
      </c>
      <c r="G107" s="1">
        <f t="shared" si="10"/>
        <v>-0.48738662478463496</v>
      </c>
    </row>
    <row r="108" spans="1:7" x14ac:dyDescent="0.3">
      <c r="A108" s="17">
        <f t="shared" si="12"/>
        <v>40544</v>
      </c>
      <c r="B108" s="6">
        <v>0.01</v>
      </c>
      <c r="C108" s="11">
        <f t="shared" si="13"/>
        <v>0.254</v>
      </c>
      <c r="D108" s="2">
        <f t="shared" si="7"/>
        <v>1.257374269005848</v>
      </c>
      <c r="E108" s="2">
        <f t="shared" si="8"/>
        <v>2.5798292465687851</v>
      </c>
      <c r="F108" s="2">
        <f t="shared" si="9"/>
        <v>-1.003374269005848</v>
      </c>
      <c r="G108" s="1">
        <f t="shared" si="10"/>
        <v>-0.38893049621030235</v>
      </c>
    </row>
    <row r="109" spans="1:7" x14ac:dyDescent="0.3">
      <c r="A109" s="17">
        <f t="shared" si="12"/>
        <v>40544</v>
      </c>
      <c r="B109" s="6">
        <v>0.01</v>
      </c>
      <c r="C109" s="11">
        <f t="shared" si="13"/>
        <v>0.254</v>
      </c>
      <c r="D109" s="2">
        <f t="shared" si="7"/>
        <v>1.257374269005848</v>
      </c>
      <c r="E109" s="2">
        <f t="shared" si="8"/>
        <v>2.5798292465687851</v>
      </c>
      <c r="F109" s="2">
        <f t="shared" si="9"/>
        <v>-1.003374269005848</v>
      </c>
      <c r="G109" s="1">
        <f t="shared" si="10"/>
        <v>-0.38893049621030235</v>
      </c>
    </row>
    <row r="110" spans="1:7" x14ac:dyDescent="0.3">
      <c r="A110" s="17">
        <f t="shared" si="12"/>
        <v>40544</v>
      </c>
      <c r="B110" s="6">
        <v>0.04</v>
      </c>
      <c r="C110" s="11">
        <f t="shared" si="13"/>
        <v>1.016</v>
      </c>
      <c r="D110" s="2">
        <f t="shared" si="7"/>
        <v>1.257374269005848</v>
      </c>
      <c r="E110" s="2">
        <f t="shared" si="8"/>
        <v>2.5798292465687851</v>
      </c>
      <c r="F110" s="2">
        <f t="shared" si="9"/>
        <v>-0.24137426900584802</v>
      </c>
      <c r="G110" s="1">
        <f t="shared" si="10"/>
        <v>-9.3562110487304437E-2</v>
      </c>
    </row>
    <row r="111" spans="1:7" x14ac:dyDescent="0.3">
      <c r="A111" s="17">
        <f t="shared" si="12"/>
        <v>40544</v>
      </c>
      <c r="B111" s="6">
        <v>0.09</v>
      </c>
      <c r="C111" s="11">
        <f t="shared" si="13"/>
        <v>2.2859999999999996</v>
      </c>
      <c r="D111" s="2">
        <f t="shared" si="7"/>
        <v>1.257374269005848</v>
      </c>
      <c r="E111" s="2">
        <f t="shared" si="8"/>
        <v>2.5798292465687851</v>
      </c>
      <c r="F111" s="2">
        <f t="shared" si="9"/>
        <v>1.0286257309941516</v>
      </c>
      <c r="G111" s="1">
        <f t="shared" si="10"/>
        <v>0.39871853238435861</v>
      </c>
    </row>
    <row r="112" spans="1:7" x14ac:dyDescent="0.3">
      <c r="A112" s="17">
        <f t="shared" si="12"/>
        <v>40544</v>
      </c>
      <c r="B112" s="6">
        <v>0</v>
      </c>
      <c r="C112" s="11">
        <f t="shared" si="13"/>
        <v>0</v>
      </c>
      <c r="D112" s="2">
        <f t="shared" si="7"/>
        <v>1.257374269005848</v>
      </c>
      <c r="E112" s="2">
        <f t="shared" si="8"/>
        <v>2.5798292465687851</v>
      </c>
      <c r="F112" s="2">
        <f t="shared" si="9"/>
        <v>-1.257374269005848</v>
      </c>
      <c r="G112" s="1">
        <f t="shared" si="10"/>
        <v>-0.48738662478463496</v>
      </c>
    </row>
    <row r="113" spans="1:7" x14ac:dyDescent="0.3">
      <c r="A113" s="17">
        <f t="shared" si="12"/>
        <v>40544</v>
      </c>
      <c r="B113" s="6">
        <v>0.03</v>
      </c>
      <c r="C113" s="11">
        <f t="shared" si="13"/>
        <v>0.7619999999999999</v>
      </c>
      <c r="D113" s="2">
        <f t="shared" si="7"/>
        <v>1.257374269005848</v>
      </c>
      <c r="E113" s="2">
        <f t="shared" si="8"/>
        <v>2.5798292465687851</v>
      </c>
      <c r="F113" s="2">
        <f t="shared" si="9"/>
        <v>-0.49537426900584813</v>
      </c>
      <c r="G113" s="1">
        <f t="shared" si="10"/>
        <v>-0.19201823906163712</v>
      </c>
    </row>
    <row r="114" spans="1:7" x14ac:dyDescent="0.3">
      <c r="A114" s="17">
        <f t="shared" si="12"/>
        <v>40544</v>
      </c>
      <c r="B114" s="6">
        <v>0</v>
      </c>
      <c r="C114" s="11">
        <f t="shared" si="13"/>
        <v>0</v>
      </c>
      <c r="D114" s="2">
        <f t="shared" si="7"/>
        <v>1.257374269005848</v>
      </c>
      <c r="E114" s="2">
        <f t="shared" si="8"/>
        <v>2.5798292465687851</v>
      </c>
      <c r="F114" s="2">
        <f t="shared" si="9"/>
        <v>-1.257374269005848</v>
      </c>
      <c r="G114" s="1">
        <f t="shared" si="10"/>
        <v>-0.48738662478463496</v>
      </c>
    </row>
    <row r="115" spans="1:7" x14ac:dyDescent="0.3">
      <c r="A115" s="17">
        <f t="shared" si="12"/>
        <v>40544</v>
      </c>
      <c r="B115" s="6">
        <v>0.01</v>
      </c>
      <c r="C115" s="11">
        <f t="shared" si="13"/>
        <v>0.254</v>
      </c>
      <c r="D115" s="2">
        <f t="shared" si="7"/>
        <v>1.257374269005848</v>
      </c>
      <c r="E115" s="2">
        <f t="shared" si="8"/>
        <v>2.5798292465687851</v>
      </c>
      <c r="F115" s="2">
        <f t="shared" si="9"/>
        <v>-1.003374269005848</v>
      </c>
      <c r="G115" s="1">
        <f t="shared" si="10"/>
        <v>-0.38893049621030235</v>
      </c>
    </row>
    <row r="116" spans="1:7" x14ac:dyDescent="0.3">
      <c r="A116" s="17">
        <f t="shared" si="12"/>
        <v>40544</v>
      </c>
      <c r="B116" s="6">
        <v>0.01</v>
      </c>
      <c r="C116" s="11">
        <f t="shared" si="13"/>
        <v>0.254</v>
      </c>
      <c r="D116" s="2">
        <f t="shared" si="7"/>
        <v>1.257374269005848</v>
      </c>
      <c r="E116" s="2">
        <f t="shared" si="8"/>
        <v>2.5798292465687851</v>
      </c>
      <c r="F116" s="2">
        <f t="shared" si="9"/>
        <v>-1.003374269005848</v>
      </c>
      <c r="G116" s="1">
        <f t="shared" si="10"/>
        <v>-0.38893049621030235</v>
      </c>
    </row>
    <row r="117" spans="1:7" x14ac:dyDescent="0.3">
      <c r="A117" s="17">
        <f t="shared" si="12"/>
        <v>40544</v>
      </c>
      <c r="B117" s="6">
        <v>0</v>
      </c>
      <c r="C117" s="11">
        <f>B117*25.4</f>
        <v>0</v>
      </c>
      <c r="D117" s="2">
        <f t="shared" si="7"/>
        <v>1.257374269005848</v>
      </c>
      <c r="E117" s="2">
        <f t="shared" si="8"/>
        <v>2.5798292465687851</v>
      </c>
      <c r="F117" s="2">
        <f t="shared" si="9"/>
        <v>-1.257374269005848</v>
      </c>
      <c r="G117" s="1">
        <f t="shared" si="10"/>
        <v>-0.48738662478463496</v>
      </c>
    </row>
    <row r="118" spans="1:7" x14ac:dyDescent="0.3">
      <c r="A118" s="17">
        <f t="shared" si="12"/>
        <v>40544</v>
      </c>
      <c r="B118" s="6">
        <v>0</v>
      </c>
      <c r="C118" s="11">
        <f t="shared" si="13"/>
        <v>0</v>
      </c>
      <c r="D118" s="2">
        <f t="shared" si="7"/>
        <v>1.257374269005848</v>
      </c>
      <c r="E118" s="2">
        <f t="shared" si="8"/>
        <v>2.5798292465687851</v>
      </c>
      <c r="F118" s="2">
        <f t="shared" si="9"/>
        <v>-1.257374269005848</v>
      </c>
      <c r="G118" s="1">
        <f t="shared" si="10"/>
        <v>-0.48738662478463496</v>
      </c>
    </row>
    <row r="119" spans="1:7" x14ac:dyDescent="0.3">
      <c r="A119" s="17">
        <f t="shared" si="12"/>
        <v>40544</v>
      </c>
      <c r="B119" s="6">
        <v>0.02</v>
      </c>
      <c r="C119" s="11">
        <f t="shared" si="13"/>
        <v>0.50800000000000001</v>
      </c>
      <c r="D119" s="2">
        <f t="shared" si="7"/>
        <v>1.257374269005848</v>
      </c>
      <c r="E119" s="2">
        <f t="shared" si="8"/>
        <v>2.5798292465687851</v>
      </c>
      <c r="F119" s="2">
        <f t="shared" si="9"/>
        <v>-0.74937426900584803</v>
      </c>
      <c r="G119" s="1">
        <f t="shared" si="10"/>
        <v>-0.29047436763596973</v>
      </c>
    </row>
    <row r="120" spans="1:7" x14ac:dyDescent="0.3">
      <c r="A120" s="17">
        <f t="shared" si="12"/>
        <v>40544</v>
      </c>
      <c r="B120" s="6">
        <v>0</v>
      </c>
      <c r="C120" s="11">
        <f t="shared" si="13"/>
        <v>0</v>
      </c>
      <c r="D120" s="2">
        <f t="shared" si="7"/>
        <v>1.257374269005848</v>
      </c>
      <c r="E120" s="2">
        <f t="shared" si="8"/>
        <v>2.5798292465687851</v>
      </c>
      <c r="F120" s="2">
        <f t="shared" si="9"/>
        <v>-1.257374269005848</v>
      </c>
      <c r="G120" s="1">
        <f t="shared" si="10"/>
        <v>-0.48738662478463496</v>
      </c>
    </row>
    <row r="121" spans="1:7" x14ac:dyDescent="0.3">
      <c r="A121" s="17">
        <f t="shared" si="12"/>
        <v>40544</v>
      </c>
      <c r="B121" s="6">
        <v>0.01</v>
      </c>
      <c r="C121" s="11">
        <f>B121*25.4</f>
        <v>0.254</v>
      </c>
      <c r="D121" s="2">
        <f t="shared" si="7"/>
        <v>1.257374269005848</v>
      </c>
      <c r="E121" s="2">
        <f t="shared" si="8"/>
        <v>2.5798292465687851</v>
      </c>
      <c r="F121" s="2">
        <f t="shared" si="9"/>
        <v>-1.003374269005848</v>
      </c>
      <c r="G121" s="1">
        <f t="shared" si="10"/>
        <v>-0.38893049621030235</v>
      </c>
    </row>
    <row r="122" spans="1:7" x14ac:dyDescent="0.3">
      <c r="A122" s="17">
        <f t="shared" si="12"/>
        <v>40544</v>
      </c>
      <c r="B122" s="6">
        <v>0.15</v>
      </c>
      <c r="C122" s="11">
        <f t="shared" ref="C122:C141" si="14">B122*25.4</f>
        <v>3.8099999999999996</v>
      </c>
      <c r="D122" s="2">
        <f t="shared" si="7"/>
        <v>1.257374269005848</v>
      </c>
      <c r="E122" s="2">
        <f t="shared" si="8"/>
        <v>2.5798292465687851</v>
      </c>
      <c r="F122" s="2">
        <f t="shared" si="9"/>
        <v>2.5526257309941514</v>
      </c>
      <c r="G122" s="1">
        <f t="shared" si="10"/>
        <v>0.98945530383035429</v>
      </c>
    </row>
    <row r="123" spans="1:7" x14ac:dyDescent="0.3">
      <c r="A123" s="17">
        <f t="shared" si="12"/>
        <v>40544</v>
      </c>
      <c r="B123" s="6">
        <v>0.09</v>
      </c>
      <c r="C123" s="11">
        <f t="shared" si="14"/>
        <v>2.2859999999999996</v>
      </c>
      <c r="D123" s="2">
        <f t="shared" si="7"/>
        <v>1.257374269005848</v>
      </c>
      <c r="E123" s="2">
        <f t="shared" si="8"/>
        <v>2.5798292465687851</v>
      </c>
      <c r="F123" s="2">
        <f t="shared" si="9"/>
        <v>1.0286257309941516</v>
      </c>
      <c r="G123" s="1">
        <f t="shared" si="10"/>
        <v>0.39871853238435861</v>
      </c>
    </row>
    <row r="124" spans="1:7" x14ac:dyDescent="0.3">
      <c r="A124" s="17">
        <f t="shared" si="12"/>
        <v>40544</v>
      </c>
      <c r="B124" s="6">
        <v>0</v>
      </c>
      <c r="C124" s="11">
        <f t="shared" si="14"/>
        <v>0</v>
      </c>
      <c r="D124" s="2">
        <f t="shared" si="7"/>
        <v>1.257374269005848</v>
      </c>
      <c r="E124" s="2">
        <f t="shared" si="8"/>
        <v>2.5798292465687851</v>
      </c>
      <c r="F124" s="2">
        <f t="shared" si="9"/>
        <v>-1.257374269005848</v>
      </c>
      <c r="G124" s="1">
        <f t="shared" si="10"/>
        <v>-0.48738662478463496</v>
      </c>
    </row>
    <row r="125" spans="1:7" x14ac:dyDescent="0.3">
      <c r="A125" s="17">
        <f t="shared" si="12"/>
        <v>40544</v>
      </c>
      <c r="B125" s="6">
        <v>0</v>
      </c>
      <c r="C125" s="11">
        <f t="shared" si="14"/>
        <v>0</v>
      </c>
      <c r="D125" s="2">
        <f t="shared" si="7"/>
        <v>1.257374269005848</v>
      </c>
      <c r="E125" s="2">
        <f t="shared" si="8"/>
        <v>2.5798292465687851</v>
      </c>
      <c r="F125" s="2">
        <f t="shared" si="9"/>
        <v>-1.257374269005848</v>
      </c>
      <c r="G125" s="1">
        <f t="shared" si="10"/>
        <v>-0.48738662478463496</v>
      </c>
    </row>
    <row r="126" spans="1:7" x14ac:dyDescent="0.3">
      <c r="A126" s="17">
        <f t="shared" si="12"/>
        <v>40544</v>
      </c>
      <c r="B126" s="6">
        <v>0.01</v>
      </c>
      <c r="C126" s="11">
        <f t="shared" si="14"/>
        <v>0.254</v>
      </c>
      <c r="D126" s="2">
        <f t="shared" si="7"/>
        <v>1.257374269005848</v>
      </c>
      <c r="E126" s="2">
        <f t="shared" si="8"/>
        <v>2.5798292465687851</v>
      </c>
      <c r="F126" s="2">
        <f t="shared" si="9"/>
        <v>-1.003374269005848</v>
      </c>
      <c r="G126" s="1">
        <f t="shared" si="10"/>
        <v>-0.38893049621030235</v>
      </c>
    </row>
    <row r="127" spans="1:7" x14ac:dyDescent="0.3">
      <c r="A127" s="17">
        <f t="shared" si="12"/>
        <v>40544</v>
      </c>
      <c r="B127" s="6">
        <v>0.02</v>
      </c>
      <c r="C127" s="11">
        <f t="shared" si="14"/>
        <v>0.50800000000000001</v>
      </c>
      <c r="D127" s="2">
        <f t="shared" si="7"/>
        <v>1.257374269005848</v>
      </c>
      <c r="E127" s="2">
        <f t="shared" si="8"/>
        <v>2.5798292465687851</v>
      </c>
      <c r="F127" s="2">
        <f t="shared" si="9"/>
        <v>-0.74937426900584803</v>
      </c>
      <c r="G127" s="1">
        <f t="shared" si="10"/>
        <v>-0.29047436763596973</v>
      </c>
    </row>
    <row r="128" spans="1:7" x14ac:dyDescent="0.3">
      <c r="A128" s="17">
        <f t="shared" si="12"/>
        <v>40544</v>
      </c>
      <c r="B128" s="6">
        <v>0.01</v>
      </c>
      <c r="C128" s="11">
        <f t="shared" si="14"/>
        <v>0.254</v>
      </c>
      <c r="D128" s="2">
        <f t="shared" si="7"/>
        <v>1.257374269005848</v>
      </c>
      <c r="E128" s="2">
        <f t="shared" si="8"/>
        <v>2.5798292465687851</v>
      </c>
      <c r="F128" s="2">
        <f t="shared" si="9"/>
        <v>-1.003374269005848</v>
      </c>
      <c r="G128" s="1">
        <f t="shared" si="10"/>
        <v>-0.38893049621030235</v>
      </c>
    </row>
    <row r="129" spans="1:7" x14ac:dyDescent="0.3">
      <c r="A129" s="17">
        <f t="shared" si="12"/>
        <v>40544</v>
      </c>
      <c r="B129" s="6">
        <v>0.01</v>
      </c>
      <c r="C129" s="11">
        <f t="shared" si="14"/>
        <v>0.254</v>
      </c>
      <c r="D129" s="2">
        <f t="shared" si="7"/>
        <v>1.257374269005848</v>
      </c>
      <c r="E129" s="2">
        <f t="shared" si="8"/>
        <v>2.5798292465687851</v>
      </c>
      <c r="F129" s="2">
        <f t="shared" si="9"/>
        <v>-1.003374269005848</v>
      </c>
      <c r="G129" s="1">
        <f t="shared" si="10"/>
        <v>-0.38893049621030235</v>
      </c>
    </row>
    <row r="130" spans="1:7" x14ac:dyDescent="0.3">
      <c r="A130" s="17">
        <f t="shared" si="12"/>
        <v>40544</v>
      </c>
      <c r="B130" s="6">
        <v>0</v>
      </c>
      <c r="C130" s="11">
        <f t="shared" si="14"/>
        <v>0</v>
      </c>
      <c r="D130" s="2">
        <f t="shared" si="7"/>
        <v>1.257374269005848</v>
      </c>
      <c r="E130" s="2">
        <f t="shared" si="8"/>
        <v>2.5798292465687851</v>
      </c>
      <c r="F130" s="2">
        <f t="shared" si="9"/>
        <v>-1.257374269005848</v>
      </c>
      <c r="G130" s="1">
        <f t="shared" si="10"/>
        <v>-0.48738662478463496</v>
      </c>
    </row>
    <row r="131" spans="1:7" x14ac:dyDescent="0.3">
      <c r="A131" s="17">
        <f t="shared" si="12"/>
        <v>40544</v>
      </c>
      <c r="B131" s="6">
        <v>0.01</v>
      </c>
      <c r="C131" s="11">
        <f t="shared" si="14"/>
        <v>0.254</v>
      </c>
      <c r="D131" s="2">
        <f t="shared" ref="D131:D172" si="15">AVERAGE($C$2:$C$172)</f>
        <v>1.257374269005848</v>
      </c>
      <c r="E131" s="2">
        <f t="shared" ref="E131:E172" si="16">_xlfn.STDEV.S($C$2:$C$172)</f>
        <v>2.5798292465687851</v>
      </c>
      <c r="F131" s="2">
        <f t="shared" ref="F131:F163" si="17">C131-D131</f>
        <v>-1.003374269005848</v>
      </c>
      <c r="G131" s="1">
        <f t="shared" ref="G131:G142" si="18">F131/E131</f>
        <v>-0.38893049621030235</v>
      </c>
    </row>
    <row r="132" spans="1:7" x14ac:dyDescent="0.3">
      <c r="A132" s="17">
        <f t="shared" si="12"/>
        <v>40544</v>
      </c>
      <c r="B132" s="6">
        <v>0.01</v>
      </c>
      <c r="C132" s="11">
        <f t="shared" si="14"/>
        <v>0.254</v>
      </c>
      <c r="D132" s="2">
        <f t="shared" si="15"/>
        <v>1.257374269005848</v>
      </c>
      <c r="E132" s="2">
        <f t="shared" si="16"/>
        <v>2.5798292465687851</v>
      </c>
      <c r="F132" s="2">
        <f t="shared" si="17"/>
        <v>-1.003374269005848</v>
      </c>
      <c r="G132" s="1">
        <f t="shared" si="18"/>
        <v>-0.38893049621030235</v>
      </c>
    </row>
    <row r="133" spans="1:7" x14ac:dyDescent="0.3">
      <c r="A133" s="17">
        <f t="shared" si="12"/>
        <v>40544</v>
      </c>
      <c r="B133" s="6">
        <v>0.02</v>
      </c>
      <c r="C133" s="11">
        <f t="shared" si="14"/>
        <v>0.50800000000000001</v>
      </c>
      <c r="D133" s="2">
        <f t="shared" si="15"/>
        <v>1.257374269005848</v>
      </c>
      <c r="E133" s="2">
        <f t="shared" si="16"/>
        <v>2.5798292465687851</v>
      </c>
      <c r="F133" s="2">
        <f t="shared" si="17"/>
        <v>-0.74937426900584803</v>
      </c>
      <c r="G133" s="1">
        <f t="shared" si="18"/>
        <v>-0.29047436763596973</v>
      </c>
    </row>
    <row r="134" spans="1:7" x14ac:dyDescent="0.3">
      <c r="A134" s="17">
        <f t="shared" si="12"/>
        <v>40544</v>
      </c>
      <c r="B134" s="6">
        <v>0.08</v>
      </c>
      <c r="C134" s="11">
        <f t="shared" si="14"/>
        <v>2.032</v>
      </c>
      <c r="D134" s="2">
        <f t="shared" si="15"/>
        <v>1.257374269005848</v>
      </c>
      <c r="E134" s="2">
        <f t="shared" si="16"/>
        <v>2.5798292465687851</v>
      </c>
      <c r="F134" s="2">
        <f t="shared" si="17"/>
        <v>0.774625730994152</v>
      </c>
      <c r="G134" s="1">
        <f t="shared" si="18"/>
        <v>0.30026240381002611</v>
      </c>
    </row>
    <row r="135" spans="1:7" x14ac:dyDescent="0.3">
      <c r="A135" s="17">
        <f t="shared" si="12"/>
        <v>40544</v>
      </c>
      <c r="B135" s="6">
        <v>0</v>
      </c>
      <c r="C135" s="11">
        <f t="shared" si="14"/>
        <v>0</v>
      </c>
      <c r="D135" s="2">
        <f t="shared" si="15"/>
        <v>1.257374269005848</v>
      </c>
      <c r="E135" s="2">
        <f t="shared" si="16"/>
        <v>2.5798292465687851</v>
      </c>
      <c r="F135" s="2">
        <f t="shared" si="17"/>
        <v>-1.257374269005848</v>
      </c>
      <c r="G135" s="1">
        <f t="shared" si="18"/>
        <v>-0.48738662478463496</v>
      </c>
    </row>
    <row r="136" spans="1:7" x14ac:dyDescent="0.3">
      <c r="A136" s="17">
        <f>DATE(2011,1,1)</f>
        <v>40544</v>
      </c>
      <c r="B136" s="6">
        <v>0.03</v>
      </c>
      <c r="C136" s="11">
        <f t="shared" si="14"/>
        <v>0.7619999999999999</v>
      </c>
      <c r="D136" s="2">
        <f t="shared" si="15"/>
        <v>1.257374269005848</v>
      </c>
      <c r="E136" s="2">
        <f t="shared" si="16"/>
        <v>2.5798292465687851</v>
      </c>
      <c r="F136" s="2">
        <f t="shared" si="17"/>
        <v>-0.49537426900584813</v>
      </c>
      <c r="G136" s="1">
        <f t="shared" si="18"/>
        <v>-0.19201823906163712</v>
      </c>
    </row>
    <row r="137" spans="1:7" x14ac:dyDescent="0.3">
      <c r="A137" s="17">
        <f t="shared" ref="A137:A172" si="19">DATE(2011,1,1)</f>
        <v>40544</v>
      </c>
      <c r="B137" s="6">
        <v>0.04</v>
      </c>
      <c r="C137" s="11">
        <f t="shared" si="14"/>
        <v>1.016</v>
      </c>
      <c r="D137" s="2">
        <f t="shared" si="15"/>
        <v>1.257374269005848</v>
      </c>
      <c r="E137" s="2">
        <f t="shared" si="16"/>
        <v>2.5798292465687851</v>
      </c>
      <c r="F137" s="2">
        <f t="shared" si="17"/>
        <v>-0.24137426900584802</v>
      </c>
      <c r="G137" s="1">
        <f t="shared" si="18"/>
        <v>-9.3562110487304437E-2</v>
      </c>
    </row>
    <row r="138" spans="1:7" x14ac:dyDescent="0.3">
      <c r="A138" s="17">
        <f t="shared" si="19"/>
        <v>40544</v>
      </c>
      <c r="B138" s="6">
        <v>0.03</v>
      </c>
      <c r="C138" s="11">
        <f t="shared" si="14"/>
        <v>0.7619999999999999</v>
      </c>
      <c r="D138" s="2">
        <f t="shared" si="15"/>
        <v>1.257374269005848</v>
      </c>
      <c r="E138" s="2">
        <f t="shared" si="16"/>
        <v>2.5798292465687851</v>
      </c>
      <c r="F138" s="2">
        <f t="shared" si="17"/>
        <v>-0.49537426900584813</v>
      </c>
      <c r="G138" s="1">
        <f t="shared" si="18"/>
        <v>-0.19201823906163712</v>
      </c>
    </row>
    <row r="139" spans="1:7" x14ac:dyDescent="0.3">
      <c r="A139" s="17">
        <f t="shared" si="19"/>
        <v>40544</v>
      </c>
      <c r="B139" s="6">
        <v>0.02</v>
      </c>
      <c r="C139" s="11">
        <f t="shared" si="14"/>
        <v>0.50800000000000001</v>
      </c>
      <c r="D139" s="2">
        <f t="shared" si="15"/>
        <v>1.257374269005848</v>
      </c>
      <c r="E139" s="2">
        <f t="shared" si="16"/>
        <v>2.5798292465687851</v>
      </c>
      <c r="F139" s="2">
        <f t="shared" si="17"/>
        <v>-0.74937426900584803</v>
      </c>
      <c r="G139" s="1">
        <f t="shared" si="18"/>
        <v>-0.29047436763596973</v>
      </c>
    </row>
    <row r="140" spans="1:7" x14ac:dyDescent="0.3">
      <c r="A140" s="17">
        <f t="shared" si="19"/>
        <v>40544</v>
      </c>
      <c r="B140" s="6">
        <v>0.01</v>
      </c>
      <c r="C140" s="11">
        <f t="shared" si="14"/>
        <v>0.254</v>
      </c>
      <c r="D140" s="2">
        <f t="shared" si="15"/>
        <v>1.257374269005848</v>
      </c>
      <c r="E140" s="2">
        <f t="shared" si="16"/>
        <v>2.5798292465687851</v>
      </c>
      <c r="F140" s="2">
        <f t="shared" si="17"/>
        <v>-1.003374269005848</v>
      </c>
      <c r="G140" s="1">
        <f t="shared" si="18"/>
        <v>-0.38893049621030235</v>
      </c>
    </row>
    <row r="141" spans="1:7" x14ac:dyDescent="0.3">
      <c r="A141" s="17">
        <f t="shared" si="19"/>
        <v>40544</v>
      </c>
      <c r="B141" s="6">
        <v>0.01</v>
      </c>
      <c r="C141" s="11">
        <f t="shared" si="14"/>
        <v>0.254</v>
      </c>
      <c r="D141" s="2">
        <f t="shared" si="15"/>
        <v>1.257374269005848</v>
      </c>
      <c r="E141" s="2">
        <f t="shared" si="16"/>
        <v>2.5798292465687851</v>
      </c>
      <c r="F141" s="2">
        <f t="shared" si="17"/>
        <v>-1.003374269005848</v>
      </c>
      <c r="G141" s="1">
        <f t="shared" si="18"/>
        <v>-0.38893049621030235</v>
      </c>
    </row>
    <row r="142" spans="1:7" x14ac:dyDescent="0.3">
      <c r="A142" s="17">
        <f t="shared" si="19"/>
        <v>40544</v>
      </c>
      <c r="B142" s="6">
        <v>0.01</v>
      </c>
      <c r="C142" s="11">
        <f>B142*25.4</f>
        <v>0.254</v>
      </c>
      <c r="D142" s="2">
        <f t="shared" si="15"/>
        <v>1.257374269005848</v>
      </c>
      <c r="E142" s="2">
        <f t="shared" si="16"/>
        <v>2.5798292465687851</v>
      </c>
      <c r="F142" s="2">
        <f t="shared" si="17"/>
        <v>-1.003374269005848</v>
      </c>
      <c r="G142" s="1">
        <f t="shared" si="18"/>
        <v>-0.38893049621030235</v>
      </c>
    </row>
    <row r="143" spans="1:7" x14ac:dyDescent="0.3">
      <c r="A143" s="17">
        <f t="shared" si="19"/>
        <v>40544</v>
      </c>
      <c r="B143" s="7">
        <v>0.05</v>
      </c>
      <c r="C143" s="11">
        <f t="shared" ref="C143:C161" si="20">B143*25.4</f>
        <v>1.27</v>
      </c>
      <c r="D143" s="2">
        <f t="shared" si="15"/>
        <v>1.257374269005848</v>
      </c>
      <c r="E143" s="2">
        <f t="shared" si="16"/>
        <v>2.5798292465687851</v>
      </c>
      <c r="F143" s="2">
        <f t="shared" si="17"/>
        <v>1.2625730994151985E-2</v>
      </c>
      <c r="G143" s="1">
        <f>F143/E143</f>
        <v>4.8940180870282067E-3</v>
      </c>
    </row>
    <row r="144" spans="1:7" x14ac:dyDescent="0.3">
      <c r="A144" s="17">
        <f t="shared" si="19"/>
        <v>40544</v>
      </c>
      <c r="B144" s="7">
        <v>0.19</v>
      </c>
      <c r="C144" s="11">
        <f t="shared" si="20"/>
        <v>4.8259999999999996</v>
      </c>
      <c r="D144" s="2">
        <f t="shared" si="15"/>
        <v>1.257374269005848</v>
      </c>
      <c r="E144" s="2">
        <f t="shared" si="16"/>
        <v>2.5798292465687851</v>
      </c>
      <c r="F144" s="2">
        <f t="shared" si="17"/>
        <v>3.5686257309941514</v>
      </c>
      <c r="G144" s="1">
        <f t="shared" ref="G144:G164" si="21">F144/E144</f>
        <v>1.3832798181276849</v>
      </c>
    </row>
    <row r="145" spans="1:7" x14ac:dyDescent="0.3">
      <c r="A145" s="17">
        <f t="shared" si="19"/>
        <v>40544</v>
      </c>
      <c r="B145" s="7">
        <f>AVERAGE(B144,B146)</f>
        <v>0.13</v>
      </c>
      <c r="C145" s="11">
        <f t="shared" si="20"/>
        <v>3.302</v>
      </c>
      <c r="D145" s="2">
        <f t="shared" si="15"/>
        <v>1.257374269005848</v>
      </c>
      <c r="E145" s="2">
        <f t="shared" si="16"/>
        <v>2.5798292465687851</v>
      </c>
      <c r="F145" s="2">
        <f t="shared" si="17"/>
        <v>2.0446257309941522</v>
      </c>
      <c r="G145" s="1">
        <f t="shared" si="21"/>
        <v>0.7925430466816894</v>
      </c>
    </row>
    <row r="146" spans="1:7" x14ac:dyDescent="0.3">
      <c r="A146" s="17">
        <f t="shared" si="19"/>
        <v>40544</v>
      </c>
      <c r="B146" s="7">
        <v>7.0000000000000007E-2</v>
      </c>
      <c r="C146" s="11">
        <f t="shared" si="20"/>
        <v>1.778</v>
      </c>
      <c r="D146" s="2">
        <f t="shared" si="15"/>
        <v>1.257374269005848</v>
      </c>
      <c r="E146" s="2">
        <f t="shared" si="16"/>
        <v>2.5798292465687851</v>
      </c>
      <c r="F146" s="2">
        <f t="shared" si="17"/>
        <v>0.52062573099415199</v>
      </c>
      <c r="G146" s="1">
        <f t="shared" si="21"/>
        <v>0.20180627523569347</v>
      </c>
    </row>
    <row r="147" spans="1:7" x14ac:dyDescent="0.3">
      <c r="A147" s="17">
        <f t="shared" si="19"/>
        <v>40544</v>
      </c>
      <c r="B147" s="7">
        <f>AVERAGE(B146,B148)</f>
        <v>0.14500000000000002</v>
      </c>
      <c r="C147" s="11">
        <f t="shared" si="20"/>
        <v>3.6830000000000003</v>
      </c>
      <c r="D147" s="2">
        <f t="shared" si="15"/>
        <v>1.257374269005848</v>
      </c>
      <c r="E147" s="2">
        <f t="shared" si="16"/>
        <v>2.5798292465687851</v>
      </c>
      <c r="F147" s="2">
        <f t="shared" si="17"/>
        <v>2.4256257309941525</v>
      </c>
      <c r="G147" s="1">
        <f t="shared" si="21"/>
        <v>0.94022723954318843</v>
      </c>
    </row>
    <row r="148" spans="1:7" x14ac:dyDescent="0.3">
      <c r="A148" s="17">
        <f t="shared" si="19"/>
        <v>40544</v>
      </c>
      <c r="B148" s="7">
        <v>0.22</v>
      </c>
      <c r="C148" s="11">
        <f t="shared" si="20"/>
        <v>5.5880000000000001</v>
      </c>
      <c r="D148" s="2">
        <f t="shared" si="15"/>
        <v>1.257374269005848</v>
      </c>
      <c r="E148" s="2">
        <f t="shared" si="16"/>
        <v>2.5798292465687851</v>
      </c>
      <c r="F148" s="2">
        <f t="shared" si="17"/>
        <v>4.3306257309941518</v>
      </c>
      <c r="G148" s="1">
        <f t="shared" si="21"/>
        <v>1.6786482038506829</v>
      </c>
    </row>
    <row r="149" spans="1:7" x14ac:dyDescent="0.3">
      <c r="A149" s="17">
        <f t="shared" si="19"/>
        <v>40544</v>
      </c>
      <c r="B149" s="7">
        <v>7.0000000000000007E-2</v>
      </c>
      <c r="C149" s="11">
        <f t="shared" si="20"/>
        <v>1.778</v>
      </c>
      <c r="D149" s="2">
        <f t="shared" si="15"/>
        <v>1.257374269005848</v>
      </c>
      <c r="E149" s="2">
        <f t="shared" si="16"/>
        <v>2.5798292465687851</v>
      </c>
      <c r="F149" s="2">
        <f t="shared" si="17"/>
        <v>0.52062573099415199</v>
      </c>
      <c r="G149" s="1">
        <f t="shared" si="21"/>
        <v>0.20180627523569347</v>
      </c>
    </row>
    <row r="150" spans="1:7" x14ac:dyDescent="0.3">
      <c r="A150" s="17">
        <f t="shared" si="19"/>
        <v>40544</v>
      </c>
      <c r="B150" s="7">
        <v>0.3</v>
      </c>
      <c r="C150" s="11">
        <f t="shared" si="20"/>
        <v>7.6199999999999992</v>
      </c>
      <c r="D150" s="2">
        <f t="shared" si="15"/>
        <v>1.257374269005848</v>
      </c>
      <c r="E150" s="2">
        <f t="shared" si="16"/>
        <v>2.5798292465687851</v>
      </c>
      <c r="F150" s="2">
        <f t="shared" si="17"/>
        <v>6.362625730994151</v>
      </c>
      <c r="G150" s="1">
        <f t="shared" si="21"/>
        <v>2.4662972324453438</v>
      </c>
    </row>
    <row r="151" spans="1:7" x14ac:dyDescent="0.3">
      <c r="A151" s="17">
        <f t="shared" si="19"/>
        <v>40544</v>
      </c>
      <c r="B151" s="7">
        <v>0.12</v>
      </c>
      <c r="C151" s="11">
        <f t="shared" si="20"/>
        <v>3.0479999999999996</v>
      </c>
      <c r="D151" s="2">
        <f t="shared" si="15"/>
        <v>1.257374269005848</v>
      </c>
      <c r="E151" s="2">
        <f t="shared" si="16"/>
        <v>2.5798292465687851</v>
      </c>
      <c r="F151" s="2">
        <f t="shared" si="17"/>
        <v>1.7906257309941516</v>
      </c>
      <c r="G151" s="1">
        <f t="shared" si="21"/>
        <v>0.69408691810735645</v>
      </c>
    </row>
    <row r="152" spans="1:7" x14ac:dyDescent="0.3">
      <c r="A152" s="17">
        <f t="shared" si="19"/>
        <v>40544</v>
      </c>
      <c r="B152" s="7">
        <v>0.21</v>
      </c>
      <c r="C152" s="11">
        <f t="shared" si="20"/>
        <v>5.3339999999999996</v>
      </c>
      <c r="D152" s="2">
        <f t="shared" si="15"/>
        <v>1.257374269005848</v>
      </c>
      <c r="E152" s="2">
        <f t="shared" si="16"/>
        <v>2.5798292465687851</v>
      </c>
      <c r="F152" s="2">
        <f t="shared" si="17"/>
        <v>4.0766257309941514</v>
      </c>
      <c r="G152" s="1">
        <f t="shared" si="21"/>
        <v>1.5801920752763501</v>
      </c>
    </row>
    <row r="153" spans="1:7" x14ac:dyDescent="0.3">
      <c r="A153" s="17">
        <f t="shared" si="19"/>
        <v>40544</v>
      </c>
      <c r="B153" s="7">
        <v>7.0000000000000007E-2</v>
      </c>
      <c r="C153" s="11">
        <f t="shared" si="20"/>
        <v>1.778</v>
      </c>
      <c r="D153" s="2">
        <f t="shared" si="15"/>
        <v>1.257374269005848</v>
      </c>
      <c r="E153" s="2">
        <f t="shared" si="16"/>
        <v>2.5798292465687851</v>
      </c>
      <c r="F153" s="2">
        <f t="shared" si="17"/>
        <v>0.52062573099415199</v>
      </c>
      <c r="G153" s="1">
        <f t="shared" si="21"/>
        <v>0.20180627523569347</v>
      </c>
    </row>
    <row r="154" spans="1:7" x14ac:dyDescent="0.3">
      <c r="A154" s="17">
        <f t="shared" si="19"/>
        <v>40544</v>
      </c>
      <c r="B154" s="7">
        <v>0.13</v>
      </c>
      <c r="C154" s="11">
        <f t="shared" si="20"/>
        <v>3.302</v>
      </c>
      <c r="D154" s="2">
        <f t="shared" si="15"/>
        <v>1.257374269005848</v>
      </c>
      <c r="E154" s="2">
        <f t="shared" si="16"/>
        <v>2.5798292465687851</v>
      </c>
      <c r="F154" s="2">
        <f t="shared" si="17"/>
        <v>2.0446257309941522</v>
      </c>
      <c r="G154" s="1">
        <f t="shared" si="21"/>
        <v>0.7925430466816894</v>
      </c>
    </row>
    <row r="155" spans="1:7" x14ac:dyDescent="0.3">
      <c r="A155" s="17">
        <f t="shared" si="19"/>
        <v>40544</v>
      </c>
      <c r="B155" s="7">
        <v>0.04</v>
      </c>
      <c r="C155" s="11">
        <f t="shared" si="20"/>
        <v>1.016</v>
      </c>
      <c r="D155" s="2">
        <f t="shared" si="15"/>
        <v>1.257374269005848</v>
      </c>
      <c r="E155" s="2">
        <f t="shared" si="16"/>
        <v>2.5798292465687851</v>
      </c>
      <c r="F155" s="2">
        <f t="shared" si="17"/>
        <v>-0.24137426900584802</v>
      </c>
      <c r="G155" s="1">
        <f t="shared" si="21"/>
        <v>-9.3562110487304437E-2</v>
      </c>
    </row>
    <row r="156" spans="1:7" x14ac:dyDescent="0.3">
      <c r="A156" s="17">
        <f t="shared" si="19"/>
        <v>40544</v>
      </c>
      <c r="B156" s="7">
        <v>0.13</v>
      </c>
      <c r="C156" s="11">
        <f t="shared" si="20"/>
        <v>3.302</v>
      </c>
      <c r="D156" s="2">
        <f t="shared" si="15"/>
        <v>1.257374269005848</v>
      </c>
      <c r="E156" s="2">
        <f t="shared" si="16"/>
        <v>2.5798292465687851</v>
      </c>
      <c r="F156" s="2">
        <f t="shared" si="17"/>
        <v>2.0446257309941522</v>
      </c>
      <c r="G156" s="1">
        <f t="shared" si="21"/>
        <v>0.7925430466816894</v>
      </c>
    </row>
    <row r="157" spans="1:7" x14ac:dyDescent="0.3">
      <c r="A157" s="17">
        <f t="shared" si="19"/>
        <v>40544</v>
      </c>
      <c r="B157" s="7">
        <f>AVERAGE(B156,B158)</f>
        <v>0.36499999999999999</v>
      </c>
      <c r="C157" s="11">
        <f t="shared" si="20"/>
        <v>9.270999999999999</v>
      </c>
      <c r="D157" s="2">
        <f t="shared" si="15"/>
        <v>1.257374269005848</v>
      </c>
      <c r="E157" s="2">
        <f t="shared" si="16"/>
        <v>2.5798292465687851</v>
      </c>
      <c r="F157" s="2">
        <f t="shared" si="17"/>
        <v>8.0136257309941517</v>
      </c>
      <c r="G157" s="1">
        <f t="shared" si="21"/>
        <v>3.106262068178506</v>
      </c>
    </row>
    <row r="158" spans="1:7" x14ac:dyDescent="0.3">
      <c r="A158" s="17">
        <f t="shared" si="19"/>
        <v>40544</v>
      </c>
      <c r="B158" s="7">
        <v>0.6</v>
      </c>
      <c r="C158" s="11">
        <f t="shared" si="20"/>
        <v>15.239999999999998</v>
      </c>
      <c r="D158" s="2">
        <f t="shared" si="15"/>
        <v>1.257374269005848</v>
      </c>
      <c r="E158" s="2">
        <f t="shared" si="16"/>
        <v>2.5798292465687851</v>
      </c>
      <c r="F158" s="2">
        <f t="shared" si="17"/>
        <v>13.982625730994151</v>
      </c>
      <c r="G158" s="1">
        <f t="shared" si="21"/>
        <v>5.4199810896753231</v>
      </c>
    </row>
    <row r="159" spans="1:7" x14ac:dyDescent="0.3">
      <c r="A159" s="17">
        <f t="shared" si="19"/>
        <v>40544</v>
      </c>
      <c r="B159" s="6">
        <v>0.05</v>
      </c>
      <c r="C159" s="11">
        <f t="shared" si="20"/>
        <v>1.27</v>
      </c>
      <c r="D159" s="2">
        <f t="shared" si="15"/>
        <v>1.257374269005848</v>
      </c>
      <c r="E159" s="2">
        <f t="shared" si="16"/>
        <v>2.5798292465687851</v>
      </c>
      <c r="F159" s="2">
        <f t="shared" si="17"/>
        <v>1.2625730994151985E-2</v>
      </c>
      <c r="G159" s="1">
        <f t="shared" si="21"/>
        <v>4.8940180870282067E-3</v>
      </c>
    </row>
    <row r="160" spans="1:7" x14ac:dyDescent="0.3">
      <c r="A160" s="17">
        <f t="shared" si="19"/>
        <v>40544</v>
      </c>
      <c r="B160" s="6">
        <v>-0.02</v>
      </c>
      <c r="C160" s="11">
        <f t="shared" si="20"/>
        <v>-0.50800000000000001</v>
      </c>
      <c r="D160" s="2">
        <f t="shared" si="15"/>
        <v>1.257374269005848</v>
      </c>
      <c r="E160" s="2">
        <f t="shared" si="16"/>
        <v>2.5798292465687851</v>
      </c>
      <c r="F160" s="2">
        <f t="shared" si="17"/>
        <v>-1.765374269005848</v>
      </c>
      <c r="G160" s="1">
        <f t="shared" si="21"/>
        <v>-0.68429888193330024</v>
      </c>
    </row>
    <row r="161" spans="1:7" x14ac:dyDescent="0.3">
      <c r="A161" s="17">
        <f t="shared" si="19"/>
        <v>40544</v>
      </c>
      <c r="B161" s="6">
        <v>0.11</v>
      </c>
      <c r="C161" s="11">
        <f t="shared" si="20"/>
        <v>2.794</v>
      </c>
      <c r="D161" s="2">
        <f t="shared" si="15"/>
        <v>1.257374269005848</v>
      </c>
      <c r="E161" s="2">
        <f t="shared" si="16"/>
        <v>2.5798292465687851</v>
      </c>
      <c r="F161" s="2">
        <f t="shared" si="17"/>
        <v>1.536625730994152</v>
      </c>
      <c r="G161" s="1">
        <f t="shared" si="21"/>
        <v>0.59563078953302406</v>
      </c>
    </row>
    <row r="162" spans="1:7" x14ac:dyDescent="0.3">
      <c r="A162" s="17">
        <f t="shared" si="19"/>
        <v>40544</v>
      </c>
      <c r="B162" s="7">
        <v>0.3</v>
      </c>
      <c r="C162" s="11">
        <f>B162*25.4</f>
        <v>7.6199999999999992</v>
      </c>
      <c r="D162" s="2">
        <f t="shared" si="15"/>
        <v>1.257374269005848</v>
      </c>
      <c r="E162" s="2">
        <f t="shared" si="16"/>
        <v>2.5798292465687851</v>
      </c>
      <c r="F162" s="2">
        <f t="shared" si="17"/>
        <v>6.362625730994151</v>
      </c>
      <c r="G162" s="1">
        <f t="shared" si="21"/>
        <v>2.4662972324453438</v>
      </c>
    </row>
    <row r="163" spans="1:7" x14ac:dyDescent="0.3">
      <c r="A163" s="17">
        <f t="shared" si="19"/>
        <v>40544</v>
      </c>
      <c r="B163" s="6">
        <v>0.22</v>
      </c>
      <c r="C163" s="11">
        <f t="shared" ref="C163:C172" si="22">B163*25.4</f>
        <v>5.5880000000000001</v>
      </c>
      <c r="D163" s="2">
        <f t="shared" si="15"/>
        <v>1.257374269005848</v>
      </c>
      <c r="E163" s="2">
        <f t="shared" si="16"/>
        <v>2.5798292465687851</v>
      </c>
      <c r="F163" s="2">
        <f t="shared" si="17"/>
        <v>4.3306257309941518</v>
      </c>
      <c r="G163" s="1">
        <f t="shared" si="21"/>
        <v>1.6786482038506829</v>
      </c>
    </row>
    <row r="164" spans="1:7" x14ac:dyDescent="0.3">
      <c r="A164" s="17">
        <f t="shared" si="19"/>
        <v>40544</v>
      </c>
      <c r="B164" s="16">
        <v>0.14000000000000001</v>
      </c>
      <c r="C164" s="11">
        <f t="shared" si="22"/>
        <v>3.556</v>
      </c>
      <c r="D164" s="2">
        <f t="shared" si="15"/>
        <v>1.257374269005848</v>
      </c>
      <c r="E164" s="2">
        <f t="shared" si="16"/>
        <v>2.5798292465687851</v>
      </c>
      <c r="F164" s="2">
        <f>C164-D164</f>
        <v>2.2986257309941518</v>
      </c>
      <c r="G164" s="1">
        <f t="shared" si="21"/>
        <v>0.8909991752560219</v>
      </c>
    </row>
    <row r="165" spans="1:7" x14ac:dyDescent="0.3">
      <c r="A165" s="17">
        <f t="shared" si="19"/>
        <v>40544</v>
      </c>
      <c r="B165" s="1">
        <v>0.105</v>
      </c>
      <c r="C165" s="11">
        <f t="shared" si="22"/>
        <v>2.6669999999999998</v>
      </c>
      <c r="D165" s="2">
        <f t="shared" si="15"/>
        <v>1.257374269005848</v>
      </c>
      <c r="E165" s="2">
        <f t="shared" si="16"/>
        <v>2.5798292465687851</v>
      </c>
      <c r="F165" s="2">
        <f t="shared" ref="F165:F171" si="23">C165-D165</f>
        <v>1.4096257309941518</v>
      </c>
      <c r="G165" s="1">
        <f t="shared" ref="G165:G171" si="24">F165/E165</f>
        <v>0.54640272524585765</v>
      </c>
    </row>
    <row r="166" spans="1:7" x14ac:dyDescent="0.3">
      <c r="A166" s="17">
        <f t="shared" si="19"/>
        <v>40544</v>
      </c>
      <c r="B166" s="1">
        <v>0.1</v>
      </c>
      <c r="C166" s="11">
        <f t="shared" si="22"/>
        <v>2.54</v>
      </c>
      <c r="D166" s="2">
        <f t="shared" si="15"/>
        <v>1.257374269005848</v>
      </c>
      <c r="E166" s="2">
        <f t="shared" si="16"/>
        <v>2.5798292465687851</v>
      </c>
      <c r="F166" s="2">
        <f t="shared" si="23"/>
        <v>1.282625730994152</v>
      </c>
      <c r="G166" s="1">
        <f t="shared" si="24"/>
        <v>0.49717466095869139</v>
      </c>
    </row>
    <row r="167" spans="1:7" x14ac:dyDescent="0.3">
      <c r="A167" s="17">
        <f t="shared" si="19"/>
        <v>40544</v>
      </c>
      <c r="B167" s="1">
        <v>0.09</v>
      </c>
      <c r="C167" s="11">
        <f t="shared" si="22"/>
        <v>2.2859999999999996</v>
      </c>
      <c r="D167" s="2">
        <f t="shared" si="15"/>
        <v>1.257374269005848</v>
      </c>
      <c r="E167" s="2">
        <f t="shared" si="16"/>
        <v>2.5798292465687851</v>
      </c>
      <c r="F167" s="2">
        <f t="shared" si="23"/>
        <v>1.0286257309941516</v>
      </c>
      <c r="G167" s="1">
        <f t="shared" si="24"/>
        <v>0.39871853238435861</v>
      </c>
    </row>
    <row r="168" spans="1:7" x14ac:dyDescent="0.3">
      <c r="A168" s="17">
        <f t="shared" si="19"/>
        <v>40544</v>
      </c>
      <c r="B168" s="1">
        <v>0.22</v>
      </c>
      <c r="C168" s="11">
        <f t="shared" si="22"/>
        <v>5.5880000000000001</v>
      </c>
      <c r="D168" s="2">
        <f t="shared" si="15"/>
        <v>1.257374269005848</v>
      </c>
      <c r="E168" s="2">
        <f t="shared" si="16"/>
        <v>2.5798292465687851</v>
      </c>
      <c r="F168" s="2">
        <f t="shared" si="23"/>
        <v>4.3306257309941518</v>
      </c>
      <c r="G168" s="1">
        <f t="shared" si="24"/>
        <v>1.6786482038506829</v>
      </c>
    </row>
    <row r="169" spans="1:7" x14ac:dyDescent="0.3">
      <c r="A169" s="17">
        <f t="shared" si="19"/>
        <v>40544</v>
      </c>
      <c r="B169" s="1">
        <v>0.35</v>
      </c>
      <c r="C169" s="11">
        <f t="shared" si="22"/>
        <v>8.8899999999999988</v>
      </c>
      <c r="D169" s="2">
        <f t="shared" si="15"/>
        <v>1.257374269005848</v>
      </c>
      <c r="E169" s="2">
        <f t="shared" si="16"/>
        <v>2.5798292465687851</v>
      </c>
      <c r="F169" s="2">
        <f t="shared" si="23"/>
        <v>7.6326257309941505</v>
      </c>
      <c r="G169" s="1">
        <f t="shared" si="24"/>
        <v>2.9585778753170069</v>
      </c>
    </row>
    <row r="170" spans="1:7" x14ac:dyDescent="0.3">
      <c r="A170" s="17">
        <f t="shared" si="19"/>
        <v>40544</v>
      </c>
      <c r="B170" s="1">
        <v>0.77</v>
      </c>
      <c r="C170" s="11">
        <f t="shared" si="22"/>
        <v>19.558</v>
      </c>
      <c r="D170" s="2">
        <f t="shared" si="15"/>
        <v>1.257374269005848</v>
      </c>
      <c r="E170" s="2">
        <f t="shared" si="16"/>
        <v>2.5798292465687851</v>
      </c>
      <c r="F170" s="2">
        <f t="shared" si="23"/>
        <v>18.300625730994152</v>
      </c>
      <c r="G170" s="1">
        <f t="shared" si="24"/>
        <v>7.093735275438978</v>
      </c>
    </row>
    <row r="171" spans="1:7" x14ac:dyDescent="0.3">
      <c r="A171" s="17">
        <f t="shared" si="19"/>
        <v>40544</v>
      </c>
      <c r="B171" s="1">
        <v>0.5</v>
      </c>
      <c r="C171" s="11">
        <f t="shared" si="22"/>
        <v>12.7</v>
      </c>
      <c r="D171" s="2">
        <f t="shared" si="15"/>
        <v>1.257374269005848</v>
      </c>
      <c r="E171" s="2">
        <f t="shared" si="16"/>
        <v>2.5798292465687851</v>
      </c>
      <c r="F171" s="2">
        <f t="shared" si="23"/>
        <v>11.442625730994152</v>
      </c>
      <c r="G171" s="1">
        <f t="shared" si="24"/>
        <v>4.435419803931997</v>
      </c>
    </row>
    <row r="172" spans="1:7" x14ac:dyDescent="0.3">
      <c r="A172" s="17">
        <f t="shared" si="19"/>
        <v>40544</v>
      </c>
      <c r="B172" s="1">
        <v>0.02</v>
      </c>
      <c r="C172" s="11">
        <f t="shared" si="22"/>
        <v>0.50800000000000001</v>
      </c>
      <c r="D172" s="2">
        <f t="shared" si="15"/>
        <v>1.257374269005848</v>
      </c>
      <c r="E172" s="2">
        <f t="shared" si="16"/>
        <v>2.5798292465687851</v>
      </c>
      <c r="F172" s="2">
        <f t="shared" ref="F172" si="25">C172-D172</f>
        <v>-0.74937426900584803</v>
      </c>
      <c r="G172" s="1">
        <f t="shared" ref="G172" si="26">F172/E172</f>
        <v>-0.29047436763596973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2025-10-27T06:44:44Z</dcterms:modified>
  <cp:category/>
  <cp:contentStatus/>
</cp:coreProperties>
</file>