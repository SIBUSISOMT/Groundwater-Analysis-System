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busi\Downloads\"/>
    </mc:Choice>
  </mc:AlternateContent>
  <xr:revisionPtr revIDLastSave="0" documentId="8_{E5C986A6-E34D-448C-AD0C-794A4EB7911B}" xr6:coauthVersionLast="47" xr6:coauthVersionMax="47" xr10:uidLastSave="{00000000-0000-0000-0000-000000000000}"/>
  <bookViews>
    <workbookView xWindow="-108" yWindow="-108" windowWidth="23256" windowHeight="12456" xr2:uid="{E0E3C012-FDBF-4D6D-8AC1-A14B3192CB15}"/>
  </bookViews>
  <sheets>
    <sheet name="Assegai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5" i="1" l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D52" i="1" s="1"/>
  <c r="C7" i="1"/>
  <c r="C6" i="1"/>
  <c r="D19" i="1" s="1"/>
  <c r="F19" i="1" s="1"/>
  <c r="C5" i="1"/>
  <c r="D54" i="1" s="1"/>
  <c r="F29" i="1" l="1"/>
  <c r="G29" i="1" s="1"/>
  <c r="E10" i="1"/>
  <c r="D38" i="1"/>
  <c r="F52" i="1"/>
  <c r="D28" i="1"/>
  <c r="F28" i="1" s="1"/>
  <c r="D55" i="1"/>
  <c r="F55" i="1" s="1"/>
  <c r="D9" i="1"/>
  <c r="F9" i="1" s="1"/>
  <c r="G9" i="1" s="1"/>
  <c r="E24" i="1"/>
  <c r="E9" i="1"/>
  <c r="E16" i="1"/>
  <c r="E34" i="1"/>
  <c r="D61" i="1"/>
  <c r="F61" i="1" s="1"/>
  <c r="E72" i="1"/>
  <c r="E7" i="1"/>
  <c r="D12" i="1"/>
  <c r="F12" i="1" s="1"/>
  <c r="G12" i="1" s="1"/>
  <c r="E19" i="1"/>
  <c r="G19" i="1" s="1"/>
  <c r="E22" i="1"/>
  <c r="D27" i="1"/>
  <c r="F27" i="1" s="1"/>
  <c r="G27" i="1" s="1"/>
  <c r="D15" i="1"/>
  <c r="F15" i="1" s="1"/>
  <c r="G15" i="1" s="1"/>
  <c r="E44" i="1"/>
  <c r="E8" i="1"/>
  <c r="D14" i="1"/>
  <c r="F14" i="1" s="1"/>
  <c r="D175" i="1"/>
  <c r="F175" i="1" s="1"/>
  <c r="E170" i="1"/>
  <c r="D167" i="1"/>
  <c r="F167" i="1" s="1"/>
  <c r="E162" i="1"/>
  <c r="D159" i="1"/>
  <c r="F159" i="1" s="1"/>
  <c r="G159" i="1" s="1"/>
  <c r="E154" i="1"/>
  <c r="D151" i="1"/>
  <c r="F151" i="1" s="1"/>
  <c r="E146" i="1"/>
  <c r="D143" i="1"/>
  <c r="F143" i="1" s="1"/>
  <c r="E173" i="1"/>
  <c r="D170" i="1"/>
  <c r="F170" i="1" s="1"/>
  <c r="E165" i="1"/>
  <c r="D162" i="1"/>
  <c r="F162" i="1" s="1"/>
  <c r="G162" i="1" s="1"/>
  <c r="E157" i="1"/>
  <c r="D154" i="1"/>
  <c r="F154" i="1" s="1"/>
  <c r="G154" i="1" s="1"/>
  <c r="E149" i="1"/>
  <c r="D146" i="1"/>
  <c r="F146" i="1" s="1"/>
  <c r="G146" i="1" s="1"/>
  <c r="E141" i="1"/>
  <c r="D138" i="1"/>
  <c r="F138" i="1" s="1"/>
  <c r="E133" i="1"/>
  <c r="D130" i="1"/>
  <c r="F130" i="1" s="1"/>
  <c r="G130" i="1" s="1"/>
  <c r="E125" i="1"/>
  <c r="D122" i="1"/>
  <c r="F122" i="1" s="1"/>
  <c r="E117" i="1"/>
  <c r="D114" i="1"/>
  <c r="F114" i="1" s="1"/>
  <c r="E109" i="1"/>
  <c r="D106" i="1"/>
  <c r="F106" i="1" s="1"/>
  <c r="E101" i="1"/>
  <c r="D98" i="1"/>
  <c r="F98" i="1" s="1"/>
  <c r="E93" i="1"/>
  <c r="D90" i="1"/>
  <c r="F90" i="1" s="1"/>
  <c r="E85" i="1"/>
  <c r="D82" i="1"/>
  <c r="F82" i="1" s="1"/>
  <c r="E77" i="1"/>
  <c r="D74" i="1"/>
  <c r="F74" i="1" s="1"/>
  <c r="G74" i="1" s="1"/>
  <c r="E69" i="1"/>
  <c r="D66" i="1"/>
  <c r="E61" i="1"/>
  <c r="D58" i="1"/>
  <c r="E53" i="1"/>
  <c r="D50" i="1"/>
  <c r="F50" i="1" s="1"/>
  <c r="G50" i="1" s="1"/>
  <c r="E45" i="1"/>
  <c r="D42" i="1"/>
  <c r="E37" i="1"/>
  <c r="D34" i="1"/>
  <c r="F34" i="1" s="1"/>
  <c r="G34" i="1" s="1"/>
  <c r="E29" i="1"/>
  <c r="D26" i="1"/>
  <c r="F26" i="1" s="1"/>
  <c r="E21" i="1"/>
  <c r="D18" i="1"/>
  <c r="E13" i="1"/>
  <c r="D10" i="1"/>
  <c r="F10" i="1" s="1"/>
  <c r="E5" i="1"/>
  <c r="D173" i="1"/>
  <c r="F173" i="1" s="1"/>
  <c r="G173" i="1" s="1"/>
  <c r="E168" i="1"/>
  <c r="D165" i="1"/>
  <c r="F165" i="1" s="1"/>
  <c r="E160" i="1"/>
  <c r="D157" i="1"/>
  <c r="F157" i="1" s="1"/>
  <c r="G157" i="1" s="1"/>
  <c r="E152" i="1"/>
  <c r="D149" i="1"/>
  <c r="F149" i="1" s="1"/>
  <c r="G149" i="1" s="1"/>
  <c r="E144" i="1"/>
  <c r="D141" i="1"/>
  <c r="F141" i="1" s="1"/>
  <c r="G141" i="1" s="1"/>
  <c r="E136" i="1"/>
  <c r="D133" i="1"/>
  <c r="F133" i="1" s="1"/>
  <c r="E128" i="1"/>
  <c r="D125" i="1"/>
  <c r="F125" i="1" s="1"/>
  <c r="G125" i="1" s="1"/>
  <c r="E120" i="1"/>
  <c r="D117" i="1"/>
  <c r="F117" i="1" s="1"/>
  <c r="G117" i="1" s="1"/>
  <c r="E112" i="1"/>
  <c r="D109" i="1"/>
  <c r="F109" i="1" s="1"/>
  <c r="G109" i="1" s="1"/>
  <c r="E104" i="1"/>
  <c r="D101" i="1"/>
  <c r="F101" i="1" s="1"/>
  <c r="E96" i="1"/>
  <c r="D93" i="1"/>
  <c r="F93" i="1" s="1"/>
  <c r="G93" i="1" s="1"/>
  <c r="E88" i="1"/>
  <c r="D85" i="1"/>
  <c r="F85" i="1" s="1"/>
  <c r="G85" i="1" s="1"/>
  <c r="E80" i="1"/>
  <c r="D77" i="1"/>
  <c r="F77" i="1" s="1"/>
  <c r="G77" i="1" s="1"/>
  <c r="E171" i="1"/>
  <c r="D168" i="1"/>
  <c r="F168" i="1" s="1"/>
  <c r="G168" i="1" s="1"/>
  <c r="E163" i="1"/>
  <c r="D160" i="1"/>
  <c r="F160" i="1" s="1"/>
  <c r="G160" i="1" s="1"/>
  <c r="E155" i="1"/>
  <c r="D152" i="1"/>
  <c r="F152" i="1" s="1"/>
  <c r="G152" i="1" s="1"/>
  <c r="E147" i="1"/>
  <c r="D144" i="1"/>
  <c r="F144" i="1" s="1"/>
  <c r="G144" i="1" s="1"/>
  <c r="E139" i="1"/>
  <c r="D136" i="1"/>
  <c r="F136" i="1" s="1"/>
  <c r="G136" i="1" s="1"/>
  <c r="E131" i="1"/>
  <c r="D128" i="1"/>
  <c r="F128" i="1" s="1"/>
  <c r="G128" i="1" s="1"/>
  <c r="E123" i="1"/>
  <c r="D120" i="1"/>
  <c r="F120" i="1" s="1"/>
  <c r="G120" i="1" s="1"/>
  <c r="E115" i="1"/>
  <c r="D112" i="1"/>
  <c r="F112" i="1" s="1"/>
  <c r="G112" i="1" s="1"/>
  <c r="E107" i="1"/>
  <c r="D104" i="1"/>
  <c r="F104" i="1" s="1"/>
  <c r="G104" i="1" s="1"/>
  <c r="E99" i="1"/>
  <c r="D96" i="1"/>
  <c r="F96" i="1" s="1"/>
  <c r="G96" i="1" s="1"/>
  <c r="E91" i="1"/>
  <c r="D88" i="1"/>
  <c r="F88" i="1" s="1"/>
  <c r="G88" i="1" s="1"/>
  <c r="E83" i="1"/>
  <c r="D80" i="1"/>
  <c r="F80" i="1" s="1"/>
  <c r="G80" i="1" s="1"/>
  <c r="E75" i="1"/>
  <c r="D72" i="1"/>
  <c r="F72" i="1" s="1"/>
  <c r="G72" i="1" s="1"/>
  <c r="E67" i="1"/>
  <c r="D64" i="1"/>
  <c r="F64" i="1" s="1"/>
  <c r="E59" i="1"/>
  <c r="D56" i="1"/>
  <c r="F56" i="1" s="1"/>
  <c r="E51" i="1"/>
  <c r="D48" i="1"/>
  <c r="F48" i="1" s="1"/>
  <c r="G48" i="1" s="1"/>
  <c r="E43" i="1"/>
  <c r="D40" i="1"/>
  <c r="F40" i="1" s="1"/>
  <c r="E35" i="1"/>
  <c r="E174" i="1"/>
  <c r="D171" i="1"/>
  <c r="E166" i="1"/>
  <c r="D163" i="1"/>
  <c r="F163" i="1" s="1"/>
  <c r="G163" i="1" s="1"/>
  <c r="E158" i="1"/>
  <c r="D155" i="1"/>
  <c r="E150" i="1"/>
  <c r="D147" i="1"/>
  <c r="E142" i="1"/>
  <c r="D139" i="1"/>
  <c r="E134" i="1"/>
  <c r="D131" i="1"/>
  <c r="F131" i="1" s="1"/>
  <c r="G131" i="1" s="1"/>
  <c r="E126" i="1"/>
  <c r="D123" i="1"/>
  <c r="E118" i="1"/>
  <c r="D115" i="1"/>
  <c r="E110" i="1"/>
  <c r="D107" i="1"/>
  <c r="E102" i="1"/>
  <c r="D99" i="1"/>
  <c r="F99" i="1" s="1"/>
  <c r="G99" i="1" s="1"/>
  <c r="E94" i="1"/>
  <c r="D91" i="1"/>
  <c r="E86" i="1"/>
  <c r="D83" i="1"/>
  <c r="F83" i="1" s="1"/>
  <c r="G83" i="1" s="1"/>
  <c r="E78" i="1"/>
  <c r="D75" i="1"/>
  <c r="E70" i="1"/>
  <c r="D67" i="1"/>
  <c r="E62" i="1"/>
  <c r="D59" i="1"/>
  <c r="E54" i="1"/>
  <c r="D51" i="1"/>
  <c r="E46" i="1"/>
  <c r="D43" i="1"/>
  <c r="F43" i="1" s="1"/>
  <c r="G43" i="1" s="1"/>
  <c r="E38" i="1"/>
  <c r="E169" i="1"/>
  <c r="D166" i="1"/>
  <c r="F166" i="1" s="1"/>
  <c r="G166" i="1" s="1"/>
  <c r="E153" i="1"/>
  <c r="D150" i="1"/>
  <c r="E138" i="1"/>
  <c r="E130" i="1"/>
  <c r="E122" i="1"/>
  <c r="E114" i="1"/>
  <c r="E106" i="1"/>
  <c r="E98" i="1"/>
  <c r="E90" i="1"/>
  <c r="D65" i="1"/>
  <c r="D63" i="1"/>
  <c r="F63" i="1" s="1"/>
  <c r="D49" i="1"/>
  <c r="D47" i="1"/>
  <c r="F47" i="1" s="1"/>
  <c r="D36" i="1"/>
  <c r="F36" i="1" s="1"/>
  <c r="G36" i="1" s="1"/>
  <c r="E30" i="1"/>
  <c r="D23" i="1"/>
  <c r="F23" i="1" s="1"/>
  <c r="G23" i="1" s="1"/>
  <c r="E14" i="1"/>
  <c r="D7" i="1"/>
  <c r="F7" i="1" s="1"/>
  <c r="E58" i="1"/>
  <c r="E172" i="1"/>
  <c r="D169" i="1"/>
  <c r="E156" i="1"/>
  <c r="D153" i="1"/>
  <c r="F153" i="1" s="1"/>
  <c r="G153" i="1" s="1"/>
  <c r="E135" i="1"/>
  <c r="E127" i="1"/>
  <c r="E119" i="1"/>
  <c r="E111" i="1"/>
  <c r="E103" i="1"/>
  <c r="E95" i="1"/>
  <c r="E87" i="1"/>
  <c r="E82" i="1"/>
  <c r="E74" i="1"/>
  <c r="E175" i="1"/>
  <c r="D172" i="1"/>
  <c r="F172" i="1" s="1"/>
  <c r="E159" i="1"/>
  <c r="D156" i="1"/>
  <c r="F156" i="1" s="1"/>
  <c r="E143" i="1"/>
  <c r="E140" i="1"/>
  <c r="E137" i="1"/>
  <c r="D135" i="1"/>
  <c r="F135" i="1" s="1"/>
  <c r="G135" i="1" s="1"/>
  <c r="E132" i="1"/>
  <c r="E129" i="1"/>
  <c r="D127" i="1"/>
  <c r="F127" i="1" s="1"/>
  <c r="G127" i="1" s="1"/>
  <c r="E124" i="1"/>
  <c r="E121" i="1"/>
  <c r="D119" i="1"/>
  <c r="F119" i="1" s="1"/>
  <c r="G119" i="1" s="1"/>
  <c r="E116" i="1"/>
  <c r="E113" i="1"/>
  <c r="D111" i="1"/>
  <c r="F111" i="1" s="1"/>
  <c r="G111" i="1" s="1"/>
  <c r="E108" i="1"/>
  <c r="E105" i="1"/>
  <c r="D103" i="1"/>
  <c r="F103" i="1" s="1"/>
  <c r="G103" i="1" s="1"/>
  <c r="E100" i="1"/>
  <c r="E97" i="1"/>
  <c r="D95" i="1"/>
  <c r="F95" i="1" s="1"/>
  <c r="G95" i="1" s="1"/>
  <c r="E92" i="1"/>
  <c r="E89" i="1"/>
  <c r="D87" i="1"/>
  <c r="F87" i="1" s="1"/>
  <c r="E84" i="1"/>
  <c r="E79" i="1"/>
  <c r="D140" i="1"/>
  <c r="F140" i="1" s="1"/>
  <c r="D137" i="1"/>
  <c r="D132" i="1"/>
  <c r="F132" i="1" s="1"/>
  <c r="G132" i="1" s="1"/>
  <c r="D129" i="1"/>
  <c r="D124" i="1"/>
  <c r="F124" i="1" s="1"/>
  <c r="G124" i="1" s="1"/>
  <c r="D121" i="1"/>
  <c r="D116" i="1"/>
  <c r="F116" i="1" s="1"/>
  <c r="D113" i="1"/>
  <c r="D108" i="1"/>
  <c r="D105" i="1"/>
  <c r="F105" i="1" s="1"/>
  <c r="G105" i="1" s="1"/>
  <c r="D100" i="1"/>
  <c r="F100" i="1" s="1"/>
  <c r="G100" i="1" s="1"/>
  <c r="D97" i="1"/>
  <c r="D92" i="1"/>
  <c r="D89" i="1"/>
  <c r="D84" i="1"/>
  <c r="E81" i="1"/>
  <c r="D79" i="1"/>
  <c r="F79" i="1" s="1"/>
  <c r="G79" i="1" s="1"/>
  <c r="E76" i="1"/>
  <c r="E73" i="1"/>
  <c r="E71" i="1"/>
  <c r="D69" i="1"/>
  <c r="F69" i="1" s="1"/>
  <c r="E64" i="1"/>
  <c r="D62" i="1"/>
  <c r="D60" i="1"/>
  <c r="E57" i="1"/>
  <c r="E55" i="1"/>
  <c r="D53" i="1"/>
  <c r="F53" i="1" s="1"/>
  <c r="G53" i="1" s="1"/>
  <c r="E48" i="1"/>
  <c r="D46" i="1"/>
  <c r="F46" i="1" s="1"/>
  <c r="G46" i="1" s="1"/>
  <c r="D44" i="1"/>
  <c r="E41" i="1"/>
  <c r="E39" i="1"/>
  <c r="D37" i="1"/>
  <c r="F37" i="1" s="1"/>
  <c r="D35" i="1"/>
  <c r="F35" i="1" s="1"/>
  <c r="G35" i="1" s="1"/>
  <c r="D33" i="1"/>
  <c r="F33" i="1" s="1"/>
  <c r="G33" i="1" s="1"/>
  <c r="E31" i="1"/>
  <c r="D24" i="1"/>
  <c r="D17" i="1"/>
  <c r="F17" i="1" s="1"/>
  <c r="E15" i="1"/>
  <c r="D8" i="1"/>
  <c r="D174" i="1"/>
  <c r="E161" i="1"/>
  <c r="D158" i="1"/>
  <c r="F158" i="1" s="1"/>
  <c r="G158" i="1" s="1"/>
  <c r="E145" i="1"/>
  <c r="D142" i="1"/>
  <c r="D134" i="1"/>
  <c r="D126" i="1"/>
  <c r="D118" i="1"/>
  <c r="D110" i="1"/>
  <c r="D102" i="1"/>
  <c r="F102" i="1" s="1"/>
  <c r="G102" i="1" s="1"/>
  <c r="D94" i="1"/>
  <c r="F94" i="1" s="1"/>
  <c r="G94" i="1" s="1"/>
  <c r="D86" i="1"/>
  <c r="D81" i="1"/>
  <c r="D76" i="1"/>
  <c r="F76" i="1" s="1"/>
  <c r="D73" i="1"/>
  <c r="D71" i="1"/>
  <c r="F71" i="1" s="1"/>
  <c r="D57" i="1"/>
  <c r="E164" i="1"/>
  <c r="D161" i="1"/>
  <c r="F161" i="1" s="1"/>
  <c r="G161" i="1" s="1"/>
  <c r="E148" i="1"/>
  <c r="D145" i="1"/>
  <c r="D78" i="1"/>
  <c r="E66" i="1"/>
  <c r="E50" i="1"/>
  <c r="D29" i="1"/>
  <c r="E27" i="1"/>
  <c r="D22" i="1"/>
  <c r="F22" i="1" s="1"/>
  <c r="G22" i="1" s="1"/>
  <c r="E20" i="1"/>
  <c r="D13" i="1"/>
  <c r="F13" i="1" s="1"/>
  <c r="G13" i="1" s="1"/>
  <c r="E11" i="1"/>
  <c r="D6" i="1"/>
  <c r="E167" i="1"/>
  <c r="D164" i="1"/>
  <c r="F164" i="1" s="1"/>
  <c r="E151" i="1"/>
  <c r="D148" i="1"/>
  <c r="F148" i="1" s="1"/>
  <c r="G148" i="1" s="1"/>
  <c r="E12" i="1"/>
  <c r="E17" i="1"/>
  <c r="D25" i="1"/>
  <c r="F25" i="1" s="1"/>
  <c r="G25" i="1" s="1"/>
  <c r="D30" i="1"/>
  <c r="F30" i="1" s="1"/>
  <c r="D32" i="1"/>
  <c r="E40" i="1"/>
  <c r="F44" i="1"/>
  <c r="E47" i="1"/>
  <c r="F51" i="1"/>
  <c r="F58" i="1"/>
  <c r="G58" i="1" s="1"/>
  <c r="E65" i="1"/>
  <c r="F78" i="1"/>
  <c r="G78" i="1" s="1"/>
  <c r="F84" i="1"/>
  <c r="G84" i="1" s="1"/>
  <c r="D5" i="1"/>
  <c r="F5" i="1" s="1"/>
  <c r="G5" i="1" s="1"/>
  <c r="D20" i="1"/>
  <c r="F20" i="1" s="1"/>
  <c r="G20" i="1" s="1"/>
  <c r="D70" i="1"/>
  <c r="F70" i="1" s="1"/>
  <c r="G70" i="1" s="1"/>
  <c r="F59" i="1"/>
  <c r="G59" i="1" s="1"/>
  <c r="F6" i="1"/>
  <c r="E18" i="1"/>
  <c r="D41" i="1"/>
  <c r="F75" i="1"/>
  <c r="G75" i="1" s="1"/>
  <c r="E32" i="1"/>
  <c r="E23" i="1"/>
  <c r="F67" i="1"/>
  <c r="G67" i="1" s="1"/>
  <c r="F21" i="1"/>
  <c r="G21" i="1" s="1"/>
  <c r="E28" i="1"/>
  <c r="E33" i="1"/>
  <c r="E36" i="1"/>
  <c r="D45" i="1"/>
  <c r="F45" i="1" s="1"/>
  <c r="G45" i="1" s="1"/>
  <c r="E52" i="1"/>
  <c r="F60" i="1"/>
  <c r="G60" i="1" s="1"/>
  <c r="E63" i="1"/>
  <c r="F68" i="1"/>
  <c r="G68" i="1" s="1"/>
  <c r="E6" i="1"/>
  <c r="D11" i="1"/>
  <c r="F11" i="1" s="1"/>
  <c r="G11" i="1" s="1"/>
  <c r="D21" i="1"/>
  <c r="F24" i="1"/>
  <c r="E26" i="1"/>
  <c r="D31" i="1"/>
  <c r="F31" i="1" s="1"/>
  <c r="G31" i="1" s="1"/>
  <c r="D39" i="1"/>
  <c r="F39" i="1" s="1"/>
  <c r="G39" i="1" s="1"/>
  <c r="F42" i="1"/>
  <c r="F49" i="1"/>
  <c r="E60" i="1"/>
  <c r="D68" i="1"/>
  <c r="F8" i="1"/>
  <c r="G8" i="1" s="1"/>
  <c r="E25" i="1"/>
  <c r="F66" i="1"/>
  <c r="G66" i="1" s="1"/>
  <c r="F18" i="1"/>
  <c r="G18" i="1" s="1"/>
  <c r="D16" i="1"/>
  <c r="E42" i="1"/>
  <c r="E49" i="1"/>
  <c r="E56" i="1"/>
  <c r="E68" i="1"/>
  <c r="F92" i="1"/>
  <c r="G92" i="1" s="1"/>
  <c r="F108" i="1"/>
  <c r="G108" i="1" s="1"/>
  <c r="F145" i="1"/>
  <c r="G145" i="1" s="1"/>
  <c r="F41" i="1"/>
  <c r="G41" i="1" s="1"/>
  <c r="F57" i="1"/>
  <c r="G57" i="1" s="1"/>
  <c r="F73" i="1"/>
  <c r="F81" i="1"/>
  <c r="G81" i="1" s="1"/>
  <c r="F86" i="1"/>
  <c r="G86" i="1" s="1"/>
  <c r="F91" i="1"/>
  <c r="G91" i="1" s="1"/>
  <c r="F107" i="1"/>
  <c r="G107" i="1" s="1"/>
  <c r="F110" i="1"/>
  <c r="G110" i="1" s="1"/>
  <c r="F115" i="1"/>
  <c r="F118" i="1"/>
  <c r="G118" i="1" s="1"/>
  <c r="F123" i="1"/>
  <c r="G123" i="1" s="1"/>
  <c r="F126" i="1"/>
  <c r="F134" i="1"/>
  <c r="G134" i="1" s="1"/>
  <c r="F139" i="1"/>
  <c r="G139" i="1" s="1"/>
  <c r="F142" i="1"/>
  <c r="G142" i="1" s="1"/>
  <c r="F174" i="1"/>
  <c r="G174" i="1" s="1"/>
  <c r="F62" i="1"/>
  <c r="G62" i="1" s="1"/>
  <c r="F89" i="1"/>
  <c r="G89" i="1" s="1"/>
  <c r="F97" i="1"/>
  <c r="F113" i="1"/>
  <c r="G113" i="1" s="1"/>
  <c r="F121" i="1"/>
  <c r="G121" i="1" s="1"/>
  <c r="F129" i="1"/>
  <c r="G129" i="1" s="1"/>
  <c r="F137" i="1"/>
  <c r="F155" i="1"/>
  <c r="G155" i="1" s="1"/>
  <c r="F171" i="1"/>
  <c r="G171" i="1" s="1"/>
  <c r="F169" i="1"/>
  <c r="F65" i="1"/>
  <c r="G65" i="1" s="1"/>
  <c r="F150" i="1"/>
  <c r="G150" i="1" s="1"/>
  <c r="F16" i="1"/>
  <c r="G16" i="1" s="1"/>
  <c r="F32" i="1"/>
  <c r="G32" i="1" s="1"/>
  <c r="F38" i="1"/>
  <c r="G38" i="1" s="1"/>
  <c r="F54" i="1"/>
  <c r="G54" i="1" s="1"/>
  <c r="F147" i="1"/>
  <c r="G115" i="1" l="1"/>
  <c r="G24" i="1"/>
  <c r="G164" i="1"/>
  <c r="G37" i="1"/>
  <c r="G140" i="1"/>
  <c r="G56" i="1"/>
  <c r="G10" i="1"/>
  <c r="G106" i="1"/>
  <c r="G138" i="1"/>
  <c r="G170" i="1"/>
  <c r="G167" i="1"/>
  <c r="G73" i="1"/>
  <c r="G71" i="1"/>
  <c r="G156" i="1"/>
  <c r="G47" i="1"/>
  <c r="G61" i="1"/>
  <c r="G55" i="1"/>
  <c r="G147" i="1"/>
  <c r="G30" i="1"/>
  <c r="G116" i="1"/>
  <c r="G64" i="1"/>
  <c r="G82" i="1"/>
  <c r="G114" i="1"/>
  <c r="G143" i="1"/>
  <c r="G175" i="1"/>
  <c r="G28" i="1"/>
  <c r="G169" i="1"/>
  <c r="G49" i="1"/>
  <c r="G76" i="1"/>
  <c r="G17" i="1"/>
  <c r="G87" i="1"/>
  <c r="G172" i="1"/>
  <c r="G63" i="1"/>
  <c r="G98" i="1"/>
  <c r="G137" i="1"/>
  <c r="G44" i="1"/>
  <c r="G97" i="1"/>
  <c r="G42" i="1"/>
  <c r="G6" i="1"/>
  <c r="G69" i="1"/>
  <c r="G7" i="1"/>
  <c r="G40" i="1"/>
  <c r="G101" i="1"/>
  <c r="G133" i="1"/>
  <c r="G165" i="1"/>
  <c r="G26" i="1"/>
  <c r="G90" i="1"/>
  <c r="G122" i="1"/>
  <c r="G151" i="1"/>
  <c r="G14" i="1"/>
  <c r="G52" i="1"/>
  <c r="G126" i="1"/>
  <c r="G51" i="1"/>
</calcChain>
</file>

<file path=xl/sharedStrings.xml><?xml version="1.0" encoding="utf-8"?>
<sst xmlns="http://schemas.openxmlformats.org/spreadsheetml/2006/main" count="9" uniqueCount="8">
  <si>
    <t>Upper Komati</t>
  </si>
  <si>
    <t>Recharge</t>
  </si>
  <si>
    <t>Date</t>
  </si>
  <si>
    <t>Recharge (inches)</t>
  </si>
  <si>
    <t>Average recharge</t>
  </si>
  <si>
    <t>STDEV</t>
  </si>
  <si>
    <t>Recharge index</t>
  </si>
  <si>
    <t>Filure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</si>
</sst>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mm"/>
    <numFmt numFmtId="165" formatCode="0.0000"/>
    <numFmt numFmtId="166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0" fillId="2" borderId="1" xfId="0" applyNumberFormat="1" applyFill="1" applyBorder="1" applyAlignment="1">
      <alignment horizontal="right"/>
    </xf>
    <xf numFmtId="0" fontId="0" fillId="2" borderId="0" xfId="0" applyFill="1"/>
    <xf numFmtId="0" fontId="0" fillId="3" borderId="0" xfId="0" applyFill="1"/>
    <xf numFmtId="165" fontId="0" fillId="2" borderId="0" xfId="0" applyNumberFormat="1" applyFill="1"/>
    <xf numFmtId="164" fontId="1" fillId="2" borderId="1" xfId="0" applyNumberFormat="1" applyFont="1" applyFill="1" applyBorder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4" fontId="1" fillId="0" borderId="0" xfId="0" applyNumberFormat="1" applyFont="1"/>
    <xf numFmtId="164" fontId="0" fillId="2" borderId="2" xfId="0" applyNumberFormat="1" applyFill="1" applyBorder="1" applyAlignment="1">
      <alignment horizontal="center"/>
    </xf>
    <xf numFmtId="164" fontId="0" fillId="2" borderId="3" xfId="0" applyNumberFormat="1" applyFill="1" applyBorder="1" applyAlignment="1">
      <alignment horizontal="center"/>
    </xf>
    <xf numFmtId="164" fontId="0" fillId="2" borderId="4" xfId="0" applyNumberFormat="1" applyFill="1" applyBorder="1" applyAlignment="1">
      <alignment horizontal="center"/>
    </xf>
    <xf numFmtId="164" fontId="0" fillId="4" borderId="5" xfId="0" applyNumberFormat="1" applyFill="1" applyBorder="1" applyAlignment="1">
      <alignment horizontal="right"/>
    </xf>
    <xf numFmtId="0" fontId="0" fillId="4" borderId="5" xfId="0" applyFill="1" applyBorder="1"/>
    <xf numFmtId="166" fontId="0" fillId="4" borderId="5" xfId="0" applyNumberFormat="1" applyFill="1" applyBorder="1"/>
    <xf numFmtId="165" fontId="0" fillId="4" borderId="5" xfId="0" applyNumberFormat="1" applyFill="1" applyBorder="1"/>
    <xf numFmtId="164" fontId="2" fillId="2" borderId="5" xfId="0" applyNumberFormat="1" applyFont="1" applyFill="1" applyBorder="1" applyAlignment="1">
      <alignment horizontal="right"/>
    </xf>
    <xf numFmtId="0" fontId="0" fillId="5" borderId="5" xfId="0" applyFill="1" applyBorder="1"/>
    <xf numFmtId="166" fontId="2" fillId="5" borderId="5" xfId="0" applyNumberFormat="1" applyFont="1" applyFill="1" applyBorder="1"/>
    <xf numFmtId="166" fontId="0" fillId="5" borderId="5" xfId="0" applyNumberFormat="1" applyFill="1" applyBorder="1"/>
    <xf numFmtId="165" fontId="0" fillId="5" borderId="5" xfId="0" applyNumberFormat="1" applyFill="1" applyBorder="1"/>
    <xf numFmtId="0" fontId="0" fillId="2" borderId="5" xfId="0" applyFill="1" applyBorder="1"/>
    <xf numFmtId="164" fontId="0" fillId="2" borderId="5" xfId="0" applyNumberFormat="1" applyFill="1" applyBorder="1" applyAlignment="1">
      <alignment horizontal="right"/>
    </xf>
    <xf numFmtId="165" fontId="0" fillId="2" borderId="5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5"/>
          <c:order val="0"/>
          <c:tx>
            <c:strRef>
              <c:f>Assegai!$G$4</c:f>
              <c:strCache>
                <c:ptCount val="1"/>
                <c:pt idx="0">
                  <c:v>Recharge index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Assegai!$A$5:$A$175</c:f>
              <c:numCache>
                <c:formatCode>yyyy/mm</c:formatCode>
                <c:ptCount val="171"/>
                <c:pt idx="0">
                  <c:v>40565</c:v>
                </c:pt>
                <c:pt idx="1">
                  <c:v>40596</c:v>
                </c:pt>
                <c:pt idx="2">
                  <c:v>40624</c:v>
                </c:pt>
                <c:pt idx="3">
                  <c:v>40655</c:v>
                </c:pt>
                <c:pt idx="4">
                  <c:v>40685</c:v>
                </c:pt>
                <c:pt idx="5">
                  <c:v>40716</c:v>
                </c:pt>
                <c:pt idx="6">
                  <c:v>40746</c:v>
                </c:pt>
                <c:pt idx="7">
                  <c:v>40777</c:v>
                </c:pt>
                <c:pt idx="8">
                  <c:v>40808</c:v>
                </c:pt>
                <c:pt idx="9">
                  <c:v>40838</c:v>
                </c:pt>
                <c:pt idx="10">
                  <c:v>40869</c:v>
                </c:pt>
                <c:pt idx="11">
                  <c:v>40899</c:v>
                </c:pt>
                <c:pt idx="12">
                  <c:v>40930</c:v>
                </c:pt>
                <c:pt idx="13">
                  <c:v>40961</c:v>
                </c:pt>
                <c:pt idx="14">
                  <c:v>40990</c:v>
                </c:pt>
                <c:pt idx="15">
                  <c:v>41021</c:v>
                </c:pt>
                <c:pt idx="16">
                  <c:v>41051</c:v>
                </c:pt>
                <c:pt idx="17">
                  <c:v>41082</c:v>
                </c:pt>
                <c:pt idx="18">
                  <c:v>41112</c:v>
                </c:pt>
                <c:pt idx="19">
                  <c:v>41143</c:v>
                </c:pt>
                <c:pt idx="20">
                  <c:v>41174</c:v>
                </c:pt>
                <c:pt idx="21">
                  <c:v>41204</c:v>
                </c:pt>
                <c:pt idx="22">
                  <c:v>41235</c:v>
                </c:pt>
                <c:pt idx="23">
                  <c:v>41265</c:v>
                </c:pt>
                <c:pt idx="24">
                  <c:v>41296</c:v>
                </c:pt>
                <c:pt idx="25">
                  <c:v>41327</c:v>
                </c:pt>
                <c:pt idx="26">
                  <c:v>41355</c:v>
                </c:pt>
                <c:pt idx="27">
                  <c:v>41386</c:v>
                </c:pt>
                <c:pt idx="28">
                  <c:v>41416</c:v>
                </c:pt>
                <c:pt idx="29">
                  <c:v>41447</c:v>
                </c:pt>
                <c:pt idx="30">
                  <c:v>41477</c:v>
                </c:pt>
                <c:pt idx="31">
                  <c:v>41508</c:v>
                </c:pt>
                <c:pt idx="32">
                  <c:v>41539</c:v>
                </c:pt>
                <c:pt idx="33">
                  <c:v>41569</c:v>
                </c:pt>
                <c:pt idx="34">
                  <c:v>41600</c:v>
                </c:pt>
                <c:pt idx="35">
                  <c:v>41630</c:v>
                </c:pt>
                <c:pt idx="36">
                  <c:v>41661</c:v>
                </c:pt>
                <c:pt idx="37">
                  <c:v>41692</c:v>
                </c:pt>
                <c:pt idx="38">
                  <c:v>41720</c:v>
                </c:pt>
                <c:pt idx="39">
                  <c:v>41751</c:v>
                </c:pt>
                <c:pt idx="40">
                  <c:v>41781</c:v>
                </c:pt>
                <c:pt idx="41">
                  <c:v>41812</c:v>
                </c:pt>
                <c:pt idx="42">
                  <c:v>41842</c:v>
                </c:pt>
                <c:pt idx="43">
                  <c:v>41873</c:v>
                </c:pt>
                <c:pt idx="44">
                  <c:v>41904</c:v>
                </c:pt>
                <c:pt idx="45">
                  <c:v>41934</c:v>
                </c:pt>
                <c:pt idx="46">
                  <c:v>41965</c:v>
                </c:pt>
                <c:pt idx="47">
                  <c:v>41995</c:v>
                </c:pt>
                <c:pt idx="48">
                  <c:v>42026</c:v>
                </c:pt>
                <c:pt idx="49">
                  <c:v>42057</c:v>
                </c:pt>
                <c:pt idx="50">
                  <c:v>42085</c:v>
                </c:pt>
                <c:pt idx="51">
                  <c:v>42116</c:v>
                </c:pt>
                <c:pt idx="52">
                  <c:v>42146</c:v>
                </c:pt>
                <c:pt idx="53">
                  <c:v>42177</c:v>
                </c:pt>
                <c:pt idx="54">
                  <c:v>42207</c:v>
                </c:pt>
                <c:pt idx="55">
                  <c:v>42238</c:v>
                </c:pt>
                <c:pt idx="56">
                  <c:v>42269</c:v>
                </c:pt>
                <c:pt idx="57">
                  <c:v>42299</c:v>
                </c:pt>
                <c:pt idx="58">
                  <c:v>42330</c:v>
                </c:pt>
                <c:pt idx="59">
                  <c:v>42360</c:v>
                </c:pt>
                <c:pt idx="60">
                  <c:v>42391</c:v>
                </c:pt>
                <c:pt idx="61">
                  <c:v>42422</c:v>
                </c:pt>
                <c:pt idx="62">
                  <c:v>42451</c:v>
                </c:pt>
                <c:pt idx="63">
                  <c:v>42482</c:v>
                </c:pt>
                <c:pt idx="64">
                  <c:v>42512</c:v>
                </c:pt>
                <c:pt idx="65">
                  <c:v>42543</c:v>
                </c:pt>
                <c:pt idx="66">
                  <c:v>42573</c:v>
                </c:pt>
                <c:pt idx="67">
                  <c:v>42604</c:v>
                </c:pt>
                <c:pt idx="68">
                  <c:v>42635</c:v>
                </c:pt>
                <c:pt idx="69">
                  <c:v>42665</c:v>
                </c:pt>
                <c:pt idx="70">
                  <c:v>42696</c:v>
                </c:pt>
                <c:pt idx="71">
                  <c:v>42726</c:v>
                </c:pt>
                <c:pt idx="72">
                  <c:v>42757</c:v>
                </c:pt>
                <c:pt idx="73">
                  <c:v>42788</c:v>
                </c:pt>
                <c:pt idx="74">
                  <c:v>42816</c:v>
                </c:pt>
                <c:pt idx="75">
                  <c:v>42847</c:v>
                </c:pt>
                <c:pt idx="76">
                  <c:v>42877</c:v>
                </c:pt>
                <c:pt idx="77">
                  <c:v>42908</c:v>
                </c:pt>
                <c:pt idx="78">
                  <c:v>42938</c:v>
                </c:pt>
                <c:pt idx="79">
                  <c:v>42969</c:v>
                </c:pt>
                <c:pt idx="80">
                  <c:v>43000</c:v>
                </c:pt>
                <c:pt idx="81">
                  <c:v>43030</c:v>
                </c:pt>
                <c:pt idx="82">
                  <c:v>43061</c:v>
                </c:pt>
                <c:pt idx="83">
                  <c:v>43091</c:v>
                </c:pt>
                <c:pt idx="84">
                  <c:v>43122</c:v>
                </c:pt>
                <c:pt idx="85">
                  <c:v>43153</c:v>
                </c:pt>
                <c:pt idx="86">
                  <c:v>43181</c:v>
                </c:pt>
                <c:pt idx="87">
                  <c:v>43212</c:v>
                </c:pt>
                <c:pt idx="88">
                  <c:v>43242</c:v>
                </c:pt>
                <c:pt idx="89">
                  <c:v>43273</c:v>
                </c:pt>
                <c:pt idx="90">
                  <c:v>43303</c:v>
                </c:pt>
                <c:pt idx="91">
                  <c:v>43334</c:v>
                </c:pt>
                <c:pt idx="92">
                  <c:v>43365</c:v>
                </c:pt>
                <c:pt idx="93">
                  <c:v>43395</c:v>
                </c:pt>
                <c:pt idx="94">
                  <c:v>43426</c:v>
                </c:pt>
                <c:pt idx="95">
                  <c:v>43456</c:v>
                </c:pt>
                <c:pt idx="96">
                  <c:v>43487</c:v>
                </c:pt>
                <c:pt idx="97">
                  <c:v>43518</c:v>
                </c:pt>
                <c:pt idx="98">
                  <c:v>43546</c:v>
                </c:pt>
                <c:pt idx="99">
                  <c:v>43577</c:v>
                </c:pt>
                <c:pt idx="100">
                  <c:v>43607</c:v>
                </c:pt>
                <c:pt idx="101">
                  <c:v>43638</c:v>
                </c:pt>
                <c:pt idx="102">
                  <c:v>43668</c:v>
                </c:pt>
                <c:pt idx="103">
                  <c:v>43699</c:v>
                </c:pt>
                <c:pt idx="104">
                  <c:v>43730</c:v>
                </c:pt>
                <c:pt idx="105">
                  <c:v>43760</c:v>
                </c:pt>
                <c:pt idx="106">
                  <c:v>43791</c:v>
                </c:pt>
                <c:pt idx="107">
                  <c:v>43821</c:v>
                </c:pt>
                <c:pt idx="108">
                  <c:v>43852</c:v>
                </c:pt>
                <c:pt idx="109">
                  <c:v>43883</c:v>
                </c:pt>
                <c:pt idx="110">
                  <c:v>43912</c:v>
                </c:pt>
                <c:pt idx="111">
                  <c:v>43943</c:v>
                </c:pt>
                <c:pt idx="112">
                  <c:v>43973</c:v>
                </c:pt>
                <c:pt idx="113">
                  <c:v>44004</c:v>
                </c:pt>
                <c:pt idx="114">
                  <c:v>44034</c:v>
                </c:pt>
                <c:pt idx="115">
                  <c:v>44065</c:v>
                </c:pt>
                <c:pt idx="116">
                  <c:v>44096</c:v>
                </c:pt>
                <c:pt idx="117">
                  <c:v>44126</c:v>
                </c:pt>
                <c:pt idx="118">
                  <c:v>44157</c:v>
                </c:pt>
                <c:pt idx="119">
                  <c:v>44187</c:v>
                </c:pt>
                <c:pt idx="120">
                  <c:v>44218</c:v>
                </c:pt>
                <c:pt idx="121">
                  <c:v>44249</c:v>
                </c:pt>
                <c:pt idx="122">
                  <c:v>44277</c:v>
                </c:pt>
                <c:pt idx="123">
                  <c:v>44308</c:v>
                </c:pt>
                <c:pt idx="124">
                  <c:v>44338</c:v>
                </c:pt>
                <c:pt idx="125">
                  <c:v>44369</c:v>
                </c:pt>
                <c:pt idx="126">
                  <c:v>44399</c:v>
                </c:pt>
                <c:pt idx="127">
                  <c:v>44430</c:v>
                </c:pt>
                <c:pt idx="128">
                  <c:v>44461</c:v>
                </c:pt>
                <c:pt idx="129">
                  <c:v>44491</c:v>
                </c:pt>
                <c:pt idx="130">
                  <c:v>44522</c:v>
                </c:pt>
                <c:pt idx="131">
                  <c:v>44552</c:v>
                </c:pt>
                <c:pt idx="132">
                  <c:v>44583</c:v>
                </c:pt>
                <c:pt idx="133">
                  <c:v>44614</c:v>
                </c:pt>
                <c:pt idx="134">
                  <c:v>44642</c:v>
                </c:pt>
                <c:pt idx="135">
                  <c:v>44673</c:v>
                </c:pt>
                <c:pt idx="136">
                  <c:v>44703</c:v>
                </c:pt>
                <c:pt idx="137">
                  <c:v>44734</c:v>
                </c:pt>
                <c:pt idx="138">
                  <c:v>44764</c:v>
                </c:pt>
                <c:pt idx="139">
                  <c:v>44795</c:v>
                </c:pt>
                <c:pt idx="140">
                  <c:v>44826</c:v>
                </c:pt>
                <c:pt idx="141">
                  <c:v>44856</c:v>
                </c:pt>
                <c:pt idx="142">
                  <c:v>44887</c:v>
                </c:pt>
                <c:pt idx="143">
                  <c:v>44917</c:v>
                </c:pt>
                <c:pt idx="144">
                  <c:v>44948</c:v>
                </c:pt>
                <c:pt idx="145">
                  <c:v>44979</c:v>
                </c:pt>
                <c:pt idx="146">
                  <c:v>45007</c:v>
                </c:pt>
                <c:pt idx="147">
                  <c:v>45038</c:v>
                </c:pt>
                <c:pt idx="148">
                  <c:v>45068</c:v>
                </c:pt>
                <c:pt idx="149">
                  <c:v>45099</c:v>
                </c:pt>
                <c:pt idx="150">
                  <c:v>45129</c:v>
                </c:pt>
                <c:pt idx="151">
                  <c:v>45160</c:v>
                </c:pt>
                <c:pt idx="152">
                  <c:v>45191</c:v>
                </c:pt>
                <c:pt idx="153">
                  <c:v>45221</c:v>
                </c:pt>
                <c:pt idx="154">
                  <c:v>45252</c:v>
                </c:pt>
                <c:pt idx="155">
                  <c:v>45282</c:v>
                </c:pt>
                <c:pt idx="156">
                  <c:v>45313</c:v>
                </c:pt>
                <c:pt idx="157">
                  <c:v>45344</c:v>
                </c:pt>
                <c:pt idx="158">
                  <c:v>45373</c:v>
                </c:pt>
                <c:pt idx="159">
                  <c:v>45404</c:v>
                </c:pt>
                <c:pt idx="160">
                  <c:v>45434</c:v>
                </c:pt>
                <c:pt idx="161">
                  <c:v>45465</c:v>
                </c:pt>
                <c:pt idx="162">
                  <c:v>45495</c:v>
                </c:pt>
                <c:pt idx="163">
                  <c:v>45526</c:v>
                </c:pt>
                <c:pt idx="164">
                  <c:v>45557</c:v>
                </c:pt>
                <c:pt idx="165">
                  <c:v>45587</c:v>
                </c:pt>
                <c:pt idx="166">
                  <c:v>45618</c:v>
                </c:pt>
                <c:pt idx="167">
                  <c:v>45648</c:v>
                </c:pt>
                <c:pt idx="168">
                  <c:v>45679</c:v>
                </c:pt>
                <c:pt idx="169">
                  <c:v>45710</c:v>
                </c:pt>
                <c:pt idx="170">
                  <c:v>45739</c:v>
                </c:pt>
              </c:numCache>
            </c:numRef>
          </c:cat>
          <c:val>
            <c:numRef>
              <c:f>Assegai!$G$5:$G$175</c:f>
              <c:numCache>
                <c:formatCode>0.0000</c:formatCode>
                <c:ptCount val="171"/>
                <c:pt idx="0">
                  <c:v>0.92382786543215589</c:v>
                </c:pt>
                <c:pt idx="1">
                  <c:v>5.8717872802891417E-2</c:v>
                </c:pt>
                <c:pt idx="2">
                  <c:v>-0.42041996926870118</c:v>
                </c:pt>
                <c:pt idx="3">
                  <c:v>-3.44478187110294E-2</c:v>
                </c:pt>
                <c:pt idx="4">
                  <c:v>-0.26070735524483696</c:v>
                </c:pt>
                <c:pt idx="5">
                  <c:v>-0.20746981723688226</c:v>
                </c:pt>
                <c:pt idx="6">
                  <c:v>-0.22077920173887094</c:v>
                </c:pt>
                <c:pt idx="7">
                  <c:v>-0.27401673974682567</c:v>
                </c:pt>
                <c:pt idx="8">
                  <c:v>-0.34056366225676915</c:v>
                </c:pt>
                <c:pt idx="9">
                  <c:v>-0.12761351022495013</c:v>
                </c:pt>
                <c:pt idx="10">
                  <c:v>-0.20746981723688226</c:v>
                </c:pt>
                <c:pt idx="11">
                  <c:v>-0.12761351022495013</c:v>
                </c:pt>
                <c:pt idx="12">
                  <c:v>0.55116509937647284</c:v>
                </c:pt>
                <c:pt idx="13">
                  <c:v>3.2099103798914001E-2</c:v>
                </c:pt>
                <c:pt idx="14">
                  <c:v>-0.32725427775478044</c:v>
                </c:pt>
                <c:pt idx="15">
                  <c:v>-0.27401673974682567</c:v>
                </c:pt>
                <c:pt idx="16">
                  <c:v>-0.28732612424881437</c:v>
                </c:pt>
                <c:pt idx="17">
                  <c:v>-0.28732612424881437</c:v>
                </c:pt>
                <c:pt idx="18">
                  <c:v>-0.27401673974682567</c:v>
                </c:pt>
                <c:pt idx="19">
                  <c:v>-0.30063550875080303</c:v>
                </c:pt>
                <c:pt idx="20">
                  <c:v>-2.1138434209040689E-2</c:v>
                </c:pt>
                <c:pt idx="21">
                  <c:v>0.12526479531283477</c:v>
                </c:pt>
                <c:pt idx="22">
                  <c:v>9.8646026308857548E-2</c:v>
                </c:pt>
                <c:pt idx="23">
                  <c:v>9.8646026308857548E-2</c:v>
                </c:pt>
                <c:pt idx="24">
                  <c:v>1.6292252440375561</c:v>
                </c:pt>
                <c:pt idx="25">
                  <c:v>7.2027257304880132E-2</c:v>
                </c:pt>
                <c:pt idx="26">
                  <c:v>1.2033249399739181</c:v>
                </c:pt>
                <c:pt idx="27">
                  <c:v>0.53785571487448414</c:v>
                </c:pt>
                <c:pt idx="28">
                  <c:v>-2.1138434209040689E-2</c:v>
                </c:pt>
                <c:pt idx="29">
                  <c:v>-0.23408858624085965</c:v>
                </c:pt>
                <c:pt idx="30">
                  <c:v>-0.19416043273489358</c:v>
                </c:pt>
                <c:pt idx="31">
                  <c:v>-0.26070735524483696</c:v>
                </c:pt>
                <c:pt idx="32">
                  <c:v>-0.26070735524483696</c:v>
                </c:pt>
                <c:pt idx="33">
                  <c:v>-0.1675416637309162</c:v>
                </c:pt>
                <c:pt idx="34">
                  <c:v>-0.19416043273489358</c:v>
                </c:pt>
                <c:pt idx="35">
                  <c:v>1.4961313990176692</c:v>
                </c:pt>
                <c:pt idx="36">
                  <c:v>0.39145248535260857</c:v>
                </c:pt>
                <c:pt idx="37">
                  <c:v>-0.27401673974682567</c:v>
                </c:pt>
                <c:pt idx="38">
                  <c:v>0.84397155842022376</c:v>
                </c:pt>
                <c:pt idx="39">
                  <c:v>-0.23408858624085965</c:v>
                </c:pt>
                <c:pt idx="40">
                  <c:v>-0.1675416637309162</c:v>
                </c:pt>
                <c:pt idx="41">
                  <c:v>-0.28732612424881437</c:v>
                </c:pt>
                <c:pt idx="42">
                  <c:v>-0.26070735524483696</c:v>
                </c:pt>
                <c:pt idx="43">
                  <c:v>-0.30063550875080303</c:v>
                </c:pt>
                <c:pt idx="44">
                  <c:v>-0.28732612424881437</c:v>
                </c:pt>
                <c:pt idx="45">
                  <c:v>-0.28732612424881437</c:v>
                </c:pt>
                <c:pt idx="46">
                  <c:v>-0.18085104823290488</c:v>
                </c:pt>
                <c:pt idx="47">
                  <c:v>0.93713724993414449</c:v>
                </c:pt>
                <c:pt idx="48">
                  <c:v>-0.38049181576273516</c:v>
                </c:pt>
                <c:pt idx="49">
                  <c:v>-0.34056366225676915</c:v>
                </c:pt>
                <c:pt idx="50">
                  <c:v>-0.24739797074284831</c:v>
                </c:pt>
                <c:pt idx="51">
                  <c:v>-0.27401673974682567</c:v>
                </c:pt>
                <c:pt idx="52">
                  <c:v>-0.31394489325279173</c:v>
                </c:pt>
                <c:pt idx="53">
                  <c:v>-0.30063550875080303</c:v>
                </c:pt>
                <c:pt idx="54">
                  <c:v>-0.31394489325279173</c:v>
                </c:pt>
                <c:pt idx="55">
                  <c:v>-0.32725427775478044</c:v>
                </c:pt>
                <c:pt idx="56">
                  <c:v>-0.32725427775478044</c:v>
                </c:pt>
                <c:pt idx="57">
                  <c:v>-0.32725427775478044</c:v>
                </c:pt>
                <c:pt idx="58">
                  <c:v>-0.3538730467587578</c:v>
                </c:pt>
                <c:pt idx="59">
                  <c:v>-0.31394489325279173</c:v>
                </c:pt>
                <c:pt idx="60">
                  <c:v>-0.20746981723688226</c:v>
                </c:pt>
                <c:pt idx="61">
                  <c:v>-0.30063550875080303</c:v>
                </c:pt>
                <c:pt idx="62">
                  <c:v>-0.14092289472693884</c:v>
                </c:pt>
                <c:pt idx="63">
                  <c:v>-0.31394489325279173</c:v>
                </c:pt>
                <c:pt idx="64">
                  <c:v>-0.28732612424881437</c:v>
                </c:pt>
                <c:pt idx="65">
                  <c:v>-0.32725427775478044</c:v>
                </c:pt>
                <c:pt idx="66">
                  <c:v>-0.32725427775478044</c:v>
                </c:pt>
                <c:pt idx="67">
                  <c:v>-0.34056366225676915</c:v>
                </c:pt>
                <c:pt idx="68">
                  <c:v>-0.34056366225676915</c:v>
                </c:pt>
                <c:pt idx="69">
                  <c:v>-0.32725427775478044</c:v>
                </c:pt>
                <c:pt idx="70">
                  <c:v>-0.15423227922892754</c:v>
                </c:pt>
                <c:pt idx="71">
                  <c:v>-0.23408858624085965</c:v>
                </c:pt>
                <c:pt idx="72">
                  <c:v>-0.23408858624085965</c:v>
                </c:pt>
                <c:pt idx="73">
                  <c:v>-0.1675416637309162</c:v>
                </c:pt>
                <c:pt idx="74">
                  <c:v>-0.20746981723688226</c:v>
                </c:pt>
                <c:pt idx="75">
                  <c:v>-0.32725427775478044</c:v>
                </c:pt>
                <c:pt idx="76">
                  <c:v>-0.30063550875080303</c:v>
                </c:pt>
                <c:pt idx="77">
                  <c:v>-0.31394489325279173</c:v>
                </c:pt>
                <c:pt idx="78">
                  <c:v>-0.28732612424881437</c:v>
                </c:pt>
                <c:pt idx="79">
                  <c:v>-0.31394489325279173</c:v>
                </c:pt>
                <c:pt idx="80">
                  <c:v>-0.3538730467587578</c:v>
                </c:pt>
                <c:pt idx="81">
                  <c:v>-0.26070735524483696</c:v>
                </c:pt>
                <c:pt idx="82">
                  <c:v>-0.23408858624085965</c:v>
                </c:pt>
                <c:pt idx="83">
                  <c:v>-3.44478187110294E-2</c:v>
                </c:pt>
                <c:pt idx="84">
                  <c:v>-0.20746981723688226</c:v>
                </c:pt>
                <c:pt idx="85">
                  <c:v>-8.7685356718984087E-2</c:v>
                </c:pt>
                <c:pt idx="86">
                  <c:v>4.5408488300902709E-2</c:v>
                </c:pt>
                <c:pt idx="87">
                  <c:v>-0.24739797074284831</c:v>
                </c:pt>
                <c:pt idx="88">
                  <c:v>-0.26070735524483696</c:v>
                </c:pt>
                <c:pt idx="89">
                  <c:v>-0.32725427775478044</c:v>
                </c:pt>
                <c:pt idx="90">
                  <c:v>-0.31394489325279173</c:v>
                </c:pt>
                <c:pt idx="91">
                  <c:v>-0.31394489325279173</c:v>
                </c:pt>
                <c:pt idx="92">
                  <c:v>-0.28732612424881437</c:v>
                </c:pt>
                <c:pt idx="93">
                  <c:v>-0.26070735524483696</c:v>
                </c:pt>
                <c:pt idx="94">
                  <c:v>-0.3538730467587578</c:v>
                </c:pt>
                <c:pt idx="95">
                  <c:v>-0.3538730467587578</c:v>
                </c:pt>
                <c:pt idx="96">
                  <c:v>-0.3538730467587578</c:v>
                </c:pt>
                <c:pt idx="97">
                  <c:v>-0.3538730467587578</c:v>
                </c:pt>
                <c:pt idx="98">
                  <c:v>-0.3538730467587578</c:v>
                </c:pt>
                <c:pt idx="99">
                  <c:v>-0.3538730467587578</c:v>
                </c:pt>
                <c:pt idx="100">
                  <c:v>-0.3538730467587578</c:v>
                </c:pt>
                <c:pt idx="101">
                  <c:v>-0.30063550875080303</c:v>
                </c:pt>
                <c:pt idx="102">
                  <c:v>-0.31394489325279173</c:v>
                </c:pt>
                <c:pt idx="103">
                  <c:v>-0.31394489325279173</c:v>
                </c:pt>
                <c:pt idx="104">
                  <c:v>-0.31394489325279173</c:v>
                </c:pt>
                <c:pt idx="105">
                  <c:v>-0.31394489325279173</c:v>
                </c:pt>
                <c:pt idx="106">
                  <c:v>-0.27401673974682567</c:v>
                </c:pt>
                <c:pt idx="107">
                  <c:v>-0.20746981723688226</c:v>
                </c:pt>
                <c:pt idx="108">
                  <c:v>-0.14092289472693884</c:v>
                </c:pt>
                <c:pt idx="109">
                  <c:v>-0.15423227922892754</c:v>
                </c:pt>
                <c:pt idx="110">
                  <c:v>-0.18085104823290488</c:v>
                </c:pt>
                <c:pt idx="111">
                  <c:v>-0.12761351022495013</c:v>
                </c:pt>
                <c:pt idx="112">
                  <c:v>-0.34056366225676915</c:v>
                </c:pt>
                <c:pt idx="113">
                  <c:v>-0.28732612424881437</c:v>
                </c:pt>
                <c:pt idx="114">
                  <c:v>-0.32725427775478044</c:v>
                </c:pt>
                <c:pt idx="115">
                  <c:v>-0.31394489325279173</c:v>
                </c:pt>
                <c:pt idx="116">
                  <c:v>-0.30063550875080303</c:v>
                </c:pt>
                <c:pt idx="117">
                  <c:v>-0.27401673974682567</c:v>
                </c:pt>
                <c:pt idx="118">
                  <c:v>-0.27401673974682567</c:v>
                </c:pt>
                <c:pt idx="119">
                  <c:v>-0.1675416637309162</c:v>
                </c:pt>
                <c:pt idx="120">
                  <c:v>0.29828679383868772</c:v>
                </c:pt>
                <c:pt idx="121">
                  <c:v>0.71087771340033701</c:v>
                </c:pt>
                <c:pt idx="122">
                  <c:v>-0.3538730467587578</c:v>
                </c:pt>
                <c:pt idx="123">
                  <c:v>-0.27401673974682567</c:v>
                </c:pt>
                <c:pt idx="124">
                  <c:v>-0.27401673974682567</c:v>
                </c:pt>
                <c:pt idx="125">
                  <c:v>-0.27401673974682567</c:v>
                </c:pt>
                <c:pt idx="126">
                  <c:v>-0.31394489325279173</c:v>
                </c:pt>
                <c:pt idx="127">
                  <c:v>-0.26070735524483696</c:v>
                </c:pt>
                <c:pt idx="128">
                  <c:v>-0.31394489325279173</c:v>
                </c:pt>
                <c:pt idx="129">
                  <c:v>-0.26070735524483696</c:v>
                </c:pt>
                <c:pt idx="130">
                  <c:v>-0.20746981723688226</c:v>
                </c:pt>
                <c:pt idx="131">
                  <c:v>0.77742463591028044</c:v>
                </c:pt>
                <c:pt idx="132">
                  <c:v>1.5493689370256238</c:v>
                </c:pt>
                <c:pt idx="133">
                  <c:v>-0.22077920173887094</c:v>
                </c:pt>
                <c:pt idx="134">
                  <c:v>0.6975683288983483</c:v>
                </c:pt>
                <c:pt idx="135">
                  <c:v>1.4562032455117035</c:v>
                </c:pt>
                <c:pt idx="136">
                  <c:v>-2.1138434209040689E-2</c:v>
                </c:pt>
                <c:pt idx="137">
                  <c:v>-0.14092289472693884</c:v>
                </c:pt>
                <c:pt idx="138">
                  <c:v>-0.23408858624085965</c:v>
                </c:pt>
                <c:pt idx="139">
                  <c:v>-0.23408858624085965</c:v>
                </c:pt>
                <c:pt idx="140">
                  <c:v>-0.23408858624085965</c:v>
                </c:pt>
                <c:pt idx="141">
                  <c:v>-0.27401673974682567</c:v>
                </c:pt>
                <c:pt idx="142">
                  <c:v>-8.7685356718984087E-2</c:v>
                </c:pt>
                <c:pt idx="143">
                  <c:v>3.8785112248736446</c:v>
                </c:pt>
                <c:pt idx="144">
                  <c:v>1.1900155554719294</c:v>
                </c:pt>
                <c:pt idx="145">
                  <c:v>7.0328353518449624</c:v>
                </c:pt>
                <c:pt idx="146">
                  <c:v>-0.62006073679853146</c:v>
                </c:pt>
                <c:pt idx="147">
                  <c:v>-0.42041996926870118</c:v>
                </c:pt>
                <c:pt idx="148">
                  <c:v>-0.14092289472693884</c:v>
                </c:pt>
                <c:pt idx="149">
                  <c:v>-0.26070735524483696</c:v>
                </c:pt>
                <c:pt idx="150">
                  <c:v>-0.26070735524483696</c:v>
                </c:pt>
                <c:pt idx="151">
                  <c:v>-0.30063550875080303</c:v>
                </c:pt>
                <c:pt idx="152">
                  <c:v>-0.32725427775478044</c:v>
                </c:pt>
                <c:pt idx="153">
                  <c:v>-0.23408858624085965</c:v>
                </c:pt>
                <c:pt idx="154">
                  <c:v>-0.30063550875080303</c:v>
                </c:pt>
                <c:pt idx="155">
                  <c:v>8.5336641806868785E-2</c:v>
                </c:pt>
                <c:pt idx="156">
                  <c:v>0.21843048682675559</c:v>
                </c:pt>
                <c:pt idx="157">
                  <c:v>4.5408488300902709E-2</c:v>
                </c:pt>
                <c:pt idx="158">
                  <c:v>-0.23408858624085965</c:v>
                </c:pt>
                <c:pt idx="159">
                  <c:v>0.20512110232476694</c:v>
                </c:pt>
                <c:pt idx="160">
                  <c:v>-0.3538730467587578</c:v>
                </c:pt>
                <c:pt idx="161">
                  <c:v>-0.30063550875080303</c:v>
                </c:pt>
                <c:pt idx="162">
                  <c:v>-0.32725427775478044</c:v>
                </c:pt>
                <c:pt idx="163">
                  <c:v>-0.34056366225676915</c:v>
                </c:pt>
                <c:pt idx="164">
                  <c:v>-0.28732612424881437</c:v>
                </c:pt>
                <c:pt idx="165">
                  <c:v>-0.30063550875080303</c:v>
                </c:pt>
                <c:pt idx="166">
                  <c:v>-0.32725427775478044</c:v>
                </c:pt>
                <c:pt idx="167">
                  <c:v>0.6975683288983483</c:v>
                </c:pt>
                <c:pt idx="168">
                  <c:v>8.7098177990955357</c:v>
                </c:pt>
                <c:pt idx="169">
                  <c:v>0.19181171782277817</c:v>
                </c:pt>
                <c:pt idx="170">
                  <c:v>0.7374964824043142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29-42DD-862A-9ED3B8FD3F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0413407"/>
        <c:axId val="1600421087"/>
      </c:areaChart>
      <c:scatterChart>
        <c:scatterStyle val="smoothMarker"/>
        <c:varyColors val="0"/>
        <c:ser>
          <c:idx val="6"/>
          <c:order val="1"/>
          <c:tx>
            <c:strRef>
              <c:f>Assegai!$H$4</c:f>
              <c:strCache>
                <c:ptCount val="1"/>
                <c:pt idx="0">
                  <c:v>Filure threshold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Assegai!$A$5:$A$175</c:f>
              <c:numCache>
                <c:formatCode>yyyy/mm</c:formatCode>
                <c:ptCount val="171"/>
                <c:pt idx="0">
                  <c:v>40565</c:v>
                </c:pt>
                <c:pt idx="1">
                  <c:v>40596</c:v>
                </c:pt>
                <c:pt idx="2">
                  <c:v>40624</c:v>
                </c:pt>
                <c:pt idx="3">
                  <c:v>40655</c:v>
                </c:pt>
                <c:pt idx="4">
                  <c:v>40685</c:v>
                </c:pt>
                <c:pt idx="5">
                  <c:v>40716</c:v>
                </c:pt>
                <c:pt idx="6">
                  <c:v>40746</c:v>
                </c:pt>
                <c:pt idx="7">
                  <c:v>40777</c:v>
                </c:pt>
                <c:pt idx="8">
                  <c:v>40808</c:v>
                </c:pt>
                <c:pt idx="9">
                  <c:v>40838</c:v>
                </c:pt>
                <c:pt idx="10">
                  <c:v>40869</c:v>
                </c:pt>
                <c:pt idx="11">
                  <c:v>40899</c:v>
                </c:pt>
                <c:pt idx="12">
                  <c:v>40930</c:v>
                </c:pt>
                <c:pt idx="13">
                  <c:v>40961</c:v>
                </c:pt>
                <c:pt idx="14">
                  <c:v>40990</c:v>
                </c:pt>
                <c:pt idx="15">
                  <c:v>41021</c:v>
                </c:pt>
                <c:pt idx="16">
                  <c:v>41051</c:v>
                </c:pt>
                <c:pt idx="17">
                  <c:v>41082</c:v>
                </c:pt>
                <c:pt idx="18">
                  <c:v>41112</c:v>
                </c:pt>
                <c:pt idx="19">
                  <c:v>41143</c:v>
                </c:pt>
                <c:pt idx="20">
                  <c:v>41174</c:v>
                </c:pt>
                <c:pt idx="21">
                  <c:v>41204</c:v>
                </c:pt>
                <c:pt idx="22">
                  <c:v>41235</c:v>
                </c:pt>
                <c:pt idx="23">
                  <c:v>41265</c:v>
                </c:pt>
                <c:pt idx="24">
                  <c:v>41296</c:v>
                </c:pt>
                <c:pt idx="25">
                  <c:v>41327</c:v>
                </c:pt>
                <c:pt idx="26">
                  <c:v>41355</c:v>
                </c:pt>
                <c:pt idx="27">
                  <c:v>41386</c:v>
                </c:pt>
                <c:pt idx="28">
                  <c:v>41416</c:v>
                </c:pt>
                <c:pt idx="29">
                  <c:v>41447</c:v>
                </c:pt>
                <c:pt idx="30">
                  <c:v>41477</c:v>
                </c:pt>
                <c:pt idx="31">
                  <c:v>41508</c:v>
                </c:pt>
                <c:pt idx="32">
                  <c:v>41539</c:v>
                </c:pt>
                <c:pt idx="33">
                  <c:v>41569</c:v>
                </c:pt>
                <c:pt idx="34">
                  <c:v>41600</c:v>
                </c:pt>
                <c:pt idx="35">
                  <c:v>41630</c:v>
                </c:pt>
                <c:pt idx="36">
                  <c:v>41661</c:v>
                </c:pt>
                <c:pt idx="37">
                  <c:v>41692</c:v>
                </c:pt>
                <c:pt idx="38">
                  <c:v>41720</c:v>
                </c:pt>
                <c:pt idx="39">
                  <c:v>41751</c:v>
                </c:pt>
                <c:pt idx="40">
                  <c:v>41781</c:v>
                </c:pt>
                <c:pt idx="41">
                  <c:v>41812</c:v>
                </c:pt>
                <c:pt idx="42">
                  <c:v>41842</c:v>
                </c:pt>
                <c:pt idx="43">
                  <c:v>41873</c:v>
                </c:pt>
                <c:pt idx="44">
                  <c:v>41904</c:v>
                </c:pt>
                <c:pt idx="45">
                  <c:v>41934</c:v>
                </c:pt>
                <c:pt idx="46">
                  <c:v>41965</c:v>
                </c:pt>
                <c:pt idx="47">
                  <c:v>41995</c:v>
                </c:pt>
                <c:pt idx="48">
                  <c:v>42026</c:v>
                </c:pt>
                <c:pt idx="49">
                  <c:v>42057</c:v>
                </c:pt>
                <c:pt idx="50">
                  <c:v>42085</c:v>
                </c:pt>
                <c:pt idx="51">
                  <c:v>42116</c:v>
                </c:pt>
                <c:pt idx="52">
                  <c:v>42146</c:v>
                </c:pt>
                <c:pt idx="53">
                  <c:v>42177</c:v>
                </c:pt>
                <c:pt idx="54">
                  <c:v>42207</c:v>
                </c:pt>
                <c:pt idx="55">
                  <c:v>42238</c:v>
                </c:pt>
                <c:pt idx="56">
                  <c:v>42269</c:v>
                </c:pt>
                <c:pt idx="57">
                  <c:v>42299</c:v>
                </c:pt>
                <c:pt idx="58">
                  <c:v>42330</c:v>
                </c:pt>
                <c:pt idx="59">
                  <c:v>42360</c:v>
                </c:pt>
                <c:pt idx="60">
                  <c:v>42391</c:v>
                </c:pt>
                <c:pt idx="61">
                  <c:v>42422</c:v>
                </c:pt>
                <c:pt idx="62">
                  <c:v>42451</c:v>
                </c:pt>
                <c:pt idx="63">
                  <c:v>42482</c:v>
                </c:pt>
                <c:pt idx="64">
                  <c:v>42512</c:v>
                </c:pt>
                <c:pt idx="65">
                  <c:v>42543</c:v>
                </c:pt>
                <c:pt idx="66">
                  <c:v>42573</c:v>
                </c:pt>
                <c:pt idx="67">
                  <c:v>42604</c:v>
                </c:pt>
                <c:pt idx="68">
                  <c:v>42635</c:v>
                </c:pt>
                <c:pt idx="69">
                  <c:v>42665</c:v>
                </c:pt>
                <c:pt idx="70">
                  <c:v>42696</c:v>
                </c:pt>
                <c:pt idx="71">
                  <c:v>42726</c:v>
                </c:pt>
                <c:pt idx="72">
                  <c:v>42757</c:v>
                </c:pt>
                <c:pt idx="73">
                  <c:v>42788</c:v>
                </c:pt>
                <c:pt idx="74">
                  <c:v>42816</c:v>
                </c:pt>
                <c:pt idx="75">
                  <c:v>42847</c:v>
                </c:pt>
                <c:pt idx="76">
                  <c:v>42877</c:v>
                </c:pt>
                <c:pt idx="77">
                  <c:v>42908</c:v>
                </c:pt>
                <c:pt idx="78">
                  <c:v>42938</c:v>
                </c:pt>
                <c:pt idx="79">
                  <c:v>42969</c:v>
                </c:pt>
                <c:pt idx="80">
                  <c:v>43000</c:v>
                </c:pt>
                <c:pt idx="81">
                  <c:v>43030</c:v>
                </c:pt>
                <c:pt idx="82">
                  <c:v>43061</c:v>
                </c:pt>
                <c:pt idx="83">
                  <c:v>43091</c:v>
                </c:pt>
                <c:pt idx="84">
                  <c:v>43122</c:v>
                </c:pt>
                <c:pt idx="85">
                  <c:v>43153</c:v>
                </c:pt>
                <c:pt idx="86">
                  <c:v>43181</c:v>
                </c:pt>
                <c:pt idx="87">
                  <c:v>43212</c:v>
                </c:pt>
                <c:pt idx="88">
                  <c:v>43242</c:v>
                </c:pt>
                <c:pt idx="89">
                  <c:v>43273</c:v>
                </c:pt>
                <c:pt idx="90">
                  <c:v>43303</c:v>
                </c:pt>
                <c:pt idx="91">
                  <c:v>43334</c:v>
                </c:pt>
                <c:pt idx="92">
                  <c:v>43365</c:v>
                </c:pt>
                <c:pt idx="93">
                  <c:v>43395</c:v>
                </c:pt>
                <c:pt idx="94">
                  <c:v>43426</c:v>
                </c:pt>
                <c:pt idx="95">
                  <c:v>43456</c:v>
                </c:pt>
                <c:pt idx="96">
                  <c:v>43487</c:v>
                </c:pt>
                <c:pt idx="97">
                  <c:v>43518</c:v>
                </c:pt>
                <c:pt idx="98">
                  <c:v>43546</c:v>
                </c:pt>
                <c:pt idx="99">
                  <c:v>43577</c:v>
                </c:pt>
                <c:pt idx="100">
                  <c:v>43607</c:v>
                </c:pt>
                <c:pt idx="101">
                  <c:v>43638</c:v>
                </c:pt>
                <c:pt idx="102">
                  <c:v>43668</c:v>
                </c:pt>
                <c:pt idx="103">
                  <c:v>43699</c:v>
                </c:pt>
                <c:pt idx="104">
                  <c:v>43730</c:v>
                </c:pt>
                <c:pt idx="105">
                  <c:v>43760</c:v>
                </c:pt>
                <c:pt idx="106">
                  <c:v>43791</c:v>
                </c:pt>
                <c:pt idx="107">
                  <c:v>43821</c:v>
                </c:pt>
                <c:pt idx="108">
                  <c:v>43852</c:v>
                </c:pt>
                <c:pt idx="109">
                  <c:v>43883</c:v>
                </c:pt>
                <c:pt idx="110">
                  <c:v>43912</c:v>
                </c:pt>
                <c:pt idx="111">
                  <c:v>43943</c:v>
                </c:pt>
                <c:pt idx="112">
                  <c:v>43973</c:v>
                </c:pt>
                <c:pt idx="113">
                  <c:v>44004</c:v>
                </c:pt>
                <c:pt idx="114">
                  <c:v>44034</c:v>
                </c:pt>
                <c:pt idx="115">
                  <c:v>44065</c:v>
                </c:pt>
                <c:pt idx="116">
                  <c:v>44096</c:v>
                </c:pt>
                <c:pt idx="117">
                  <c:v>44126</c:v>
                </c:pt>
                <c:pt idx="118">
                  <c:v>44157</c:v>
                </c:pt>
                <c:pt idx="119">
                  <c:v>44187</c:v>
                </c:pt>
                <c:pt idx="120">
                  <c:v>44218</c:v>
                </c:pt>
                <c:pt idx="121">
                  <c:v>44249</c:v>
                </c:pt>
                <c:pt idx="122">
                  <c:v>44277</c:v>
                </c:pt>
                <c:pt idx="123">
                  <c:v>44308</c:v>
                </c:pt>
                <c:pt idx="124">
                  <c:v>44338</c:v>
                </c:pt>
                <c:pt idx="125">
                  <c:v>44369</c:v>
                </c:pt>
                <c:pt idx="126">
                  <c:v>44399</c:v>
                </c:pt>
                <c:pt idx="127">
                  <c:v>44430</c:v>
                </c:pt>
                <c:pt idx="128">
                  <c:v>44461</c:v>
                </c:pt>
                <c:pt idx="129">
                  <c:v>44491</c:v>
                </c:pt>
                <c:pt idx="130">
                  <c:v>44522</c:v>
                </c:pt>
                <c:pt idx="131">
                  <c:v>44552</c:v>
                </c:pt>
                <c:pt idx="132">
                  <c:v>44583</c:v>
                </c:pt>
                <c:pt idx="133">
                  <c:v>44614</c:v>
                </c:pt>
                <c:pt idx="134">
                  <c:v>44642</c:v>
                </c:pt>
                <c:pt idx="135">
                  <c:v>44673</c:v>
                </c:pt>
                <c:pt idx="136">
                  <c:v>44703</c:v>
                </c:pt>
                <c:pt idx="137">
                  <c:v>44734</c:v>
                </c:pt>
                <c:pt idx="138">
                  <c:v>44764</c:v>
                </c:pt>
                <c:pt idx="139">
                  <c:v>44795</c:v>
                </c:pt>
                <c:pt idx="140">
                  <c:v>44826</c:v>
                </c:pt>
                <c:pt idx="141">
                  <c:v>44856</c:v>
                </c:pt>
                <c:pt idx="142">
                  <c:v>44887</c:v>
                </c:pt>
                <c:pt idx="143">
                  <c:v>44917</c:v>
                </c:pt>
                <c:pt idx="144">
                  <c:v>44948</c:v>
                </c:pt>
                <c:pt idx="145">
                  <c:v>44979</c:v>
                </c:pt>
                <c:pt idx="146">
                  <c:v>45007</c:v>
                </c:pt>
                <c:pt idx="147">
                  <c:v>45038</c:v>
                </c:pt>
                <c:pt idx="148">
                  <c:v>45068</c:v>
                </c:pt>
                <c:pt idx="149">
                  <c:v>45099</c:v>
                </c:pt>
                <c:pt idx="150">
                  <c:v>45129</c:v>
                </c:pt>
                <c:pt idx="151">
                  <c:v>45160</c:v>
                </c:pt>
                <c:pt idx="152">
                  <c:v>45191</c:v>
                </c:pt>
                <c:pt idx="153">
                  <c:v>45221</c:v>
                </c:pt>
                <c:pt idx="154">
                  <c:v>45252</c:v>
                </c:pt>
                <c:pt idx="155">
                  <c:v>45282</c:v>
                </c:pt>
                <c:pt idx="156">
                  <c:v>45313</c:v>
                </c:pt>
                <c:pt idx="157">
                  <c:v>45344</c:v>
                </c:pt>
                <c:pt idx="158">
                  <c:v>45373</c:v>
                </c:pt>
                <c:pt idx="159">
                  <c:v>45404</c:v>
                </c:pt>
                <c:pt idx="160">
                  <c:v>45434</c:v>
                </c:pt>
                <c:pt idx="161">
                  <c:v>45465</c:v>
                </c:pt>
                <c:pt idx="162">
                  <c:v>45495</c:v>
                </c:pt>
                <c:pt idx="163">
                  <c:v>45526</c:v>
                </c:pt>
                <c:pt idx="164">
                  <c:v>45557</c:v>
                </c:pt>
                <c:pt idx="165">
                  <c:v>45587</c:v>
                </c:pt>
                <c:pt idx="166">
                  <c:v>45618</c:v>
                </c:pt>
                <c:pt idx="167">
                  <c:v>45648</c:v>
                </c:pt>
                <c:pt idx="168">
                  <c:v>45679</c:v>
                </c:pt>
                <c:pt idx="169">
                  <c:v>45710</c:v>
                </c:pt>
                <c:pt idx="170">
                  <c:v>45739</c:v>
                </c:pt>
              </c:numCache>
            </c:numRef>
          </c:xVal>
          <c:yVal>
            <c:numRef>
              <c:f>Assegai!$H$5:$H$175</c:f>
              <c:numCache>
                <c:formatCode>General</c:formatCode>
                <c:ptCount val="171"/>
                <c:pt idx="0">
                  <c:v>-0.5</c:v>
                </c:pt>
                <c:pt idx="1">
                  <c:v>-0.5</c:v>
                </c:pt>
                <c:pt idx="2">
                  <c:v>-0.5</c:v>
                </c:pt>
                <c:pt idx="3">
                  <c:v>-0.5</c:v>
                </c:pt>
                <c:pt idx="4">
                  <c:v>-0.5</c:v>
                </c:pt>
                <c:pt idx="5">
                  <c:v>-0.5</c:v>
                </c:pt>
                <c:pt idx="6">
                  <c:v>-0.5</c:v>
                </c:pt>
                <c:pt idx="7">
                  <c:v>-0.5</c:v>
                </c:pt>
                <c:pt idx="8">
                  <c:v>-0.5</c:v>
                </c:pt>
                <c:pt idx="9">
                  <c:v>-0.5</c:v>
                </c:pt>
                <c:pt idx="10">
                  <c:v>-0.5</c:v>
                </c:pt>
                <c:pt idx="11">
                  <c:v>-0.5</c:v>
                </c:pt>
                <c:pt idx="12">
                  <c:v>-0.5</c:v>
                </c:pt>
                <c:pt idx="13">
                  <c:v>-0.5</c:v>
                </c:pt>
                <c:pt idx="14">
                  <c:v>-0.5</c:v>
                </c:pt>
                <c:pt idx="15">
                  <c:v>-0.5</c:v>
                </c:pt>
                <c:pt idx="16">
                  <c:v>-0.5</c:v>
                </c:pt>
                <c:pt idx="17">
                  <c:v>-0.5</c:v>
                </c:pt>
                <c:pt idx="18">
                  <c:v>-0.5</c:v>
                </c:pt>
                <c:pt idx="19">
                  <c:v>-0.5</c:v>
                </c:pt>
                <c:pt idx="20">
                  <c:v>-0.5</c:v>
                </c:pt>
                <c:pt idx="21">
                  <c:v>-0.5</c:v>
                </c:pt>
                <c:pt idx="22">
                  <c:v>-0.5</c:v>
                </c:pt>
                <c:pt idx="23">
                  <c:v>-0.5</c:v>
                </c:pt>
                <c:pt idx="24">
                  <c:v>-0.5</c:v>
                </c:pt>
                <c:pt idx="25">
                  <c:v>-0.5</c:v>
                </c:pt>
                <c:pt idx="26">
                  <c:v>-0.5</c:v>
                </c:pt>
                <c:pt idx="27">
                  <c:v>-0.5</c:v>
                </c:pt>
                <c:pt idx="28">
                  <c:v>-0.5</c:v>
                </c:pt>
                <c:pt idx="29">
                  <c:v>-0.5</c:v>
                </c:pt>
                <c:pt idx="30">
                  <c:v>-0.5</c:v>
                </c:pt>
                <c:pt idx="31">
                  <c:v>-0.5</c:v>
                </c:pt>
                <c:pt idx="32">
                  <c:v>-0.5</c:v>
                </c:pt>
                <c:pt idx="33">
                  <c:v>-0.5</c:v>
                </c:pt>
                <c:pt idx="34">
                  <c:v>-0.5</c:v>
                </c:pt>
                <c:pt idx="35">
                  <c:v>-0.5</c:v>
                </c:pt>
                <c:pt idx="36">
                  <c:v>-0.5</c:v>
                </c:pt>
                <c:pt idx="37">
                  <c:v>-0.5</c:v>
                </c:pt>
                <c:pt idx="38">
                  <c:v>-0.5</c:v>
                </c:pt>
                <c:pt idx="39">
                  <c:v>-0.5</c:v>
                </c:pt>
                <c:pt idx="40">
                  <c:v>-0.5</c:v>
                </c:pt>
                <c:pt idx="41">
                  <c:v>-0.5</c:v>
                </c:pt>
                <c:pt idx="42">
                  <c:v>-0.5</c:v>
                </c:pt>
                <c:pt idx="43">
                  <c:v>-0.5</c:v>
                </c:pt>
                <c:pt idx="44">
                  <c:v>-0.5</c:v>
                </c:pt>
                <c:pt idx="45">
                  <c:v>-0.5</c:v>
                </c:pt>
                <c:pt idx="46">
                  <c:v>-0.5</c:v>
                </c:pt>
                <c:pt idx="47">
                  <c:v>-0.5</c:v>
                </c:pt>
                <c:pt idx="48">
                  <c:v>-0.5</c:v>
                </c:pt>
                <c:pt idx="49">
                  <c:v>-0.5</c:v>
                </c:pt>
                <c:pt idx="50">
                  <c:v>-0.5</c:v>
                </c:pt>
                <c:pt idx="51">
                  <c:v>-0.5</c:v>
                </c:pt>
                <c:pt idx="52">
                  <c:v>-0.5</c:v>
                </c:pt>
                <c:pt idx="53">
                  <c:v>-0.5</c:v>
                </c:pt>
                <c:pt idx="54">
                  <c:v>-0.5</c:v>
                </c:pt>
                <c:pt idx="55">
                  <c:v>-0.5</c:v>
                </c:pt>
                <c:pt idx="56">
                  <c:v>-0.5</c:v>
                </c:pt>
                <c:pt idx="57">
                  <c:v>-0.5</c:v>
                </c:pt>
                <c:pt idx="58">
                  <c:v>-0.5</c:v>
                </c:pt>
                <c:pt idx="59">
                  <c:v>-0.5</c:v>
                </c:pt>
                <c:pt idx="60">
                  <c:v>-0.5</c:v>
                </c:pt>
                <c:pt idx="61">
                  <c:v>-0.5</c:v>
                </c:pt>
                <c:pt idx="62">
                  <c:v>-0.5</c:v>
                </c:pt>
                <c:pt idx="63">
                  <c:v>-0.5</c:v>
                </c:pt>
                <c:pt idx="64">
                  <c:v>-0.5</c:v>
                </c:pt>
                <c:pt idx="65">
                  <c:v>-0.5</c:v>
                </c:pt>
                <c:pt idx="66">
                  <c:v>-0.5</c:v>
                </c:pt>
                <c:pt idx="67">
                  <c:v>-0.5</c:v>
                </c:pt>
                <c:pt idx="68">
                  <c:v>-0.5</c:v>
                </c:pt>
                <c:pt idx="69">
                  <c:v>-0.5</c:v>
                </c:pt>
                <c:pt idx="70">
                  <c:v>-0.5</c:v>
                </c:pt>
                <c:pt idx="71">
                  <c:v>-0.5</c:v>
                </c:pt>
                <c:pt idx="72">
                  <c:v>-0.5</c:v>
                </c:pt>
                <c:pt idx="73">
                  <c:v>-0.5</c:v>
                </c:pt>
                <c:pt idx="74">
                  <c:v>-0.5</c:v>
                </c:pt>
                <c:pt idx="75">
                  <c:v>-0.5</c:v>
                </c:pt>
                <c:pt idx="76">
                  <c:v>-0.5</c:v>
                </c:pt>
                <c:pt idx="77">
                  <c:v>-0.5</c:v>
                </c:pt>
                <c:pt idx="78">
                  <c:v>-0.5</c:v>
                </c:pt>
                <c:pt idx="79">
                  <c:v>-0.5</c:v>
                </c:pt>
                <c:pt idx="80">
                  <c:v>-0.5</c:v>
                </c:pt>
                <c:pt idx="81">
                  <c:v>-0.5</c:v>
                </c:pt>
                <c:pt idx="82">
                  <c:v>-0.5</c:v>
                </c:pt>
                <c:pt idx="83">
                  <c:v>-0.5</c:v>
                </c:pt>
                <c:pt idx="84">
                  <c:v>-0.5</c:v>
                </c:pt>
                <c:pt idx="85">
                  <c:v>-0.5</c:v>
                </c:pt>
                <c:pt idx="86">
                  <c:v>-0.5</c:v>
                </c:pt>
                <c:pt idx="87">
                  <c:v>-0.5</c:v>
                </c:pt>
                <c:pt idx="88">
                  <c:v>-0.5</c:v>
                </c:pt>
                <c:pt idx="89">
                  <c:v>-0.5</c:v>
                </c:pt>
                <c:pt idx="90">
                  <c:v>-0.5</c:v>
                </c:pt>
                <c:pt idx="91">
                  <c:v>-0.5</c:v>
                </c:pt>
                <c:pt idx="92">
                  <c:v>-0.5</c:v>
                </c:pt>
                <c:pt idx="93">
                  <c:v>-0.5</c:v>
                </c:pt>
                <c:pt idx="94">
                  <c:v>-0.5</c:v>
                </c:pt>
                <c:pt idx="95">
                  <c:v>-0.5</c:v>
                </c:pt>
                <c:pt idx="96">
                  <c:v>-0.5</c:v>
                </c:pt>
                <c:pt idx="97">
                  <c:v>-0.5</c:v>
                </c:pt>
                <c:pt idx="98">
                  <c:v>-0.5</c:v>
                </c:pt>
                <c:pt idx="99">
                  <c:v>-0.5</c:v>
                </c:pt>
                <c:pt idx="100">
                  <c:v>-0.5</c:v>
                </c:pt>
                <c:pt idx="101">
                  <c:v>-0.5</c:v>
                </c:pt>
                <c:pt idx="102">
                  <c:v>-0.5</c:v>
                </c:pt>
                <c:pt idx="103">
                  <c:v>-0.5</c:v>
                </c:pt>
                <c:pt idx="104">
                  <c:v>-0.5</c:v>
                </c:pt>
                <c:pt idx="105">
                  <c:v>-0.5</c:v>
                </c:pt>
                <c:pt idx="106">
                  <c:v>-0.5</c:v>
                </c:pt>
                <c:pt idx="107">
                  <c:v>-0.5</c:v>
                </c:pt>
                <c:pt idx="108">
                  <c:v>-0.5</c:v>
                </c:pt>
                <c:pt idx="109">
                  <c:v>-0.5</c:v>
                </c:pt>
                <c:pt idx="110">
                  <c:v>-0.5</c:v>
                </c:pt>
                <c:pt idx="111">
                  <c:v>-0.5</c:v>
                </c:pt>
                <c:pt idx="112">
                  <c:v>-0.5</c:v>
                </c:pt>
                <c:pt idx="113">
                  <c:v>-0.5</c:v>
                </c:pt>
                <c:pt idx="114">
                  <c:v>-0.5</c:v>
                </c:pt>
                <c:pt idx="115">
                  <c:v>-0.5</c:v>
                </c:pt>
                <c:pt idx="116">
                  <c:v>-0.5</c:v>
                </c:pt>
                <c:pt idx="117">
                  <c:v>-0.5</c:v>
                </c:pt>
                <c:pt idx="118">
                  <c:v>-0.5</c:v>
                </c:pt>
                <c:pt idx="119">
                  <c:v>-0.5</c:v>
                </c:pt>
                <c:pt idx="120">
                  <c:v>-0.5</c:v>
                </c:pt>
                <c:pt idx="121">
                  <c:v>-0.5</c:v>
                </c:pt>
                <c:pt idx="122">
                  <c:v>-0.5</c:v>
                </c:pt>
                <c:pt idx="123">
                  <c:v>-0.5</c:v>
                </c:pt>
                <c:pt idx="124">
                  <c:v>-0.5</c:v>
                </c:pt>
                <c:pt idx="125">
                  <c:v>-0.5</c:v>
                </c:pt>
                <c:pt idx="126">
                  <c:v>-0.5</c:v>
                </c:pt>
                <c:pt idx="127">
                  <c:v>-0.5</c:v>
                </c:pt>
                <c:pt idx="128">
                  <c:v>-0.5</c:v>
                </c:pt>
                <c:pt idx="129">
                  <c:v>-0.5</c:v>
                </c:pt>
                <c:pt idx="130">
                  <c:v>-0.5</c:v>
                </c:pt>
                <c:pt idx="131">
                  <c:v>-0.5</c:v>
                </c:pt>
                <c:pt idx="132">
                  <c:v>-0.5</c:v>
                </c:pt>
                <c:pt idx="133">
                  <c:v>-0.5</c:v>
                </c:pt>
                <c:pt idx="134">
                  <c:v>-0.5</c:v>
                </c:pt>
                <c:pt idx="135">
                  <c:v>-0.5</c:v>
                </c:pt>
                <c:pt idx="136">
                  <c:v>-0.5</c:v>
                </c:pt>
                <c:pt idx="137">
                  <c:v>-0.5</c:v>
                </c:pt>
                <c:pt idx="138">
                  <c:v>-0.5</c:v>
                </c:pt>
                <c:pt idx="139">
                  <c:v>-0.5</c:v>
                </c:pt>
                <c:pt idx="140">
                  <c:v>-0.5</c:v>
                </c:pt>
                <c:pt idx="141">
                  <c:v>-0.5</c:v>
                </c:pt>
                <c:pt idx="142">
                  <c:v>-0.5</c:v>
                </c:pt>
                <c:pt idx="143">
                  <c:v>-0.5</c:v>
                </c:pt>
                <c:pt idx="144">
                  <c:v>-0.5</c:v>
                </c:pt>
                <c:pt idx="145">
                  <c:v>-0.5</c:v>
                </c:pt>
                <c:pt idx="146">
                  <c:v>-0.5</c:v>
                </c:pt>
                <c:pt idx="147">
                  <c:v>-0.5</c:v>
                </c:pt>
                <c:pt idx="148">
                  <c:v>-0.5</c:v>
                </c:pt>
                <c:pt idx="149">
                  <c:v>-0.5</c:v>
                </c:pt>
                <c:pt idx="150">
                  <c:v>-0.5</c:v>
                </c:pt>
                <c:pt idx="151">
                  <c:v>-0.5</c:v>
                </c:pt>
                <c:pt idx="152">
                  <c:v>-0.5</c:v>
                </c:pt>
                <c:pt idx="153">
                  <c:v>-0.5</c:v>
                </c:pt>
                <c:pt idx="154">
                  <c:v>-0.5</c:v>
                </c:pt>
                <c:pt idx="155">
                  <c:v>-0.5</c:v>
                </c:pt>
                <c:pt idx="156">
                  <c:v>-0.5</c:v>
                </c:pt>
                <c:pt idx="157">
                  <c:v>-0.5</c:v>
                </c:pt>
                <c:pt idx="158">
                  <c:v>-0.5</c:v>
                </c:pt>
                <c:pt idx="159">
                  <c:v>-0.5</c:v>
                </c:pt>
                <c:pt idx="160">
                  <c:v>-0.5</c:v>
                </c:pt>
                <c:pt idx="161">
                  <c:v>-0.5</c:v>
                </c:pt>
                <c:pt idx="162">
                  <c:v>-0.5</c:v>
                </c:pt>
                <c:pt idx="163">
                  <c:v>-0.5</c:v>
                </c:pt>
                <c:pt idx="164">
                  <c:v>-0.5</c:v>
                </c:pt>
                <c:pt idx="165">
                  <c:v>-0.5</c:v>
                </c:pt>
                <c:pt idx="166">
                  <c:v>-0.5</c:v>
                </c:pt>
                <c:pt idx="167">
                  <c:v>-0.5</c:v>
                </c:pt>
                <c:pt idx="168">
                  <c:v>-0.5</c:v>
                </c:pt>
                <c:pt idx="169">
                  <c:v>-0.5</c:v>
                </c:pt>
                <c:pt idx="170">
                  <c:v>-0.5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029-42DD-862A-9ED3B8FD3F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0413407"/>
        <c:axId val="1600421087"/>
      </c:scatterChart>
      <c:dateAx>
        <c:axId val="1600413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Time (YYYY/MM)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/mm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421087"/>
        <c:crosses val="autoZero"/>
        <c:auto val="1"/>
        <c:lblOffset val="100"/>
        <c:baseTimeUnit val="months"/>
      </c:dateAx>
      <c:valAx>
        <c:axId val="1600421087"/>
        <c:scaling>
          <c:orientation val="minMax"/>
          <c:max val="8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Performance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413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78442</xdr:colOff>
      <xdr:row>151</xdr:row>
      <xdr:rowOff>190499</xdr:rowOff>
    </xdr:from>
    <xdr:to>
      <xdr:col>9</xdr:col>
      <xdr:colOff>44823</xdr:colOff>
      <xdr:row>172</xdr:row>
      <xdr:rowOff>89646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3A2D0B-30F4-4ECC-A20F-CC3B44CCC8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busi\OneDrive\Desktop\Recharge\Komat,%20%20and%20Usuthu_GWR.xlsx" TargetMode="External"/><Relationship Id="rId1" Type="http://schemas.openxmlformats.org/officeDocument/2006/relationships/externalLinkPath" Target="/Users/sbusi/OneDrive/Desktop/Recharge/Komat,%20%20and%20Usuthu_GW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ocodile workbook"/>
      <sheetName val="Sabie workbook"/>
      <sheetName val="Sand workbook"/>
      <sheetName val=" Upper Komati"/>
      <sheetName val=" Lower Komati"/>
      <sheetName val="Ngwempisi"/>
      <sheetName val="Assegai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G4" t="str">
            <v>Recharge index</v>
          </cell>
          <cell r="H4" t="str">
            <v>Filure threshold</v>
          </cell>
        </row>
        <row r="5">
          <cell r="A5">
            <v>40565</v>
          </cell>
          <cell r="G5">
            <v>0.92382786543215589</v>
          </cell>
          <cell r="H5">
            <v>-0.5</v>
          </cell>
        </row>
        <row r="6">
          <cell r="A6">
            <v>40596</v>
          </cell>
          <cell r="G6">
            <v>5.8717872802891417E-2</v>
          </cell>
          <cell r="H6">
            <v>-0.5</v>
          </cell>
        </row>
        <row r="7">
          <cell r="A7">
            <v>40624</v>
          </cell>
          <cell r="G7">
            <v>-0.42041996926870118</v>
          </cell>
          <cell r="H7">
            <v>-0.5</v>
          </cell>
        </row>
        <row r="8">
          <cell r="A8">
            <v>40655</v>
          </cell>
          <cell r="G8">
            <v>-3.44478187110294E-2</v>
          </cell>
          <cell r="H8">
            <v>-0.5</v>
          </cell>
        </row>
        <row r="9">
          <cell r="A9">
            <v>40685</v>
          </cell>
          <cell r="G9">
            <v>-0.26070735524483696</v>
          </cell>
          <cell r="H9">
            <v>-0.5</v>
          </cell>
        </row>
        <row r="10">
          <cell r="A10">
            <v>40716</v>
          </cell>
          <cell r="G10">
            <v>-0.20746981723688226</v>
          </cell>
          <cell r="H10">
            <v>-0.5</v>
          </cell>
        </row>
        <row r="11">
          <cell r="A11">
            <v>40746</v>
          </cell>
          <cell r="G11">
            <v>-0.22077920173887094</v>
          </cell>
          <cell r="H11">
            <v>-0.5</v>
          </cell>
        </row>
        <row r="12">
          <cell r="A12">
            <v>40777</v>
          </cell>
          <cell r="G12">
            <v>-0.27401673974682567</v>
          </cell>
          <cell r="H12">
            <v>-0.5</v>
          </cell>
        </row>
        <row r="13">
          <cell r="A13">
            <v>40808</v>
          </cell>
          <cell r="G13">
            <v>-0.34056366225676915</v>
          </cell>
          <cell r="H13">
            <v>-0.5</v>
          </cell>
        </row>
        <row r="14">
          <cell r="A14">
            <v>40838</v>
          </cell>
          <cell r="G14">
            <v>-0.12761351022495013</v>
          </cell>
          <cell r="H14">
            <v>-0.5</v>
          </cell>
        </row>
        <row r="15">
          <cell r="A15">
            <v>40869</v>
          </cell>
          <cell r="G15">
            <v>-0.20746981723688226</v>
          </cell>
          <cell r="H15">
            <v>-0.5</v>
          </cell>
        </row>
        <row r="16">
          <cell r="A16">
            <v>40899</v>
          </cell>
          <cell r="G16">
            <v>-0.12761351022495013</v>
          </cell>
          <cell r="H16">
            <v>-0.5</v>
          </cell>
        </row>
        <row r="17">
          <cell r="A17">
            <v>40930</v>
          </cell>
          <cell r="G17">
            <v>0.55116509937647284</v>
          </cell>
          <cell r="H17">
            <v>-0.5</v>
          </cell>
        </row>
        <row r="18">
          <cell r="A18">
            <v>40961</v>
          </cell>
          <cell r="G18">
            <v>3.2099103798914001E-2</v>
          </cell>
          <cell r="H18">
            <v>-0.5</v>
          </cell>
        </row>
        <row r="19">
          <cell r="A19">
            <v>40990</v>
          </cell>
          <cell r="G19">
            <v>-0.32725427775478044</v>
          </cell>
          <cell r="H19">
            <v>-0.5</v>
          </cell>
        </row>
        <row r="20">
          <cell r="A20">
            <v>41021</v>
          </cell>
          <cell r="G20">
            <v>-0.27401673974682567</v>
          </cell>
          <cell r="H20">
            <v>-0.5</v>
          </cell>
        </row>
        <row r="21">
          <cell r="A21">
            <v>41051</v>
          </cell>
          <cell r="G21">
            <v>-0.28732612424881437</v>
          </cell>
          <cell r="H21">
            <v>-0.5</v>
          </cell>
        </row>
        <row r="22">
          <cell r="A22">
            <v>41082</v>
          </cell>
          <cell r="G22">
            <v>-0.28732612424881437</v>
          </cell>
          <cell r="H22">
            <v>-0.5</v>
          </cell>
        </row>
        <row r="23">
          <cell r="A23">
            <v>41112</v>
          </cell>
          <cell r="G23">
            <v>-0.27401673974682567</v>
          </cell>
          <cell r="H23">
            <v>-0.5</v>
          </cell>
        </row>
        <row r="24">
          <cell r="A24">
            <v>41143</v>
          </cell>
          <cell r="G24">
            <v>-0.30063550875080303</v>
          </cell>
          <cell r="H24">
            <v>-0.5</v>
          </cell>
        </row>
        <row r="25">
          <cell r="A25">
            <v>41174</v>
          </cell>
          <cell r="G25">
            <v>-2.1138434209040689E-2</v>
          </cell>
          <cell r="H25">
            <v>-0.5</v>
          </cell>
        </row>
        <row r="26">
          <cell r="A26">
            <v>41204</v>
          </cell>
          <cell r="G26">
            <v>0.12526479531283477</v>
          </cell>
          <cell r="H26">
            <v>-0.5</v>
          </cell>
        </row>
        <row r="27">
          <cell r="A27">
            <v>41235</v>
          </cell>
          <cell r="G27">
            <v>9.8646026308857548E-2</v>
          </cell>
          <cell r="H27">
            <v>-0.5</v>
          </cell>
        </row>
        <row r="28">
          <cell r="A28">
            <v>41265</v>
          </cell>
          <cell r="G28">
            <v>9.8646026308857548E-2</v>
          </cell>
          <cell r="H28">
            <v>-0.5</v>
          </cell>
        </row>
        <row r="29">
          <cell r="A29">
            <v>41296</v>
          </cell>
          <cell r="G29">
            <v>1.6292252440375561</v>
          </cell>
          <cell r="H29">
            <v>-0.5</v>
          </cell>
        </row>
        <row r="30">
          <cell r="A30">
            <v>41327</v>
          </cell>
          <cell r="G30">
            <v>7.2027257304880132E-2</v>
          </cell>
          <cell r="H30">
            <v>-0.5</v>
          </cell>
        </row>
        <row r="31">
          <cell r="A31">
            <v>41355</v>
          </cell>
          <cell r="G31">
            <v>1.2033249399739181</v>
          </cell>
          <cell r="H31">
            <v>-0.5</v>
          </cell>
        </row>
        <row r="32">
          <cell r="A32">
            <v>41386</v>
          </cell>
          <cell r="G32">
            <v>0.53785571487448414</v>
          </cell>
          <cell r="H32">
            <v>-0.5</v>
          </cell>
        </row>
        <row r="33">
          <cell r="A33">
            <v>41416</v>
          </cell>
          <cell r="G33">
            <v>-2.1138434209040689E-2</v>
          </cell>
          <cell r="H33">
            <v>-0.5</v>
          </cell>
        </row>
        <row r="34">
          <cell r="A34">
            <v>41447</v>
          </cell>
          <cell r="G34">
            <v>-0.23408858624085965</v>
          </cell>
          <cell r="H34">
            <v>-0.5</v>
          </cell>
        </row>
        <row r="35">
          <cell r="A35">
            <v>41477</v>
          </cell>
          <cell r="G35">
            <v>-0.19416043273489358</v>
          </cell>
          <cell r="H35">
            <v>-0.5</v>
          </cell>
        </row>
        <row r="36">
          <cell r="A36">
            <v>41508</v>
          </cell>
          <cell r="G36">
            <v>-0.26070735524483696</v>
          </cell>
          <cell r="H36">
            <v>-0.5</v>
          </cell>
        </row>
        <row r="37">
          <cell r="A37">
            <v>41539</v>
          </cell>
          <cell r="G37">
            <v>-0.26070735524483696</v>
          </cell>
          <cell r="H37">
            <v>-0.5</v>
          </cell>
        </row>
        <row r="38">
          <cell r="A38">
            <v>41569</v>
          </cell>
          <cell r="G38">
            <v>-0.1675416637309162</v>
          </cell>
          <cell r="H38">
            <v>-0.5</v>
          </cell>
        </row>
        <row r="39">
          <cell r="A39">
            <v>41600</v>
          </cell>
          <cell r="G39">
            <v>-0.19416043273489358</v>
          </cell>
          <cell r="H39">
            <v>-0.5</v>
          </cell>
        </row>
        <row r="40">
          <cell r="A40">
            <v>41630</v>
          </cell>
          <cell r="G40">
            <v>1.4961313990176692</v>
          </cell>
          <cell r="H40">
            <v>-0.5</v>
          </cell>
        </row>
        <row r="41">
          <cell r="A41">
            <v>41661</v>
          </cell>
          <cell r="G41">
            <v>0.39145248535260857</v>
          </cell>
          <cell r="H41">
            <v>-0.5</v>
          </cell>
        </row>
        <row r="42">
          <cell r="A42">
            <v>41692</v>
          </cell>
          <cell r="G42">
            <v>-0.27401673974682567</v>
          </cell>
          <cell r="H42">
            <v>-0.5</v>
          </cell>
        </row>
        <row r="43">
          <cell r="A43">
            <v>41720</v>
          </cell>
          <cell r="G43">
            <v>0.84397155842022376</v>
          </cell>
          <cell r="H43">
            <v>-0.5</v>
          </cell>
        </row>
        <row r="44">
          <cell r="A44">
            <v>41751</v>
          </cell>
          <cell r="G44">
            <v>-0.23408858624085965</v>
          </cell>
          <cell r="H44">
            <v>-0.5</v>
          </cell>
        </row>
        <row r="45">
          <cell r="A45">
            <v>41781</v>
          </cell>
          <cell r="G45">
            <v>-0.1675416637309162</v>
          </cell>
          <cell r="H45">
            <v>-0.5</v>
          </cell>
        </row>
        <row r="46">
          <cell r="A46">
            <v>41812</v>
          </cell>
          <cell r="G46">
            <v>-0.28732612424881437</v>
          </cell>
          <cell r="H46">
            <v>-0.5</v>
          </cell>
        </row>
        <row r="47">
          <cell r="A47">
            <v>41842</v>
          </cell>
          <cell r="G47">
            <v>-0.26070735524483696</v>
          </cell>
          <cell r="H47">
            <v>-0.5</v>
          </cell>
        </row>
        <row r="48">
          <cell r="A48">
            <v>41873</v>
          </cell>
          <cell r="G48">
            <v>-0.30063550875080303</v>
          </cell>
          <cell r="H48">
            <v>-0.5</v>
          </cell>
        </row>
        <row r="49">
          <cell r="A49">
            <v>41904</v>
          </cell>
          <cell r="G49">
            <v>-0.28732612424881437</v>
          </cell>
          <cell r="H49">
            <v>-0.5</v>
          </cell>
        </row>
        <row r="50">
          <cell r="A50">
            <v>41934</v>
          </cell>
          <cell r="G50">
            <v>-0.28732612424881437</v>
          </cell>
          <cell r="H50">
            <v>-0.5</v>
          </cell>
        </row>
        <row r="51">
          <cell r="A51">
            <v>41965</v>
          </cell>
          <cell r="G51">
            <v>-0.18085104823290488</v>
          </cell>
          <cell r="H51">
            <v>-0.5</v>
          </cell>
        </row>
        <row r="52">
          <cell r="A52">
            <v>41995</v>
          </cell>
          <cell r="G52">
            <v>0.93713724993414449</v>
          </cell>
          <cell r="H52">
            <v>-0.5</v>
          </cell>
        </row>
        <row r="53">
          <cell r="A53">
            <v>42026</v>
          </cell>
          <cell r="G53">
            <v>-0.38049181576273516</v>
          </cell>
          <cell r="H53">
            <v>-0.5</v>
          </cell>
        </row>
        <row r="54">
          <cell r="A54">
            <v>42057</v>
          </cell>
          <cell r="G54">
            <v>-0.34056366225676915</v>
          </cell>
          <cell r="H54">
            <v>-0.5</v>
          </cell>
        </row>
        <row r="55">
          <cell r="A55">
            <v>42085</v>
          </cell>
          <cell r="G55">
            <v>-0.24739797074284831</v>
          </cell>
          <cell r="H55">
            <v>-0.5</v>
          </cell>
        </row>
        <row r="56">
          <cell r="A56">
            <v>42116</v>
          </cell>
          <cell r="G56">
            <v>-0.27401673974682567</v>
          </cell>
          <cell r="H56">
            <v>-0.5</v>
          </cell>
        </row>
        <row r="57">
          <cell r="A57">
            <v>42146</v>
          </cell>
          <cell r="G57">
            <v>-0.31394489325279173</v>
          </cell>
          <cell r="H57">
            <v>-0.5</v>
          </cell>
        </row>
        <row r="58">
          <cell r="A58">
            <v>42177</v>
          </cell>
          <cell r="G58">
            <v>-0.30063550875080303</v>
          </cell>
          <cell r="H58">
            <v>-0.5</v>
          </cell>
        </row>
        <row r="59">
          <cell r="A59">
            <v>42207</v>
          </cell>
          <cell r="G59">
            <v>-0.31394489325279173</v>
          </cell>
          <cell r="H59">
            <v>-0.5</v>
          </cell>
        </row>
        <row r="60">
          <cell r="A60">
            <v>42238</v>
          </cell>
          <cell r="G60">
            <v>-0.32725427775478044</v>
          </cell>
          <cell r="H60">
            <v>-0.5</v>
          </cell>
        </row>
        <row r="61">
          <cell r="A61">
            <v>42269</v>
          </cell>
          <cell r="G61">
            <v>-0.32725427775478044</v>
          </cell>
          <cell r="H61">
            <v>-0.5</v>
          </cell>
        </row>
        <row r="62">
          <cell r="A62">
            <v>42299</v>
          </cell>
          <cell r="G62">
            <v>-0.32725427775478044</v>
          </cell>
          <cell r="H62">
            <v>-0.5</v>
          </cell>
        </row>
        <row r="63">
          <cell r="A63">
            <v>42330</v>
          </cell>
          <cell r="G63">
            <v>-0.3538730467587578</v>
          </cell>
          <cell r="H63">
            <v>-0.5</v>
          </cell>
        </row>
        <row r="64">
          <cell r="A64">
            <v>42360</v>
          </cell>
          <cell r="G64">
            <v>-0.31394489325279173</v>
          </cell>
          <cell r="H64">
            <v>-0.5</v>
          </cell>
        </row>
        <row r="65">
          <cell r="A65">
            <v>42391</v>
          </cell>
          <cell r="G65">
            <v>-0.20746981723688226</v>
          </cell>
          <cell r="H65">
            <v>-0.5</v>
          </cell>
        </row>
        <row r="66">
          <cell r="A66">
            <v>42422</v>
          </cell>
          <cell r="G66">
            <v>-0.30063550875080303</v>
          </cell>
          <cell r="H66">
            <v>-0.5</v>
          </cell>
        </row>
        <row r="67">
          <cell r="A67">
            <v>42451</v>
          </cell>
          <cell r="G67">
            <v>-0.14092289472693884</v>
          </cell>
          <cell r="H67">
            <v>-0.5</v>
          </cell>
        </row>
        <row r="68">
          <cell r="A68">
            <v>42482</v>
          </cell>
          <cell r="G68">
            <v>-0.31394489325279173</v>
          </cell>
          <cell r="H68">
            <v>-0.5</v>
          </cell>
        </row>
        <row r="69">
          <cell r="A69">
            <v>42512</v>
          </cell>
          <cell r="G69">
            <v>-0.28732612424881437</v>
          </cell>
          <cell r="H69">
            <v>-0.5</v>
          </cell>
        </row>
        <row r="70">
          <cell r="A70">
            <v>42543</v>
          </cell>
          <cell r="G70">
            <v>-0.32725427775478044</v>
          </cell>
          <cell r="H70">
            <v>-0.5</v>
          </cell>
        </row>
        <row r="71">
          <cell r="A71">
            <v>42573</v>
          </cell>
          <cell r="G71">
            <v>-0.32725427775478044</v>
          </cell>
          <cell r="H71">
            <v>-0.5</v>
          </cell>
        </row>
        <row r="72">
          <cell r="A72">
            <v>42604</v>
          </cell>
          <cell r="G72">
            <v>-0.34056366225676915</v>
          </cell>
          <cell r="H72">
            <v>-0.5</v>
          </cell>
        </row>
        <row r="73">
          <cell r="A73">
            <v>42635</v>
          </cell>
          <cell r="G73">
            <v>-0.34056366225676915</v>
          </cell>
          <cell r="H73">
            <v>-0.5</v>
          </cell>
        </row>
        <row r="74">
          <cell r="A74">
            <v>42665</v>
          </cell>
          <cell r="G74">
            <v>-0.32725427775478044</v>
          </cell>
          <cell r="H74">
            <v>-0.5</v>
          </cell>
        </row>
        <row r="75">
          <cell r="A75">
            <v>42696</v>
          </cell>
          <cell r="G75">
            <v>-0.15423227922892754</v>
          </cell>
          <cell r="H75">
            <v>-0.5</v>
          </cell>
        </row>
        <row r="76">
          <cell r="A76">
            <v>42726</v>
          </cell>
          <cell r="G76">
            <v>-0.23408858624085965</v>
          </cell>
          <cell r="H76">
            <v>-0.5</v>
          </cell>
        </row>
        <row r="77">
          <cell r="A77">
            <v>42757</v>
          </cell>
          <cell r="G77">
            <v>-0.23408858624085965</v>
          </cell>
          <cell r="H77">
            <v>-0.5</v>
          </cell>
        </row>
        <row r="78">
          <cell r="A78">
            <v>42788</v>
          </cell>
          <cell r="G78">
            <v>-0.1675416637309162</v>
          </cell>
          <cell r="H78">
            <v>-0.5</v>
          </cell>
        </row>
        <row r="79">
          <cell r="A79">
            <v>42816</v>
          </cell>
          <cell r="G79">
            <v>-0.20746981723688226</v>
          </cell>
          <cell r="H79">
            <v>-0.5</v>
          </cell>
        </row>
        <row r="80">
          <cell r="A80">
            <v>42847</v>
          </cell>
          <cell r="G80">
            <v>-0.32725427775478044</v>
          </cell>
          <cell r="H80">
            <v>-0.5</v>
          </cell>
        </row>
        <row r="81">
          <cell r="A81">
            <v>42877</v>
          </cell>
          <cell r="G81">
            <v>-0.30063550875080303</v>
          </cell>
          <cell r="H81">
            <v>-0.5</v>
          </cell>
        </row>
        <row r="82">
          <cell r="A82">
            <v>42908</v>
          </cell>
          <cell r="G82">
            <v>-0.31394489325279173</v>
          </cell>
          <cell r="H82">
            <v>-0.5</v>
          </cell>
        </row>
        <row r="83">
          <cell r="A83">
            <v>42938</v>
          </cell>
          <cell r="G83">
            <v>-0.28732612424881437</v>
          </cell>
          <cell r="H83">
            <v>-0.5</v>
          </cell>
        </row>
        <row r="84">
          <cell r="A84">
            <v>42969</v>
          </cell>
          <cell r="G84">
            <v>-0.31394489325279173</v>
          </cell>
          <cell r="H84">
            <v>-0.5</v>
          </cell>
        </row>
        <row r="85">
          <cell r="A85">
            <v>43000</v>
          </cell>
          <cell r="G85">
            <v>-0.3538730467587578</v>
          </cell>
          <cell r="H85">
            <v>-0.5</v>
          </cell>
        </row>
        <row r="86">
          <cell r="A86">
            <v>43030</v>
          </cell>
          <cell r="G86">
            <v>-0.26070735524483696</v>
          </cell>
          <cell r="H86">
            <v>-0.5</v>
          </cell>
        </row>
        <row r="87">
          <cell r="A87">
            <v>43061</v>
          </cell>
          <cell r="G87">
            <v>-0.23408858624085965</v>
          </cell>
          <cell r="H87">
            <v>-0.5</v>
          </cell>
        </row>
        <row r="88">
          <cell r="A88">
            <v>43091</v>
          </cell>
          <cell r="G88">
            <v>-3.44478187110294E-2</v>
          </cell>
          <cell r="H88">
            <v>-0.5</v>
          </cell>
        </row>
        <row r="89">
          <cell r="A89">
            <v>43122</v>
          </cell>
          <cell r="G89">
            <v>-0.20746981723688226</v>
          </cell>
          <cell r="H89">
            <v>-0.5</v>
          </cell>
        </row>
        <row r="90">
          <cell r="A90">
            <v>43153</v>
          </cell>
          <cell r="G90">
            <v>-8.7685356718984087E-2</v>
          </cell>
          <cell r="H90">
            <v>-0.5</v>
          </cell>
        </row>
        <row r="91">
          <cell r="A91">
            <v>43181</v>
          </cell>
          <cell r="G91">
            <v>4.5408488300902709E-2</v>
          </cell>
          <cell r="H91">
            <v>-0.5</v>
          </cell>
        </row>
        <row r="92">
          <cell r="A92">
            <v>43212</v>
          </cell>
          <cell r="G92">
            <v>-0.24739797074284831</v>
          </cell>
          <cell r="H92">
            <v>-0.5</v>
          </cell>
        </row>
        <row r="93">
          <cell r="A93">
            <v>43242</v>
          </cell>
          <cell r="G93">
            <v>-0.26070735524483696</v>
          </cell>
          <cell r="H93">
            <v>-0.5</v>
          </cell>
        </row>
        <row r="94">
          <cell r="A94">
            <v>43273</v>
          </cell>
          <cell r="G94">
            <v>-0.32725427775478044</v>
          </cell>
          <cell r="H94">
            <v>-0.5</v>
          </cell>
        </row>
        <row r="95">
          <cell r="A95">
            <v>43303</v>
          </cell>
          <cell r="G95">
            <v>-0.31394489325279173</v>
          </cell>
          <cell r="H95">
            <v>-0.5</v>
          </cell>
        </row>
        <row r="96">
          <cell r="A96">
            <v>43334</v>
          </cell>
          <cell r="G96">
            <v>-0.31394489325279173</v>
          </cell>
          <cell r="H96">
            <v>-0.5</v>
          </cell>
        </row>
        <row r="97">
          <cell r="A97">
            <v>43365</v>
          </cell>
          <cell r="G97">
            <v>-0.28732612424881437</v>
          </cell>
          <cell r="H97">
            <v>-0.5</v>
          </cell>
        </row>
        <row r="98">
          <cell r="A98">
            <v>43395</v>
          </cell>
          <cell r="G98">
            <v>-0.26070735524483696</v>
          </cell>
          <cell r="H98">
            <v>-0.5</v>
          </cell>
        </row>
        <row r="99">
          <cell r="A99">
            <v>43426</v>
          </cell>
          <cell r="G99">
            <v>-0.3538730467587578</v>
          </cell>
          <cell r="H99">
            <v>-0.5</v>
          </cell>
        </row>
        <row r="100">
          <cell r="A100">
            <v>43456</v>
          </cell>
          <cell r="G100">
            <v>-0.3538730467587578</v>
          </cell>
          <cell r="H100">
            <v>-0.5</v>
          </cell>
        </row>
        <row r="101">
          <cell r="A101">
            <v>43487</v>
          </cell>
          <cell r="G101">
            <v>-0.3538730467587578</v>
          </cell>
          <cell r="H101">
            <v>-0.5</v>
          </cell>
        </row>
        <row r="102">
          <cell r="A102">
            <v>43518</v>
          </cell>
          <cell r="G102">
            <v>-0.3538730467587578</v>
          </cell>
          <cell r="H102">
            <v>-0.5</v>
          </cell>
        </row>
        <row r="103">
          <cell r="A103">
            <v>43546</v>
          </cell>
          <cell r="G103">
            <v>-0.3538730467587578</v>
          </cell>
          <cell r="H103">
            <v>-0.5</v>
          </cell>
        </row>
        <row r="104">
          <cell r="A104">
            <v>43577</v>
          </cell>
          <cell r="G104">
            <v>-0.3538730467587578</v>
          </cell>
          <cell r="H104">
            <v>-0.5</v>
          </cell>
        </row>
        <row r="105">
          <cell r="A105">
            <v>43607</v>
          </cell>
          <cell r="G105">
            <v>-0.3538730467587578</v>
          </cell>
          <cell r="H105">
            <v>-0.5</v>
          </cell>
        </row>
        <row r="106">
          <cell r="A106">
            <v>43638</v>
          </cell>
          <cell r="G106">
            <v>-0.30063550875080303</v>
          </cell>
          <cell r="H106">
            <v>-0.5</v>
          </cell>
        </row>
        <row r="107">
          <cell r="A107">
            <v>43668</v>
          </cell>
          <cell r="G107">
            <v>-0.31394489325279173</v>
          </cell>
          <cell r="H107">
            <v>-0.5</v>
          </cell>
        </row>
        <row r="108">
          <cell r="A108">
            <v>43699</v>
          </cell>
          <cell r="G108">
            <v>-0.31394489325279173</v>
          </cell>
          <cell r="H108">
            <v>-0.5</v>
          </cell>
        </row>
        <row r="109">
          <cell r="A109">
            <v>43730</v>
          </cell>
          <cell r="G109">
            <v>-0.31394489325279173</v>
          </cell>
          <cell r="H109">
            <v>-0.5</v>
          </cell>
        </row>
        <row r="110">
          <cell r="A110">
            <v>43760</v>
          </cell>
          <cell r="G110">
            <v>-0.31394489325279173</v>
          </cell>
          <cell r="H110">
            <v>-0.5</v>
          </cell>
        </row>
        <row r="111">
          <cell r="A111">
            <v>43791</v>
          </cell>
          <cell r="G111">
            <v>-0.27401673974682567</v>
          </cell>
          <cell r="H111">
            <v>-0.5</v>
          </cell>
        </row>
        <row r="112">
          <cell r="A112">
            <v>43821</v>
          </cell>
          <cell r="G112">
            <v>-0.20746981723688226</v>
          </cell>
          <cell r="H112">
            <v>-0.5</v>
          </cell>
        </row>
        <row r="113">
          <cell r="A113">
            <v>43852</v>
          </cell>
          <cell r="G113">
            <v>-0.14092289472693884</v>
          </cell>
          <cell r="H113">
            <v>-0.5</v>
          </cell>
        </row>
        <row r="114">
          <cell r="A114">
            <v>43883</v>
          </cell>
          <cell r="G114">
            <v>-0.15423227922892754</v>
          </cell>
          <cell r="H114">
            <v>-0.5</v>
          </cell>
        </row>
        <row r="115">
          <cell r="A115">
            <v>43912</v>
          </cell>
          <cell r="G115">
            <v>-0.18085104823290488</v>
          </cell>
          <cell r="H115">
            <v>-0.5</v>
          </cell>
        </row>
        <row r="116">
          <cell r="A116">
            <v>43943</v>
          </cell>
          <cell r="G116">
            <v>-0.12761351022495013</v>
          </cell>
          <cell r="H116">
            <v>-0.5</v>
          </cell>
        </row>
        <row r="117">
          <cell r="A117">
            <v>43973</v>
          </cell>
          <cell r="G117">
            <v>-0.34056366225676915</v>
          </cell>
          <cell r="H117">
            <v>-0.5</v>
          </cell>
        </row>
        <row r="118">
          <cell r="A118">
            <v>44004</v>
          </cell>
          <cell r="G118">
            <v>-0.28732612424881437</v>
          </cell>
          <cell r="H118">
            <v>-0.5</v>
          </cell>
        </row>
        <row r="119">
          <cell r="A119">
            <v>44034</v>
          </cell>
          <cell r="G119">
            <v>-0.32725427775478044</v>
          </cell>
          <cell r="H119">
            <v>-0.5</v>
          </cell>
        </row>
        <row r="120">
          <cell r="A120">
            <v>44065</v>
          </cell>
          <cell r="G120">
            <v>-0.31394489325279173</v>
          </cell>
          <cell r="H120">
            <v>-0.5</v>
          </cell>
        </row>
        <row r="121">
          <cell r="A121">
            <v>44096</v>
          </cell>
          <cell r="G121">
            <v>-0.30063550875080303</v>
          </cell>
          <cell r="H121">
            <v>-0.5</v>
          </cell>
        </row>
        <row r="122">
          <cell r="A122">
            <v>44126</v>
          </cell>
          <cell r="G122">
            <v>-0.27401673974682567</v>
          </cell>
          <cell r="H122">
            <v>-0.5</v>
          </cell>
        </row>
        <row r="123">
          <cell r="A123">
            <v>44157</v>
          </cell>
          <cell r="G123">
            <v>-0.27401673974682567</v>
          </cell>
          <cell r="H123">
            <v>-0.5</v>
          </cell>
        </row>
        <row r="124">
          <cell r="A124">
            <v>44187</v>
          </cell>
          <cell r="G124">
            <v>-0.1675416637309162</v>
          </cell>
          <cell r="H124">
            <v>-0.5</v>
          </cell>
        </row>
        <row r="125">
          <cell r="A125">
            <v>44218</v>
          </cell>
          <cell r="G125">
            <v>0.29828679383868772</v>
          </cell>
          <cell r="H125">
            <v>-0.5</v>
          </cell>
        </row>
        <row r="126">
          <cell r="A126">
            <v>44249</v>
          </cell>
          <cell r="G126">
            <v>0.71087771340033701</v>
          </cell>
          <cell r="H126">
            <v>-0.5</v>
          </cell>
        </row>
        <row r="127">
          <cell r="A127">
            <v>44277</v>
          </cell>
          <cell r="G127">
            <v>-0.3538730467587578</v>
          </cell>
          <cell r="H127">
            <v>-0.5</v>
          </cell>
        </row>
        <row r="128">
          <cell r="A128">
            <v>44308</v>
          </cell>
          <cell r="G128">
            <v>-0.27401673974682567</v>
          </cell>
          <cell r="H128">
            <v>-0.5</v>
          </cell>
        </row>
        <row r="129">
          <cell r="A129">
            <v>44338</v>
          </cell>
          <cell r="G129">
            <v>-0.27401673974682567</v>
          </cell>
          <cell r="H129">
            <v>-0.5</v>
          </cell>
        </row>
        <row r="130">
          <cell r="A130">
            <v>44369</v>
          </cell>
          <cell r="G130">
            <v>-0.27401673974682567</v>
          </cell>
          <cell r="H130">
            <v>-0.5</v>
          </cell>
        </row>
        <row r="131">
          <cell r="A131">
            <v>44399</v>
          </cell>
          <cell r="G131">
            <v>-0.31394489325279173</v>
          </cell>
          <cell r="H131">
            <v>-0.5</v>
          </cell>
        </row>
        <row r="132">
          <cell r="A132">
            <v>44430</v>
          </cell>
          <cell r="G132">
            <v>-0.26070735524483696</v>
          </cell>
          <cell r="H132">
            <v>-0.5</v>
          </cell>
        </row>
        <row r="133">
          <cell r="A133">
            <v>44461</v>
          </cell>
          <cell r="G133">
            <v>-0.31394489325279173</v>
          </cell>
          <cell r="H133">
            <v>-0.5</v>
          </cell>
        </row>
        <row r="134">
          <cell r="A134">
            <v>44491</v>
          </cell>
          <cell r="G134">
            <v>-0.26070735524483696</v>
          </cell>
          <cell r="H134">
            <v>-0.5</v>
          </cell>
        </row>
        <row r="135">
          <cell r="A135">
            <v>44522</v>
          </cell>
          <cell r="G135">
            <v>-0.20746981723688226</v>
          </cell>
          <cell r="H135">
            <v>-0.5</v>
          </cell>
        </row>
        <row r="136">
          <cell r="A136">
            <v>44552</v>
          </cell>
          <cell r="G136">
            <v>0.77742463591028044</v>
          </cell>
          <cell r="H136">
            <v>-0.5</v>
          </cell>
        </row>
        <row r="137">
          <cell r="A137">
            <v>44583</v>
          </cell>
          <cell r="G137">
            <v>1.5493689370256238</v>
          </cell>
          <cell r="H137">
            <v>-0.5</v>
          </cell>
        </row>
        <row r="138">
          <cell r="A138">
            <v>44614</v>
          </cell>
          <cell r="G138">
            <v>-0.22077920173887094</v>
          </cell>
          <cell r="H138">
            <v>-0.5</v>
          </cell>
        </row>
        <row r="139">
          <cell r="A139">
            <v>44642</v>
          </cell>
          <cell r="G139">
            <v>0.6975683288983483</v>
          </cell>
          <cell r="H139">
            <v>-0.5</v>
          </cell>
        </row>
        <row r="140">
          <cell r="A140">
            <v>44673</v>
          </cell>
          <cell r="G140">
            <v>1.4562032455117035</v>
          </cell>
          <cell r="H140">
            <v>-0.5</v>
          </cell>
        </row>
        <row r="141">
          <cell r="A141">
            <v>44703</v>
          </cell>
          <cell r="G141">
            <v>-2.1138434209040689E-2</v>
          </cell>
          <cell r="H141">
            <v>-0.5</v>
          </cell>
        </row>
        <row r="142">
          <cell r="A142">
            <v>44734</v>
          </cell>
          <cell r="G142">
            <v>-0.14092289472693884</v>
          </cell>
          <cell r="H142">
            <v>-0.5</v>
          </cell>
        </row>
        <row r="143">
          <cell r="A143">
            <v>44764</v>
          </cell>
          <cell r="G143">
            <v>-0.23408858624085965</v>
          </cell>
          <cell r="H143">
            <v>-0.5</v>
          </cell>
        </row>
        <row r="144">
          <cell r="A144">
            <v>44795</v>
          </cell>
          <cell r="G144">
            <v>-0.23408858624085965</v>
          </cell>
          <cell r="H144">
            <v>-0.5</v>
          </cell>
        </row>
        <row r="145">
          <cell r="A145">
            <v>44826</v>
          </cell>
          <cell r="G145">
            <v>-0.23408858624085965</v>
          </cell>
          <cell r="H145">
            <v>-0.5</v>
          </cell>
        </row>
        <row r="146">
          <cell r="A146">
            <v>44856</v>
          </cell>
          <cell r="G146">
            <v>-0.27401673974682567</v>
          </cell>
          <cell r="H146">
            <v>-0.5</v>
          </cell>
        </row>
        <row r="147">
          <cell r="A147">
            <v>44887</v>
          </cell>
          <cell r="G147">
            <v>-8.7685356718984087E-2</v>
          </cell>
          <cell r="H147">
            <v>-0.5</v>
          </cell>
        </row>
        <row r="148">
          <cell r="A148">
            <v>44917</v>
          </cell>
          <cell r="G148">
            <v>3.8785112248736446</v>
          </cell>
          <cell r="H148">
            <v>-0.5</v>
          </cell>
        </row>
        <row r="149">
          <cell r="A149">
            <v>44948</v>
          </cell>
          <cell r="G149">
            <v>1.1900155554719294</v>
          </cell>
          <cell r="H149">
            <v>-0.5</v>
          </cell>
        </row>
        <row r="150">
          <cell r="A150">
            <v>44979</v>
          </cell>
          <cell r="G150">
            <v>7.0328353518449624</v>
          </cell>
          <cell r="H150">
            <v>-0.5</v>
          </cell>
        </row>
        <row r="151">
          <cell r="A151">
            <v>45007</v>
          </cell>
          <cell r="G151">
            <v>-0.62006073679853146</v>
          </cell>
          <cell r="H151">
            <v>-0.5</v>
          </cell>
        </row>
        <row r="152">
          <cell r="A152">
            <v>45038</v>
          </cell>
          <cell r="G152">
            <v>-0.42041996926870118</v>
          </cell>
          <cell r="H152">
            <v>-0.5</v>
          </cell>
        </row>
        <row r="153">
          <cell r="A153">
            <v>45068</v>
          </cell>
          <cell r="G153">
            <v>-0.14092289472693884</v>
          </cell>
          <cell r="H153">
            <v>-0.5</v>
          </cell>
        </row>
        <row r="154">
          <cell r="A154">
            <v>45099</v>
          </cell>
          <cell r="G154">
            <v>-0.26070735524483696</v>
          </cell>
          <cell r="H154">
            <v>-0.5</v>
          </cell>
        </row>
        <row r="155">
          <cell r="A155">
            <v>45129</v>
          </cell>
          <cell r="G155">
            <v>-0.26070735524483696</v>
          </cell>
          <cell r="H155">
            <v>-0.5</v>
          </cell>
        </row>
        <row r="156">
          <cell r="A156">
            <v>45160</v>
          </cell>
          <cell r="G156">
            <v>-0.30063550875080303</v>
          </cell>
          <cell r="H156">
            <v>-0.5</v>
          </cell>
        </row>
        <row r="157">
          <cell r="A157">
            <v>45191</v>
          </cell>
          <cell r="G157">
            <v>-0.32725427775478044</v>
          </cell>
          <cell r="H157">
            <v>-0.5</v>
          </cell>
        </row>
        <row r="158">
          <cell r="A158">
            <v>45221</v>
          </cell>
          <cell r="G158">
            <v>-0.23408858624085965</v>
          </cell>
          <cell r="H158">
            <v>-0.5</v>
          </cell>
        </row>
        <row r="159">
          <cell r="A159">
            <v>45252</v>
          </cell>
          <cell r="G159">
            <v>-0.30063550875080303</v>
          </cell>
          <cell r="H159">
            <v>-0.5</v>
          </cell>
        </row>
        <row r="160">
          <cell r="A160">
            <v>45282</v>
          </cell>
          <cell r="G160">
            <v>8.5336641806868785E-2</v>
          </cell>
          <cell r="H160">
            <v>-0.5</v>
          </cell>
        </row>
        <row r="161">
          <cell r="A161">
            <v>45313</v>
          </cell>
          <cell r="G161">
            <v>0.21843048682675559</v>
          </cell>
          <cell r="H161">
            <v>-0.5</v>
          </cell>
        </row>
        <row r="162">
          <cell r="A162">
            <v>45344</v>
          </cell>
          <cell r="G162">
            <v>4.5408488300902709E-2</v>
          </cell>
          <cell r="H162">
            <v>-0.5</v>
          </cell>
        </row>
        <row r="163">
          <cell r="A163">
            <v>45373</v>
          </cell>
          <cell r="G163">
            <v>-0.23408858624085965</v>
          </cell>
          <cell r="H163">
            <v>-0.5</v>
          </cell>
        </row>
        <row r="164">
          <cell r="A164">
            <v>45404</v>
          </cell>
          <cell r="G164">
            <v>0.20512110232476694</v>
          </cell>
          <cell r="H164">
            <v>-0.5</v>
          </cell>
        </row>
        <row r="165">
          <cell r="A165">
            <v>45434</v>
          </cell>
          <cell r="G165">
            <v>-0.3538730467587578</v>
          </cell>
          <cell r="H165">
            <v>-0.5</v>
          </cell>
        </row>
        <row r="166">
          <cell r="A166">
            <v>45465</v>
          </cell>
          <cell r="G166">
            <v>-0.30063550875080303</v>
          </cell>
          <cell r="H166">
            <v>-0.5</v>
          </cell>
        </row>
        <row r="167">
          <cell r="A167">
            <v>45495</v>
          </cell>
          <cell r="G167">
            <v>-0.32725427775478044</v>
          </cell>
          <cell r="H167">
            <v>-0.5</v>
          </cell>
        </row>
        <row r="168">
          <cell r="A168">
            <v>45526</v>
          </cell>
          <cell r="G168">
            <v>-0.34056366225676915</v>
          </cell>
          <cell r="H168">
            <v>-0.5</v>
          </cell>
        </row>
        <row r="169">
          <cell r="A169">
            <v>45557</v>
          </cell>
          <cell r="G169">
            <v>-0.28732612424881437</v>
          </cell>
          <cell r="H169">
            <v>-0.5</v>
          </cell>
        </row>
        <row r="170">
          <cell r="A170">
            <v>45587</v>
          </cell>
          <cell r="G170">
            <v>-0.30063550875080303</v>
          </cell>
          <cell r="H170">
            <v>-0.5</v>
          </cell>
        </row>
        <row r="171">
          <cell r="A171">
            <v>45618</v>
          </cell>
          <cell r="G171">
            <v>-0.32725427775478044</v>
          </cell>
          <cell r="H171">
            <v>-0.5</v>
          </cell>
        </row>
        <row r="172">
          <cell r="A172">
            <v>45648</v>
          </cell>
          <cell r="G172">
            <v>0.6975683288983483</v>
          </cell>
          <cell r="H172">
            <v>-0.5</v>
          </cell>
        </row>
        <row r="173">
          <cell r="A173">
            <v>45679</v>
          </cell>
          <cell r="G173">
            <v>8.7098177990955357</v>
          </cell>
          <cell r="H173">
            <v>-0.5</v>
          </cell>
        </row>
        <row r="174">
          <cell r="A174">
            <v>45710</v>
          </cell>
          <cell r="G174">
            <v>0.19181171782277817</v>
          </cell>
          <cell r="H174">
            <v>-0.5</v>
          </cell>
        </row>
        <row r="175">
          <cell r="A175">
            <v>45739</v>
          </cell>
          <cell r="G175">
            <v>0.7374964824043142</v>
          </cell>
          <cell r="H175">
            <v>-0.5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7ED08-A860-4E40-94A6-02BC92250809}">
  <dimension ref="A1:H175"/>
  <sheetViews>
    <sheetView tabSelected="1" zoomScale="85" zoomScaleNormal="85" workbookViewId="0">
      <selection activeCell="F45" sqref="F45"/>
    </sheetView>
  </sheetViews>
  <sheetFormatPr defaultRowHeight="14.4" x14ac:dyDescent="0.3"/>
  <cols>
    <col min="1" max="1" width="15.5546875" style="21" customWidth="1"/>
    <col min="2" max="2" width="18.6640625" style="20" customWidth="1"/>
    <col min="3" max="3" width="19.5546875" style="20" customWidth="1"/>
    <col min="4" max="4" width="22.88671875" style="20" customWidth="1"/>
    <col min="5" max="5" width="16" style="20" customWidth="1"/>
    <col min="6" max="6" width="13.6640625" style="20" customWidth="1"/>
    <col min="7" max="7" width="21.5546875" style="22" bestFit="1" customWidth="1"/>
    <col min="8" max="8" width="12.33203125" customWidth="1"/>
  </cols>
  <sheetData>
    <row r="1" spans="1:8" x14ac:dyDescent="0.3">
      <c r="A1" s="1"/>
      <c r="B1" s="2"/>
      <c r="C1" s="2"/>
      <c r="D1" s="3">
        <v>25.4</v>
      </c>
      <c r="E1" s="2"/>
      <c r="F1" s="2"/>
      <c r="G1" s="4"/>
    </row>
    <row r="2" spans="1:8" ht="20.25" customHeight="1" x14ac:dyDescent="0.3">
      <c r="A2" s="5" t="s">
        <v>0</v>
      </c>
      <c r="B2" s="6"/>
      <c r="C2" s="6"/>
      <c r="D2" s="6"/>
      <c r="E2" s="6"/>
      <c r="F2" s="6"/>
      <c r="G2" s="6"/>
      <c r="H2" s="7"/>
    </row>
    <row r="3" spans="1:8" x14ac:dyDescent="0.3">
      <c r="A3" s="8" t="s">
        <v>1</v>
      </c>
      <c r="B3" s="9"/>
      <c r="C3" s="9"/>
      <c r="D3" s="9"/>
      <c r="E3" s="9"/>
      <c r="F3" s="9"/>
      <c r="G3" s="10"/>
    </row>
    <row r="4" spans="1:8" x14ac:dyDescent="0.3">
      <c r="A4" s="11" t="s">
        <v>2</v>
      </c>
      <c r="B4" s="12" t="s">
        <v>3</v>
      </c>
      <c r="C4" s="12" t="s">
        <v>1</v>
      </c>
      <c r="D4" s="13" t="s">
        <v>4</v>
      </c>
      <c r="E4" s="13" t="s">
        <v>5</v>
      </c>
      <c r="F4" s="12"/>
      <c r="G4" s="14" t="s">
        <v>6</v>
      </c>
      <c r="H4" t="s">
        <v>7</v>
      </c>
    </row>
    <row r="5" spans="1:8" x14ac:dyDescent="0.3">
      <c r="A5" s="15">
        <v>40565</v>
      </c>
      <c r="B5" s="16">
        <v>0.96</v>
      </c>
      <c r="C5" s="17">
        <f t="shared" ref="C5:C68" si="0">$D$1*B5</f>
        <v>24.383999999999997</v>
      </c>
      <c r="D5" s="18">
        <f>AVERAGE($C$5:$C$174)</f>
        <v>6.7534117647058789</v>
      </c>
      <c r="E5" s="18">
        <f>_xlfn.STDEV.S($C$5:$C$174)</f>
        <v>19.084278462467395</v>
      </c>
      <c r="F5" s="18">
        <f>C5-D5</f>
        <v>17.63058823529412</v>
      </c>
      <c r="G5" s="19">
        <f>F5/E5</f>
        <v>0.92382786543215589</v>
      </c>
      <c r="H5">
        <v>-0.5</v>
      </c>
    </row>
    <row r="6" spans="1:8" x14ac:dyDescent="0.3">
      <c r="A6" s="15">
        <v>40596</v>
      </c>
      <c r="B6" s="16">
        <v>0.31</v>
      </c>
      <c r="C6" s="17">
        <f t="shared" si="0"/>
        <v>7.8739999999999997</v>
      </c>
      <c r="D6" s="18">
        <f t="shared" ref="D6:D69" si="1">AVERAGE($C$5:$C$174)</f>
        <v>6.7534117647058789</v>
      </c>
      <c r="E6" s="18">
        <f t="shared" ref="E6:E69" si="2">_xlfn.STDEV.S($C$5:$C$174)</f>
        <v>19.084278462467395</v>
      </c>
      <c r="F6" s="18">
        <f t="shared" ref="F6:F69" si="3">C6-D6</f>
        <v>1.1205882352941208</v>
      </c>
      <c r="G6" s="19">
        <f t="shared" ref="G6:G69" si="4">F6/E6</f>
        <v>5.8717872802891417E-2</v>
      </c>
      <c r="H6">
        <v>-0.5</v>
      </c>
    </row>
    <row r="7" spans="1:8" x14ac:dyDescent="0.3">
      <c r="A7" s="15">
        <v>40624</v>
      </c>
      <c r="B7" s="16">
        <v>-0.05</v>
      </c>
      <c r="C7" s="17">
        <f t="shared" si="0"/>
        <v>-1.27</v>
      </c>
      <c r="D7" s="18">
        <f t="shared" si="1"/>
        <v>6.7534117647058789</v>
      </c>
      <c r="E7" s="18">
        <f t="shared" si="2"/>
        <v>19.084278462467395</v>
      </c>
      <c r="F7" s="18">
        <f t="shared" si="3"/>
        <v>-8.0234117647058785</v>
      </c>
      <c r="G7" s="19">
        <f t="shared" si="4"/>
        <v>-0.42041996926870118</v>
      </c>
      <c r="H7">
        <v>-0.5</v>
      </c>
    </row>
    <row r="8" spans="1:8" x14ac:dyDescent="0.3">
      <c r="A8" s="15">
        <v>40655</v>
      </c>
      <c r="B8" s="16">
        <v>0.24</v>
      </c>
      <c r="C8" s="17">
        <f t="shared" si="0"/>
        <v>6.0959999999999992</v>
      </c>
      <c r="D8" s="18">
        <f t="shared" si="1"/>
        <v>6.7534117647058789</v>
      </c>
      <c r="E8" s="18">
        <f t="shared" si="2"/>
        <v>19.084278462467395</v>
      </c>
      <c r="F8" s="18">
        <f t="shared" si="3"/>
        <v>-0.6574117647058797</v>
      </c>
      <c r="G8" s="19">
        <f t="shared" si="4"/>
        <v>-3.44478187110294E-2</v>
      </c>
      <c r="H8">
        <v>-0.5</v>
      </c>
    </row>
    <row r="9" spans="1:8" x14ac:dyDescent="0.3">
      <c r="A9" s="15">
        <v>40685</v>
      </c>
      <c r="B9" s="16">
        <v>7.0000000000000007E-2</v>
      </c>
      <c r="C9" s="17">
        <f t="shared" si="0"/>
        <v>1.778</v>
      </c>
      <c r="D9" s="18">
        <f t="shared" si="1"/>
        <v>6.7534117647058789</v>
      </c>
      <c r="E9" s="18">
        <f t="shared" si="2"/>
        <v>19.084278462467395</v>
      </c>
      <c r="F9" s="18">
        <f t="shared" si="3"/>
        <v>-4.9754117647058784</v>
      </c>
      <c r="G9" s="19">
        <f t="shared" si="4"/>
        <v>-0.26070735524483696</v>
      </c>
      <c r="H9">
        <v>-0.5</v>
      </c>
    </row>
    <row r="10" spans="1:8" x14ac:dyDescent="0.3">
      <c r="A10" s="15">
        <v>40716</v>
      </c>
      <c r="B10" s="16">
        <v>0.11</v>
      </c>
      <c r="C10" s="17">
        <f t="shared" si="0"/>
        <v>2.794</v>
      </c>
      <c r="D10" s="18">
        <f t="shared" si="1"/>
        <v>6.7534117647058789</v>
      </c>
      <c r="E10" s="18">
        <f t="shared" si="2"/>
        <v>19.084278462467395</v>
      </c>
      <c r="F10" s="18">
        <f t="shared" si="3"/>
        <v>-3.9594117647058789</v>
      </c>
      <c r="G10" s="19">
        <f t="shared" si="4"/>
        <v>-0.20746981723688226</v>
      </c>
      <c r="H10">
        <v>-0.5</v>
      </c>
    </row>
    <row r="11" spans="1:8" x14ac:dyDescent="0.3">
      <c r="A11" s="15">
        <v>40746</v>
      </c>
      <c r="B11" s="16">
        <v>0.1</v>
      </c>
      <c r="C11" s="17">
        <f t="shared" si="0"/>
        <v>2.54</v>
      </c>
      <c r="D11" s="18">
        <f t="shared" si="1"/>
        <v>6.7534117647058789</v>
      </c>
      <c r="E11" s="18">
        <f t="shared" si="2"/>
        <v>19.084278462467395</v>
      </c>
      <c r="F11" s="18">
        <f t="shared" si="3"/>
        <v>-4.2134117647058789</v>
      </c>
      <c r="G11" s="19">
        <f t="shared" si="4"/>
        <v>-0.22077920173887094</v>
      </c>
      <c r="H11">
        <v>-0.5</v>
      </c>
    </row>
    <row r="12" spans="1:8" x14ac:dyDescent="0.3">
      <c r="A12" s="15">
        <v>40777</v>
      </c>
      <c r="B12" s="16">
        <v>0.06</v>
      </c>
      <c r="C12" s="17">
        <f t="shared" si="0"/>
        <v>1.5239999999999998</v>
      </c>
      <c r="D12" s="18">
        <f t="shared" si="1"/>
        <v>6.7534117647058789</v>
      </c>
      <c r="E12" s="18">
        <f t="shared" si="2"/>
        <v>19.084278462467395</v>
      </c>
      <c r="F12" s="18">
        <f t="shared" si="3"/>
        <v>-5.2294117647058789</v>
      </c>
      <c r="G12" s="19">
        <f t="shared" si="4"/>
        <v>-0.27401673974682567</v>
      </c>
      <c r="H12">
        <v>-0.5</v>
      </c>
    </row>
    <row r="13" spans="1:8" x14ac:dyDescent="0.3">
      <c r="A13" s="15">
        <v>40808</v>
      </c>
      <c r="B13" s="16">
        <v>0.01</v>
      </c>
      <c r="C13" s="17">
        <f t="shared" si="0"/>
        <v>0.254</v>
      </c>
      <c r="D13" s="18">
        <f t="shared" si="1"/>
        <v>6.7534117647058789</v>
      </c>
      <c r="E13" s="18">
        <f t="shared" si="2"/>
        <v>19.084278462467395</v>
      </c>
      <c r="F13" s="18">
        <f t="shared" si="3"/>
        <v>-6.4994117647058793</v>
      </c>
      <c r="G13" s="19">
        <f t="shared" si="4"/>
        <v>-0.34056366225676915</v>
      </c>
      <c r="H13">
        <v>-0.5</v>
      </c>
    </row>
    <row r="14" spans="1:8" x14ac:dyDescent="0.3">
      <c r="A14" s="15">
        <v>40838</v>
      </c>
      <c r="B14" s="16">
        <v>0.17</v>
      </c>
      <c r="C14" s="17">
        <f t="shared" si="0"/>
        <v>4.3180000000000005</v>
      </c>
      <c r="D14" s="18">
        <f t="shared" si="1"/>
        <v>6.7534117647058789</v>
      </c>
      <c r="E14" s="18">
        <f t="shared" si="2"/>
        <v>19.084278462467395</v>
      </c>
      <c r="F14" s="18">
        <f t="shared" si="3"/>
        <v>-2.4354117647058784</v>
      </c>
      <c r="G14" s="19">
        <f t="shared" si="4"/>
        <v>-0.12761351022495013</v>
      </c>
      <c r="H14">
        <v>-0.5</v>
      </c>
    </row>
    <row r="15" spans="1:8" x14ac:dyDescent="0.3">
      <c r="A15" s="15">
        <v>40869</v>
      </c>
      <c r="B15" s="16">
        <v>0.11</v>
      </c>
      <c r="C15" s="17">
        <f t="shared" si="0"/>
        <v>2.794</v>
      </c>
      <c r="D15" s="18">
        <f t="shared" si="1"/>
        <v>6.7534117647058789</v>
      </c>
      <c r="E15" s="18">
        <f t="shared" si="2"/>
        <v>19.084278462467395</v>
      </c>
      <c r="F15" s="18">
        <f t="shared" si="3"/>
        <v>-3.9594117647058789</v>
      </c>
      <c r="G15" s="19">
        <f t="shared" si="4"/>
        <v>-0.20746981723688226</v>
      </c>
      <c r="H15">
        <v>-0.5</v>
      </c>
    </row>
    <row r="16" spans="1:8" x14ac:dyDescent="0.3">
      <c r="A16" s="15">
        <v>40899</v>
      </c>
      <c r="B16" s="16">
        <v>0.17</v>
      </c>
      <c r="C16" s="17">
        <f t="shared" si="0"/>
        <v>4.3180000000000005</v>
      </c>
      <c r="D16" s="18">
        <f t="shared" si="1"/>
        <v>6.7534117647058789</v>
      </c>
      <c r="E16" s="18">
        <f t="shared" si="2"/>
        <v>19.084278462467395</v>
      </c>
      <c r="F16" s="18">
        <f t="shared" si="3"/>
        <v>-2.4354117647058784</v>
      </c>
      <c r="G16" s="19">
        <f t="shared" si="4"/>
        <v>-0.12761351022495013</v>
      </c>
      <c r="H16">
        <v>-0.5</v>
      </c>
    </row>
    <row r="17" spans="1:8" x14ac:dyDescent="0.3">
      <c r="A17" s="15">
        <v>40930</v>
      </c>
      <c r="B17" s="16">
        <v>0.68</v>
      </c>
      <c r="C17" s="17">
        <f t="shared" si="0"/>
        <v>17.272000000000002</v>
      </c>
      <c r="D17" s="18">
        <f t="shared" si="1"/>
        <v>6.7534117647058789</v>
      </c>
      <c r="E17" s="18">
        <f t="shared" si="2"/>
        <v>19.084278462467395</v>
      </c>
      <c r="F17" s="18">
        <f t="shared" si="3"/>
        <v>10.518588235294123</v>
      </c>
      <c r="G17" s="19">
        <f t="shared" si="4"/>
        <v>0.55116509937647284</v>
      </c>
      <c r="H17">
        <v>-0.5</v>
      </c>
    </row>
    <row r="18" spans="1:8" x14ac:dyDescent="0.3">
      <c r="A18" s="15">
        <v>40961</v>
      </c>
      <c r="B18" s="16">
        <v>0.28999999999999998</v>
      </c>
      <c r="C18" s="17">
        <f t="shared" si="0"/>
        <v>7.3659999999999988</v>
      </c>
      <c r="D18" s="18">
        <f t="shared" si="1"/>
        <v>6.7534117647058789</v>
      </c>
      <c r="E18" s="18">
        <f t="shared" si="2"/>
        <v>19.084278462467395</v>
      </c>
      <c r="F18" s="18">
        <f t="shared" si="3"/>
        <v>0.61258823529411988</v>
      </c>
      <c r="G18" s="19">
        <f t="shared" si="4"/>
        <v>3.2099103798914001E-2</v>
      </c>
      <c r="H18">
        <v>-0.5</v>
      </c>
    </row>
    <row r="19" spans="1:8" x14ac:dyDescent="0.3">
      <c r="A19" s="15">
        <v>40990</v>
      </c>
      <c r="B19" s="16">
        <v>0.02</v>
      </c>
      <c r="C19" s="17">
        <f t="shared" si="0"/>
        <v>0.50800000000000001</v>
      </c>
      <c r="D19" s="18">
        <f t="shared" si="1"/>
        <v>6.7534117647058789</v>
      </c>
      <c r="E19" s="18">
        <f t="shared" si="2"/>
        <v>19.084278462467395</v>
      </c>
      <c r="F19" s="18">
        <f t="shared" si="3"/>
        <v>-6.2454117647058789</v>
      </c>
      <c r="G19" s="19">
        <f t="shared" si="4"/>
        <v>-0.32725427775478044</v>
      </c>
      <c r="H19">
        <v>-0.5</v>
      </c>
    </row>
    <row r="20" spans="1:8" x14ac:dyDescent="0.3">
      <c r="A20" s="15">
        <v>41021</v>
      </c>
      <c r="B20" s="16">
        <v>0.06</v>
      </c>
      <c r="C20" s="17">
        <f t="shared" si="0"/>
        <v>1.5239999999999998</v>
      </c>
      <c r="D20" s="18">
        <f t="shared" si="1"/>
        <v>6.7534117647058789</v>
      </c>
      <c r="E20" s="18">
        <f t="shared" si="2"/>
        <v>19.084278462467395</v>
      </c>
      <c r="F20" s="18">
        <f t="shared" si="3"/>
        <v>-5.2294117647058789</v>
      </c>
      <c r="G20" s="19">
        <f t="shared" si="4"/>
        <v>-0.27401673974682567</v>
      </c>
      <c r="H20">
        <v>-0.5</v>
      </c>
    </row>
    <row r="21" spans="1:8" x14ac:dyDescent="0.3">
      <c r="A21" s="15">
        <v>41051</v>
      </c>
      <c r="B21" s="16">
        <v>0.05</v>
      </c>
      <c r="C21" s="17">
        <f t="shared" si="0"/>
        <v>1.27</v>
      </c>
      <c r="D21" s="18">
        <f t="shared" si="1"/>
        <v>6.7534117647058789</v>
      </c>
      <c r="E21" s="18">
        <f t="shared" si="2"/>
        <v>19.084278462467395</v>
      </c>
      <c r="F21" s="18">
        <f t="shared" si="3"/>
        <v>-5.4834117647058793</v>
      </c>
      <c r="G21" s="19">
        <f t="shared" si="4"/>
        <v>-0.28732612424881437</v>
      </c>
      <c r="H21">
        <v>-0.5</v>
      </c>
    </row>
    <row r="22" spans="1:8" x14ac:dyDescent="0.3">
      <c r="A22" s="15">
        <v>41082</v>
      </c>
      <c r="B22" s="16">
        <v>0.05</v>
      </c>
      <c r="C22" s="17">
        <f t="shared" si="0"/>
        <v>1.27</v>
      </c>
      <c r="D22" s="18">
        <f t="shared" si="1"/>
        <v>6.7534117647058789</v>
      </c>
      <c r="E22" s="18">
        <f t="shared" si="2"/>
        <v>19.084278462467395</v>
      </c>
      <c r="F22" s="18">
        <f t="shared" si="3"/>
        <v>-5.4834117647058793</v>
      </c>
      <c r="G22" s="19">
        <f t="shared" si="4"/>
        <v>-0.28732612424881437</v>
      </c>
      <c r="H22">
        <v>-0.5</v>
      </c>
    </row>
    <row r="23" spans="1:8" x14ac:dyDescent="0.3">
      <c r="A23" s="15">
        <v>41112</v>
      </c>
      <c r="B23" s="16">
        <v>0.06</v>
      </c>
      <c r="C23" s="17">
        <f t="shared" si="0"/>
        <v>1.5239999999999998</v>
      </c>
      <c r="D23" s="18">
        <f t="shared" si="1"/>
        <v>6.7534117647058789</v>
      </c>
      <c r="E23" s="18">
        <f t="shared" si="2"/>
        <v>19.084278462467395</v>
      </c>
      <c r="F23" s="18">
        <f t="shared" si="3"/>
        <v>-5.2294117647058789</v>
      </c>
      <c r="G23" s="19">
        <f t="shared" si="4"/>
        <v>-0.27401673974682567</v>
      </c>
      <c r="H23">
        <v>-0.5</v>
      </c>
    </row>
    <row r="24" spans="1:8" x14ac:dyDescent="0.3">
      <c r="A24" s="15">
        <v>41143</v>
      </c>
      <c r="B24" s="16">
        <v>0.04</v>
      </c>
      <c r="C24" s="17">
        <f t="shared" si="0"/>
        <v>1.016</v>
      </c>
      <c r="D24" s="18">
        <f t="shared" si="1"/>
        <v>6.7534117647058789</v>
      </c>
      <c r="E24" s="18">
        <f t="shared" si="2"/>
        <v>19.084278462467395</v>
      </c>
      <c r="F24" s="18">
        <f t="shared" si="3"/>
        <v>-5.7374117647058789</v>
      </c>
      <c r="G24" s="19">
        <f t="shared" si="4"/>
        <v>-0.30063550875080303</v>
      </c>
      <c r="H24">
        <v>-0.5</v>
      </c>
    </row>
    <row r="25" spans="1:8" x14ac:dyDescent="0.3">
      <c r="A25" s="15">
        <v>41174</v>
      </c>
      <c r="B25" s="16">
        <v>0.25</v>
      </c>
      <c r="C25" s="17">
        <f t="shared" si="0"/>
        <v>6.35</v>
      </c>
      <c r="D25" s="18">
        <f t="shared" si="1"/>
        <v>6.7534117647058789</v>
      </c>
      <c r="E25" s="18">
        <f t="shared" si="2"/>
        <v>19.084278462467395</v>
      </c>
      <c r="F25" s="18">
        <f t="shared" si="3"/>
        <v>-0.40341176470587925</v>
      </c>
      <c r="G25" s="19">
        <f t="shared" si="4"/>
        <v>-2.1138434209040689E-2</v>
      </c>
      <c r="H25">
        <v>-0.5</v>
      </c>
    </row>
    <row r="26" spans="1:8" x14ac:dyDescent="0.3">
      <c r="A26" s="15">
        <v>41204</v>
      </c>
      <c r="B26" s="16">
        <v>0.36</v>
      </c>
      <c r="C26" s="17">
        <f t="shared" si="0"/>
        <v>9.1439999999999984</v>
      </c>
      <c r="D26" s="18">
        <f t="shared" si="1"/>
        <v>6.7534117647058789</v>
      </c>
      <c r="E26" s="18">
        <f t="shared" si="2"/>
        <v>19.084278462467395</v>
      </c>
      <c r="F26" s="18">
        <f t="shared" si="3"/>
        <v>2.3905882352941195</v>
      </c>
      <c r="G26" s="19">
        <f t="shared" si="4"/>
        <v>0.12526479531283477</v>
      </c>
      <c r="H26">
        <v>-0.5</v>
      </c>
    </row>
    <row r="27" spans="1:8" x14ac:dyDescent="0.3">
      <c r="A27" s="15">
        <v>41235</v>
      </c>
      <c r="B27" s="16">
        <v>0.34</v>
      </c>
      <c r="C27" s="17">
        <f t="shared" si="0"/>
        <v>8.636000000000001</v>
      </c>
      <c r="D27" s="18">
        <f t="shared" si="1"/>
        <v>6.7534117647058789</v>
      </c>
      <c r="E27" s="18">
        <f t="shared" si="2"/>
        <v>19.084278462467395</v>
      </c>
      <c r="F27" s="18">
        <f t="shared" si="3"/>
        <v>1.8825882352941221</v>
      </c>
      <c r="G27" s="19">
        <f t="shared" si="4"/>
        <v>9.8646026308857548E-2</v>
      </c>
      <c r="H27">
        <v>-0.5</v>
      </c>
    </row>
    <row r="28" spans="1:8" x14ac:dyDescent="0.3">
      <c r="A28" s="15">
        <v>41265</v>
      </c>
      <c r="B28" s="16">
        <v>0.34</v>
      </c>
      <c r="C28" s="17">
        <f t="shared" si="0"/>
        <v>8.636000000000001</v>
      </c>
      <c r="D28" s="18">
        <f t="shared" si="1"/>
        <v>6.7534117647058789</v>
      </c>
      <c r="E28" s="18">
        <f t="shared" si="2"/>
        <v>19.084278462467395</v>
      </c>
      <c r="F28" s="18">
        <f t="shared" si="3"/>
        <v>1.8825882352941221</v>
      </c>
      <c r="G28" s="19">
        <f t="shared" si="4"/>
        <v>9.8646026308857548E-2</v>
      </c>
      <c r="H28">
        <v>-0.5</v>
      </c>
    </row>
    <row r="29" spans="1:8" x14ac:dyDescent="0.3">
      <c r="A29" s="15">
        <v>41296</v>
      </c>
      <c r="B29" s="16">
        <v>1.49</v>
      </c>
      <c r="C29" s="17">
        <f t="shared" si="0"/>
        <v>37.845999999999997</v>
      </c>
      <c r="D29" s="18">
        <f t="shared" si="1"/>
        <v>6.7534117647058789</v>
      </c>
      <c r="E29" s="18">
        <f t="shared" si="2"/>
        <v>19.084278462467395</v>
      </c>
      <c r="F29" s="18">
        <f t="shared" si="3"/>
        <v>31.092588235294116</v>
      </c>
      <c r="G29" s="19">
        <f t="shared" si="4"/>
        <v>1.6292252440375561</v>
      </c>
      <c r="H29">
        <v>-0.5</v>
      </c>
    </row>
    <row r="30" spans="1:8" x14ac:dyDescent="0.3">
      <c r="A30" s="15">
        <v>41327</v>
      </c>
      <c r="B30" s="16">
        <v>0.32</v>
      </c>
      <c r="C30" s="17">
        <f t="shared" si="0"/>
        <v>8.1280000000000001</v>
      </c>
      <c r="D30" s="18">
        <f t="shared" si="1"/>
        <v>6.7534117647058789</v>
      </c>
      <c r="E30" s="18">
        <f t="shared" si="2"/>
        <v>19.084278462467395</v>
      </c>
      <c r="F30" s="18">
        <f t="shared" si="3"/>
        <v>1.3745882352941212</v>
      </c>
      <c r="G30" s="19">
        <f t="shared" si="4"/>
        <v>7.2027257304880132E-2</v>
      </c>
      <c r="H30">
        <v>-0.5</v>
      </c>
    </row>
    <row r="31" spans="1:8" x14ac:dyDescent="0.3">
      <c r="A31" s="15">
        <v>41355</v>
      </c>
      <c r="B31" s="16">
        <v>1.17</v>
      </c>
      <c r="C31" s="17">
        <f t="shared" si="0"/>
        <v>29.717999999999996</v>
      </c>
      <c r="D31" s="18">
        <f t="shared" si="1"/>
        <v>6.7534117647058789</v>
      </c>
      <c r="E31" s="18">
        <f t="shared" si="2"/>
        <v>19.084278462467395</v>
      </c>
      <c r="F31" s="18">
        <f t="shared" si="3"/>
        <v>22.964588235294116</v>
      </c>
      <c r="G31" s="19">
        <f t="shared" si="4"/>
        <v>1.2033249399739181</v>
      </c>
      <c r="H31">
        <v>-0.5</v>
      </c>
    </row>
    <row r="32" spans="1:8" x14ac:dyDescent="0.3">
      <c r="A32" s="15">
        <v>41386</v>
      </c>
      <c r="B32" s="16">
        <v>0.67</v>
      </c>
      <c r="C32" s="17">
        <f t="shared" si="0"/>
        <v>17.018000000000001</v>
      </c>
      <c r="D32" s="18">
        <f t="shared" si="1"/>
        <v>6.7534117647058789</v>
      </c>
      <c r="E32" s="18">
        <f t="shared" si="2"/>
        <v>19.084278462467395</v>
      </c>
      <c r="F32" s="18">
        <f t="shared" si="3"/>
        <v>10.264588235294122</v>
      </c>
      <c r="G32" s="19">
        <f t="shared" si="4"/>
        <v>0.53785571487448414</v>
      </c>
      <c r="H32">
        <v>-0.5</v>
      </c>
    </row>
    <row r="33" spans="1:8" x14ac:dyDescent="0.3">
      <c r="A33" s="15">
        <v>41416</v>
      </c>
      <c r="B33" s="16">
        <v>0.25</v>
      </c>
      <c r="C33" s="17">
        <f t="shared" si="0"/>
        <v>6.35</v>
      </c>
      <c r="D33" s="18">
        <f t="shared" si="1"/>
        <v>6.7534117647058789</v>
      </c>
      <c r="E33" s="18">
        <f t="shared" si="2"/>
        <v>19.084278462467395</v>
      </c>
      <c r="F33" s="18">
        <f t="shared" si="3"/>
        <v>-0.40341176470587925</v>
      </c>
      <c r="G33" s="19">
        <f t="shared" si="4"/>
        <v>-2.1138434209040689E-2</v>
      </c>
      <c r="H33">
        <v>-0.5</v>
      </c>
    </row>
    <row r="34" spans="1:8" x14ac:dyDescent="0.3">
      <c r="A34" s="15">
        <v>41447</v>
      </c>
      <c r="B34" s="16">
        <v>0.09</v>
      </c>
      <c r="C34" s="17">
        <f t="shared" si="0"/>
        <v>2.2859999999999996</v>
      </c>
      <c r="D34" s="18">
        <f t="shared" si="1"/>
        <v>6.7534117647058789</v>
      </c>
      <c r="E34" s="18">
        <f t="shared" si="2"/>
        <v>19.084278462467395</v>
      </c>
      <c r="F34" s="18">
        <f t="shared" si="3"/>
        <v>-4.4674117647058793</v>
      </c>
      <c r="G34" s="19">
        <f t="shared" si="4"/>
        <v>-0.23408858624085965</v>
      </c>
      <c r="H34">
        <v>-0.5</v>
      </c>
    </row>
    <row r="35" spans="1:8" x14ac:dyDescent="0.3">
      <c r="A35" s="15">
        <v>41477</v>
      </c>
      <c r="B35" s="16">
        <v>0.12</v>
      </c>
      <c r="C35" s="17">
        <f t="shared" si="0"/>
        <v>3.0479999999999996</v>
      </c>
      <c r="D35" s="18">
        <f t="shared" si="1"/>
        <v>6.7534117647058789</v>
      </c>
      <c r="E35" s="18">
        <f t="shared" si="2"/>
        <v>19.084278462467395</v>
      </c>
      <c r="F35" s="18">
        <f t="shared" si="3"/>
        <v>-3.7054117647058793</v>
      </c>
      <c r="G35" s="19">
        <f t="shared" si="4"/>
        <v>-0.19416043273489358</v>
      </c>
      <c r="H35">
        <v>-0.5</v>
      </c>
    </row>
    <row r="36" spans="1:8" x14ac:dyDescent="0.3">
      <c r="A36" s="15">
        <v>41508</v>
      </c>
      <c r="B36" s="16">
        <v>7.0000000000000007E-2</v>
      </c>
      <c r="C36" s="17">
        <f t="shared" si="0"/>
        <v>1.778</v>
      </c>
      <c r="D36" s="18">
        <f t="shared" si="1"/>
        <v>6.7534117647058789</v>
      </c>
      <c r="E36" s="18">
        <f t="shared" si="2"/>
        <v>19.084278462467395</v>
      </c>
      <c r="F36" s="18">
        <f t="shared" si="3"/>
        <v>-4.9754117647058784</v>
      </c>
      <c r="G36" s="19">
        <f t="shared" si="4"/>
        <v>-0.26070735524483696</v>
      </c>
      <c r="H36">
        <v>-0.5</v>
      </c>
    </row>
    <row r="37" spans="1:8" x14ac:dyDescent="0.3">
      <c r="A37" s="15">
        <v>41539</v>
      </c>
      <c r="B37" s="16">
        <v>7.0000000000000007E-2</v>
      </c>
      <c r="C37" s="17">
        <f t="shared" si="0"/>
        <v>1.778</v>
      </c>
      <c r="D37" s="18">
        <f t="shared" si="1"/>
        <v>6.7534117647058789</v>
      </c>
      <c r="E37" s="18">
        <f t="shared" si="2"/>
        <v>19.084278462467395</v>
      </c>
      <c r="F37" s="18">
        <f t="shared" si="3"/>
        <v>-4.9754117647058784</v>
      </c>
      <c r="G37" s="19">
        <f t="shared" si="4"/>
        <v>-0.26070735524483696</v>
      </c>
      <c r="H37">
        <v>-0.5</v>
      </c>
    </row>
    <row r="38" spans="1:8" x14ac:dyDescent="0.3">
      <c r="A38" s="15">
        <v>41569</v>
      </c>
      <c r="B38" s="16">
        <v>0.14000000000000001</v>
      </c>
      <c r="C38" s="17">
        <f t="shared" si="0"/>
        <v>3.556</v>
      </c>
      <c r="D38" s="18">
        <f t="shared" si="1"/>
        <v>6.7534117647058789</v>
      </c>
      <c r="E38" s="18">
        <f t="shared" si="2"/>
        <v>19.084278462467395</v>
      </c>
      <c r="F38" s="18">
        <f t="shared" si="3"/>
        <v>-3.1974117647058788</v>
      </c>
      <c r="G38" s="19">
        <f t="shared" si="4"/>
        <v>-0.1675416637309162</v>
      </c>
      <c r="H38">
        <v>-0.5</v>
      </c>
    </row>
    <row r="39" spans="1:8" x14ac:dyDescent="0.3">
      <c r="A39" s="15">
        <v>41600</v>
      </c>
      <c r="B39" s="16">
        <v>0.12</v>
      </c>
      <c r="C39" s="17">
        <f t="shared" si="0"/>
        <v>3.0479999999999996</v>
      </c>
      <c r="D39" s="18">
        <f t="shared" si="1"/>
        <v>6.7534117647058789</v>
      </c>
      <c r="E39" s="18">
        <f t="shared" si="2"/>
        <v>19.084278462467395</v>
      </c>
      <c r="F39" s="18">
        <f t="shared" si="3"/>
        <v>-3.7054117647058793</v>
      </c>
      <c r="G39" s="19">
        <f t="shared" si="4"/>
        <v>-0.19416043273489358</v>
      </c>
      <c r="H39">
        <v>-0.5</v>
      </c>
    </row>
    <row r="40" spans="1:8" x14ac:dyDescent="0.3">
      <c r="A40" s="15">
        <v>41630</v>
      </c>
      <c r="B40" s="16">
        <v>1.39</v>
      </c>
      <c r="C40" s="17">
        <f t="shared" si="0"/>
        <v>35.305999999999997</v>
      </c>
      <c r="D40" s="18">
        <f t="shared" si="1"/>
        <v>6.7534117647058789</v>
      </c>
      <c r="E40" s="18">
        <f t="shared" si="2"/>
        <v>19.084278462467395</v>
      </c>
      <c r="F40" s="18">
        <f t="shared" si="3"/>
        <v>28.552588235294117</v>
      </c>
      <c r="G40" s="19">
        <f t="shared" si="4"/>
        <v>1.4961313990176692</v>
      </c>
      <c r="H40">
        <v>-0.5</v>
      </c>
    </row>
    <row r="41" spans="1:8" x14ac:dyDescent="0.3">
      <c r="A41" s="15">
        <v>41661</v>
      </c>
      <c r="B41" s="16">
        <v>0.56000000000000005</v>
      </c>
      <c r="C41" s="17">
        <f t="shared" si="0"/>
        <v>14.224</v>
      </c>
      <c r="D41" s="18">
        <f t="shared" si="1"/>
        <v>6.7534117647058789</v>
      </c>
      <c r="E41" s="18">
        <f t="shared" si="2"/>
        <v>19.084278462467395</v>
      </c>
      <c r="F41" s="18">
        <f t="shared" si="3"/>
        <v>7.4705882352941213</v>
      </c>
      <c r="G41" s="19">
        <f t="shared" si="4"/>
        <v>0.39145248535260857</v>
      </c>
      <c r="H41">
        <v>-0.5</v>
      </c>
    </row>
    <row r="42" spans="1:8" x14ac:dyDescent="0.3">
      <c r="A42" s="15">
        <v>41692</v>
      </c>
      <c r="B42" s="16">
        <v>0.06</v>
      </c>
      <c r="C42" s="17">
        <f t="shared" si="0"/>
        <v>1.5239999999999998</v>
      </c>
      <c r="D42" s="18">
        <f t="shared" si="1"/>
        <v>6.7534117647058789</v>
      </c>
      <c r="E42" s="18">
        <f t="shared" si="2"/>
        <v>19.084278462467395</v>
      </c>
      <c r="F42" s="18">
        <f t="shared" si="3"/>
        <v>-5.2294117647058789</v>
      </c>
      <c r="G42" s="19">
        <f t="shared" si="4"/>
        <v>-0.27401673974682567</v>
      </c>
      <c r="H42">
        <v>-0.5</v>
      </c>
    </row>
    <row r="43" spans="1:8" x14ac:dyDescent="0.3">
      <c r="A43" s="15">
        <v>41720</v>
      </c>
      <c r="B43" s="16">
        <v>0.9</v>
      </c>
      <c r="C43" s="17">
        <f t="shared" si="0"/>
        <v>22.86</v>
      </c>
      <c r="D43" s="18">
        <f t="shared" si="1"/>
        <v>6.7534117647058789</v>
      </c>
      <c r="E43" s="18">
        <f t="shared" si="2"/>
        <v>19.084278462467395</v>
      </c>
      <c r="F43" s="18">
        <f t="shared" si="3"/>
        <v>16.106588235294119</v>
      </c>
      <c r="G43" s="19">
        <f t="shared" si="4"/>
        <v>0.84397155842022376</v>
      </c>
      <c r="H43">
        <v>-0.5</v>
      </c>
    </row>
    <row r="44" spans="1:8" x14ac:dyDescent="0.3">
      <c r="A44" s="15">
        <v>41751</v>
      </c>
      <c r="B44" s="16">
        <v>0.09</v>
      </c>
      <c r="C44" s="17">
        <f t="shared" si="0"/>
        <v>2.2859999999999996</v>
      </c>
      <c r="D44" s="18">
        <f t="shared" si="1"/>
        <v>6.7534117647058789</v>
      </c>
      <c r="E44" s="18">
        <f t="shared" si="2"/>
        <v>19.084278462467395</v>
      </c>
      <c r="F44" s="18">
        <f t="shared" si="3"/>
        <v>-4.4674117647058793</v>
      </c>
      <c r="G44" s="19">
        <f t="shared" si="4"/>
        <v>-0.23408858624085965</v>
      </c>
      <c r="H44">
        <v>-0.5</v>
      </c>
    </row>
    <row r="45" spans="1:8" x14ac:dyDescent="0.3">
      <c r="A45" s="15">
        <v>41781</v>
      </c>
      <c r="B45" s="16">
        <v>0.14000000000000001</v>
      </c>
      <c r="C45" s="17">
        <f t="shared" si="0"/>
        <v>3.556</v>
      </c>
      <c r="D45" s="18">
        <f t="shared" si="1"/>
        <v>6.7534117647058789</v>
      </c>
      <c r="E45" s="18">
        <f t="shared" si="2"/>
        <v>19.084278462467395</v>
      </c>
      <c r="F45" s="18">
        <f t="shared" si="3"/>
        <v>-3.1974117647058788</v>
      </c>
      <c r="G45" s="19">
        <f t="shared" si="4"/>
        <v>-0.1675416637309162</v>
      </c>
      <c r="H45">
        <v>-0.5</v>
      </c>
    </row>
    <row r="46" spans="1:8" x14ac:dyDescent="0.3">
      <c r="A46" s="15">
        <v>41812</v>
      </c>
      <c r="B46" s="16">
        <v>0.05</v>
      </c>
      <c r="C46" s="17">
        <f t="shared" si="0"/>
        <v>1.27</v>
      </c>
      <c r="D46" s="18">
        <f t="shared" si="1"/>
        <v>6.7534117647058789</v>
      </c>
      <c r="E46" s="18">
        <f t="shared" si="2"/>
        <v>19.084278462467395</v>
      </c>
      <c r="F46" s="18">
        <f t="shared" si="3"/>
        <v>-5.4834117647058793</v>
      </c>
      <c r="G46" s="19">
        <f t="shared" si="4"/>
        <v>-0.28732612424881437</v>
      </c>
      <c r="H46">
        <v>-0.5</v>
      </c>
    </row>
    <row r="47" spans="1:8" x14ac:dyDescent="0.3">
      <c r="A47" s="15">
        <v>41842</v>
      </c>
      <c r="B47" s="16">
        <v>7.0000000000000007E-2</v>
      </c>
      <c r="C47" s="17">
        <f t="shared" si="0"/>
        <v>1.778</v>
      </c>
      <c r="D47" s="18">
        <f t="shared" si="1"/>
        <v>6.7534117647058789</v>
      </c>
      <c r="E47" s="18">
        <f t="shared" si="2"/>
        <v>19.084278462467395</v>
      </c>
      <c r="F47" s="18">
        <f t="shared" si="3"/>
        <v>-4.9754117647058784</v>
      </c>
      <c r="G47" s="19">
        <f t="shared" si="4"/>
        <v>-0.26070735524483696</v>
      </c>
      <c r="H47">
        <v>-0.5</v>
      </c>
    </row>
    <row r="48" spans="1:8" x14ac:dyDescent="0.3">
      <c r="A48" s="15">
        <v>41873</v>
      </c>
      <c r="B48" s="16">
        <v>0.04</v>
      </c>
      <c r="C48" s="17">
        <f t="shared" si="0"/>
        <v>1.016</v>
      </c>
      <c r="D48" s="18">
        <f t="shared" si="1"/>
        <v>6.7534117647058789</v>
      </c>
      <c r="E48" s="18">
        <f t="shared" si="2"/>
        <v>19.084278462467395</v>
      </c>
      <c r="F48" s="18">
        <f t="shared" si="3"/>
        <v>-5.7374117647058789</v>
      </c>
      <c r="G48" s="19">
        <f t="shared" si="4"/>
        <v>-0.30063550875080303</v>
      </c>
      <c r="H48">
        <v>-0.5</v>
      </c>
    </row>
    <row r="49" spans="1:8" x14ac:dyDescent="0.3">
      <c r="A49" s="15">
        <v>41904</v>
      </c>
      <c r="B49" s="16">
        <v>0.05</v>
      </c>
      <c r="C49" s="17">
        <f t="shared" si="0"/>
        <v>1.27</v>
      </c>
      <c r="D49" s="18">
        <f t="shared" si="1"/>
        <v>6.7534117647058789</v>
      </c>
      <c r="E49" s="18">
        <f t="shared" si="2"/>
        <v>19.084278462467395</v>
      </c>
      <c r="F49" s="18">
        <f t="shared" si="3"/>
        <v>-5.4834117647058793</v>
      </c>
      <c r="G49" s="19">
        <f t="shared" si="4"/>
        <v>-0.28732612424881437</v>
      </c>
      <c r="H49">
        <v>-0.5</v>
      </c>
    </row>
    <row r="50" spans="1:8" x14ac:dyDescent="0.3">
      <c r="A50" s="15">
        <v>41934</v>
      </c>
      <c r="B50" s="16">
        <v>0.05</v>
      </c>
      <c r="C50" s="17">
        <f t="shared" si="0"/>
        <v>1.27</v>
      </c>
      <c r="D50" s="18">
        <f t="shared" si="1"/>
        <v>6.7534117647058789</v>
      </c>
      <c r="E50" s="18">
        <f t="shared" si="2"/>
        <v>19.084278462467395</v>
      </c>
      <c r="F50" s="18">
        <f t="shared" si="3"/>
        <v>-5.4834117647058793</v>
      </c>
      <c r="G50" s="19">
        <f t="shared" si="4"/>
        <v>-0.28732612424881437</v>
      </c>
      <c r="H50">
        <v>-0.5</v>
      </c>
    </row>
    <row r="51" spans="1:8" x14ac:dyDescent="0.3">
      <c r="A51" s="15">
        <v>41965</v>
      </c>
      <c r="B51" s="16">
        <v>0.13</v>
      </c>
      <c r="C51" s="17">
        <f t="shared" si="0"/>
        <v>3.302</v>
      </c>
      <c r="D51" s="18">
        <f t="shared" si="1"/>
        <v>6.7534117647058789</v>
      </c>
      <c r="E51" s="18">
        <f t="shared" si="2"/>
        <v>19.084278462467395</v>
      </c>
      <c r="F51" s="18">
        <f t="shared" si="3"/>
        <v>-3.4514117647058788</v>
      </c>
      <c r="G51" s="19">
        <f t="shared" si="4"/>
        <v>-0.18085104823290488</v>
      </c>
      <c r="H51">
        <v>-0.5</v>
      </c>
    </row>
    <row r="52" spans="1:8" x14ac:dyDescent="0.3">
      <c r="A52" s="15">
        <v>41995</v>
      </c>
      <c r="B52" s="16">
        <v>0.97</v>
      </c>
      <c r="C52" s="17">
        <f t="shared" si="0"/>
        <v>24.637999999999998</v>
      </c>
      <c r="D52" s="18">
        <f t="shared" si="1"/>
        <v>6.7534117647058789</v>
      </c>
      <c r="E52" s="18">
        <f t="shared" si="2"/>
        <v>19.084278462467395</v>
      </c>
      <c r="F52" s="18">
        <f t="shared" si="3"/>
        <v>17.884588235294117</v>
      </c>
      <c r="G52" s="19">
        <f t="shared" si="4"/>
        <v>0.93713724993414449</v>
      </c>
      <c r="H52">
        <v>-0.5</v>
      </c>
    </row>
    <row r="53" spans="1:8" x14ac:dyDescent="0.3">
      <c r="A53" s="15">
        <v>42026</v>
      </c>
      <c r="B53" s="16">
        <v>-0.02</v>
      </c>
      <c r="C53" s="17">
        <f t="shared" si="0"/>
        <v>-0.50800000000000001</v>
      </c>
      <c r="D53" s="18">
        <f t="shared" si="1"/>
        <v>6.7534117647058789</v>
      </c>
      <c r="E53" s="18">
        <f t="shared" si="2"/>
        <v>19.084278462467395</v>
      </c>
      <c r="F53" s="18">
        <f t="shared" si="3"/>
        <v>-7.2614117647058789</v>
      </c>
      <c r="G53" s="19">
        <f t="shared" si="4"/>
        <v>-0.38049181576273516</v>
      </c>
      <c r="H53">
        <v>-0.5</v>
      </c>
    </row>
    <row r="54" spans="1:8" x14ac:dyDescent="0.3">
      <c r="A54" s="15">
        <v>42057</v>
      </c>
      <c r="B54" s="16">
        <v>0.01</v>
      </c>
      <c r="C54" s="17">
        <f t="shared" si="0"/>
        <v>0.254</v>
      </c>
      <c r="D54" s="18">
        <f t="shared" si="1"/>
        <v>6.7534117647058789</v>
      </c>
      <c r="E54" s="18">
        <f t="shared" si="2"/>
        <v>19.084278462467395</v>
      </c>
      <c r="F54" s="18">
        <f t="shared" si="3"/>
        <v>-6.4994117647058793</v>
      </c>
      <c r="G54" s="19">
        <f t="shared" si="4"/>
        <v>-0.34056366225676915</v>
      </c>
      <c r="H54">
        <v>-0.5</v>
      </c>
    </row>
    <row r="55" spans="1:8" x14ac:dyDescent="0.3">
      <c r="A55" s="15">
        <v>42085</v>
      </c>
      <c r="B55" s="16">
        <v>0.08</v>
      </c>
      <c r="C55" s="17">
        <f t="shared" si="0"/>
        <v>2.032</v>
      </c>
      <c r="D55" s="18">
        <f t="shared" si="1"/>
        <v>6.7534117647058789</v>
      </c>
      <c r="E55" s="18">
        <f t="shared" si="2"/>
        <v>19.084278462467395</v>
      </c>
      <c r="F55" s="18">
        <f t="shared" si="3"/>
        <v>-4.7214117647058789</v>
      </c>
      <c r="G55" s="19">
        <f t="shared" si="4"/>
        <v>-0.24739797074284831</v>
      </c>
      <c r="H55">
        <v>-0.5</v>
      </c>
    </row>
    <row r="56" spans="1:8" x14ac:dyDescent="0.3">
      <c r="A56" s="15">
        <v>42116</v>
      </c>
      <c r="B56" s="16">
        <v>0.06</v>
      </c>
      <c r="C56" s="17">
        <f t="shared" si="0"/>
        <v>1.5239999999999998</v>
      </c>
      <c r="D56" s="18">
        <f t="shared" si="1"/>
        <v>6.7534117647058789</v>
      </c>
      <c r="E56" s="18">
        <f t="shared" si="2"/>
        <v>19.084278462467395</v>
      </c>
      <c r="F56" s="18">
        <f t="shared" si="3"/>
        <v>-5.2294117647058789</v>
      </c>
      <c r="G56" s="19">
        <f t="shared" si="4"/>
        <v>-0.27401673974682567</v>
      </c>
      <c r="H56">
        <v>-0.5</v>
      </c>
    </row>
    <row r="57" spans="1:8" x14ac:dyDescent="0.3">
      <c r="A57" s="15">
        <v>42146</v>
      </c>
      <c r="B57" s="16">
        <v>0.03</v>
      </c>
      <c r="C57" s="17">
        <f t="shared" si="0"/>
        <v>0.7619999999999999</v>
      </c>
      <c r="D57" s="18">
        <f t="shared" si="1"/>
        <v>6.7534117647058789</v>
      </c>
      <c r="E57" s="18">
        <f t="shared" si="2"/>
        <v>19.084278462467395</v>
      </c>
      <c r="F57" s="18">
        <f t="shared" si="3"/>
        <v>-5.9914117647058793</v>
      </c>
      <c r="G57" s="19">
        <f t="shared" si="4"/>
        <v>-0.31394489325279173</v>
      </c>
      <c r="H57">
        <v>-0.5</v>
      </c>
    </row>
    <row r="58" spans="1:8" x14ac:dyDescent="0.3">
      <c r="A58" s="15">
        <v>42177</v>
      </c>
      <c r="B58" s="16">
        <v>0.04</v>
      </c>
      <c r="C58" s="17">
        <f t="shared" si="0"/>
        <v>1.016</v>
      </c>
      <c r="D58" s="18">
        <f t="shared" si="1"/>
        <v>6.7534117647058789</v>
      </c>
      <c r="E58" s="18">
        <f t="shared" si="2"/>
        <v>19.084278462467395</v>
      </c>
      <c r="F58" s="18">
        <f t="shared" si="3"/>
        <v>-5.7374117647058789</v>
      </c>
      <c r="G58" s="19">
        <f t="shared" si="4"/>
        <v>-0.30063550875080303</v>
      </c>
      <c r="H58">
        <v>-0.5</v>
      </c>
    </row>
    <row r="59" spans="1:8" x14ac:dyDescent="0.3">
      <c r="A59" s="15">
        <v>42207</v>
      </c>
      <c r="B59" s="16">
        <v>0.03</v>
      </c>
      <c r="C59" s="17">
        <f t="shared" si="0"/>
        <v>0.7619999999999999</v>
      </c>
      <c r="D59" s="18">
        <f t="shared" si="1"/>
        <v>6.7534117647058789</v>
      </c>
      <c r="E59" s="18">
        <f t="shared" si="2"/>
        <v>19.084278462467395</v>
      </c>
      <c r="F59" s="18">
        <f t="shared" si="3"/>
        <v>-5.9914117647058793</v>
      </c>
      <c r="G59" s="19">
        <f t="shared" si="4"/>
        <v>-0.31394489325279173</v>
      </c>
      <c r="H59">
        <v>-0.5</v>
      </c>
    </row>
    <row r="60" spans="1:8" x14ac:dyDescent="0.3">
      <c r="A60" s="15">
        <v>42238</v>
      </c>
      <c r="B60" s="16">
        <v>0.02</v>
      </c>
      <c r="C60" s="17">
        <f t="shared" si="0"/>
        <v>0.50800000000000001</v>
      </c>
      <c r="D60" s="18">
        <f t="shared" si="1"/>
        <v>6.7534117647058789</v>
      </c>
      <c r="E60" s="18">
        <f t="shared" si="2"/>
        <v>19.084278462467395</v>
      </c>
      <c r="F60" s="18">
        <f t="shared" si="3"/>
        <v>-6.2454117647058789</v>
      </c>
      <c r="G60" s="19">
        <f t="shared" si="4"/>
        <v>-0.32725427775478044</v>
      </c>
      <c r="H60">
        <v>-0.5</v>
      </c>
    </row>
    <row r="61" spans="1:8" x14ac:dyDescent="0.3">
      <c r="A61" s="15">
        <v>42269</v>
      </c>
      <c r="B61" s="16">
        <v>0.02</v>
      </c>
      <c r="C61" s="17">
        <f t="shared" si="0"/>
        <v>0.50800000000000001</v>
      </c>
      <c r="D61" s="18">
        <f t="shared" si="1"/>
        <v>6.7534117647058789</v>
      </c>
      <c r="E61" s="18">
        <f t="shared" si="2"/>
        <v>19.084278462467395</v>
      </c>
      <c r="F61" s="18">
        <f t="shared" si="3"/>
        <v>-6.2454117647058789</v>
      </c>
      <c r="G61" s="19">
        <f t="shared" si="4"/>
        <v>-0.32725427775478044</v>
      </c>
      <c r="H61">
        <v>-0.5</v>
      </c>
    </row>
    <row r="62" spans="1:8" x14ac:dyDescent="0.3">
      <c r="A62" s="15">
        <v>42299</v>
      </c>
      <c r="B62" s="16">
        <v>0.02</v>
      </c>
      <c r="C62" s="17">
        <f t="shared" si="0"/>
        <v>0.50800000000000001</v>
      </c>
      <c r="D62" s="18">
        <f t="shared" si="1"/>
        <v>6.7534117647058789</v>
      </c>
      <c r="E62" s="18">
        <f t="shared" si="2"/>
        <v>19.084278462467395</v>
      </c>
      <c r="F62" s="18">
        <f t="shared" si="3"/>
        <v>-6.2454117647058789</v>
      </c>
      <c r="G62" s="19">
        <f t="shared" si="4"/>
        <v>-0.32725427775478044</v>
      </c>
      <c r="H62">
        <v>-0.5</v>
      </c>
    </row>
    <row r="63" spans="1:8" x14ac:dyDescent="0.3">
      <c r="A63" s="15">
        <v>42330</v>
      </c>
      <c r="B63" s="16">
        <v>0</v>
      </c>
      <c r="C63" s="17">
        <f t="shared" si="0"/>
        <v>0</v>
      </c>
      <c r="D63" s="18">
        <f t="shared" si="1"/>
        <v>6.7534117647058789</v>
      </c>
      <c r="E63" s="18">
        <f t="shared" si="2"/>
        <v>19.084278462467395</v>
      </c>
      <c r="F63" s="18">
        <f t="shared" si="3"/>
        <v>-6.7534117647058789</v>
      </c>
      <c r="G63" s="19">
        <f t="shared" si="4"/>
        <v>-0.3538730467587578</v>
      </c>
      <c r="H63">
        <v>-0.5</v>
      </c>
    </row>
    <row r="64" spans="1:8" x14ac:dyDescent="0.3">
      <c r="A64" s="15">
        <v>42360</v>
      </c>
      <c r="B64" s="16">
        <v>0.03</v>
      </c>
      <c r="C64" s="17">
        <f t="shared" si="0"/>
        <v>0.7619999999999999</v>
      </c>
      <c r="D64" s="18">
        <f t="shared" si="1"/>
        <v>6.7534117647058789</v>
      </c>
      <c r="E64" s="18">
        <f t="shared" si="2"/>
        <v>19.084278462467395</v>
      </c>
      <c r="F64" s="18">
        <f t="shared" si="3"/>
        <v>-5.9914117647058793</v>
      </c>
      <c r="G64" s="19">
        <f t="shared" si="4"/>
        <v>-0.31394489325279173</v>
      </c>
      <c r="H64">
        <v>-0.5</v>
      </c>
    </row>
    <row r="65" spans="1:8" x14ac:dyDescent="0.3">
      <c r="A65" s="15">
        <v>42391</v>
      </c>
      <c r="B65" s="16">
        <v>0.11</v>
      </c>
      <c r="C65" s="17">
        <f t="shared" si="0"/>
        <v>2.794</v>
      </c>
      <c r="D65" s="18">
        <f t="shared" si="1"/>
        <v>6.7534117647058789</v>
      </c>
      <c r="E65" s="18">
        <f t="shared" si="2"/>
        <v>19.084278462467395</v>
      </c>
      <c r="F65" s="18">
        <f t="shared" si="3"/>
        <v>-3.9594117647058789</v>
      </c>
      <c r="G65" s="19">
        <f t="shared" si="4"/>
        <v>-0.20746981723688226</v>
      </c>
      <c r="H65">
        <v>-0.5</v>
      </c>
    </row>
    <row r="66" spans="1:8" x14ac:dyDescent="0.3">
      <c r="A66" s="15">
        <v>42422</v>
      </c>
      <c r="B66" s="16">
        <v>0.04</v>
      </c>
      <c r="C66" s="17">
        <f t="shared" si="0"/>
        <v>1.016</v>
      </c>
      <c r="D66" s="18">
        <f t="shared" si="1"/>
        <v>6.7534117647058789</v>
      </c>
      <c r="E66" s="18">
        <f t="shared" si="2"/>
        <v>19.084278462467395</v>
      </c>
      <c r="F66" s="18">
        <f t="shared" si="3"/>
        <v>-5.7374117647058789</v>
      </c>
      <c r="G66" s="19">
        <f t="shared" si="4"/>
        <v>-0.30063550875080303</v>
      </c>
      <c r="H66">
        <v>-0.5</v>
      </c>
    </row>
    <row r="67" spans="1:8" x14ac:dyDescent="0.3">
      <c r="A67" s="15">
        <v>42451</v>
      </c>
      <c r="B67" s="16">
        <v>0.16</v>
      </c>
      <c r="C67" s="17">
        <f t="shared" si="0"/>
        <v>4.0640000000000001</v>
      </c>
      <c r="D67" s="18">
        <f t="shared" si="1"/>
        <v>6.7534117647058789</v>
      </c>
      <c r="E67" s="18">
        <f t="shared" si="2"/>
        <v>19.084278462467395</v>
      </c>
      <c r="F67" s="18">
        <f t="shared" si="3"/>
        <v>-2.6894117647058788</v>
      </c>
      <c r="G67" s="19">
        <f t="shared" si="4"/>
        <v>-0.14092289472693884</v>
      </c>
      <c r="H67">
        <v>-0.5</v>
      </c>
    </row>
    <row r="68" spans="1:8" x14ac:dyDescent="0.3">
      <c r="A68" s="15">
        <v>42482</v>
      </c>
      <c r="B68" s="16">
        <v>0.03</v>
      </c>
      <c r="C68" s="17">
        <f t="shared" si="0"/>
        <v>0.7619999999999999</v>
      </c>
      <c r="D68" s="18">
        <f t="shared" si="1"/>
        <v>6.7534117647058789</v>
      </c>
      <c r="E68" s="18">
        <f t="shared" si="2"/>
        <v>19.084278462467395</v>
      </c>
      <c r="F68" s="18">
        <f t="shared" si="3"/>
        <v>-5.9914117647058793</v>
      </c>
      <c r="G68" s="19">
        <f t="shared" si="4"/>
        <v>-0.31394489325279173</v>
      </c>
      <c r="H68">
        <v>-0.5</v>
      </c>
    </row>
    <row r="69" spans="1:8" x14ac:dyDescent="0.3">
      <c r="A69" s="15">
        <v>42512</v>
      </c>
      <c r="B69" s="16">
        <v>0.05</v>
      </c>
      <c r="C69" s="17">
        <f t="shared" ref="C69:C132" si="5">$D$1*B69</f>
        <v>1.27</v>
      </c>
      <c r="D69" s="18">
        <f t="shared" si="1"/>
        <v>6.7534117647058789</v>
      </c>
      <c r="E69" s="18">
        <f t="shared" si="2"/>
        <v>19.084278462467395</v>
      </c>
      <c r="F69" s="18">
        <f t="shared" si="3"/>
        <v>-5.4834117647058793</v>
      </c>
      <c r="G69" s="19">
        <f t="shared" si="4"/>
        <v>-0.28732612424881437</v>
      </c>
      <c r="H69">
        <v>-0.5</v>
      </c>
    </row>
    <row r="70" spans="1:8" x14ac:dyDescent="0.3">
      <c r="A70" s="15">
        <v>42543</v>
      </c>
      <c r="B70" s="16">
        <v>0.02</v>
      </c>
      <c r="C70" s="17">
        <f t="shared" si="5"/>
        <v>0.50800000000000001</v>
      </c>
      <c r="D70" s="18">
        <f t="shared" ref="D70:D133" si="6">AVERAGE($C$5:$C$174)</f>
        <v>6.7534117647058789</v>
      </c>
      <c r="E70" s="18">
        <f t="shared" ref="E70:E133" si="7">_xlfn.STDEV.S($C$5:$C$174)</f>
        <v>19.084278462467395</v>
      </c>
      <c r="F70" s="18">
        <f t="shared" ref="F70:F133" si="8">C70-D70</f>
        <v>-6.2454117647058789</v>
      </c>
      <c r="G70" s="19">
        <f t="shared" ref="G70:G133" si="9">F70/E70</f>
        <v>-0.32725427775478044</v>
      </c>
      <c r="H70">
        <v>-0.5</v>
      </c>
    </row>
    <row r="71" spans="1:8" x14ac:dyDescent="0.3">
      <c r="A71" s="15">
        <v>42573</v>
      </c>
      <c r="B71" s="16">
        <v>0.02</v>
      </c>
      <c r="C71" s="17">
        <f t="shared" si="5"/>
        <v>0.50800000000000001</v>
      </c>
      <c r="D71" s="18">
        <f t="shared" si="6"/>
        <v>6.7534117647058789</v>
      </c>
      <c r="E71" s="18">
        <f t="shared" si="7"/>
        <v>19.084278462467395</v>
      </c>
      <c r="F71" s="18">
        <f t="shared" si="8"/>
        <v>-6.2454117647058789</v>
      </c>
      <c r="G71" s="19">
        <f t="shared" si="9"/>
        <v>-0.32725427775478044</v>
      </c>
      <c r="H71">
        <v>-0.5</v>
      </c>
    </row>
    <row r="72" spans="1:8" x14ac:dyDescent="0.3">
      <c r="A72" s="15">
        <v>42604</v>
      </c>
      <c r="B72" s="16">
        <v>0.01</v>
      </c>
      <c r="C72" s="17">
        <f t="shared" si="5"/>
        <v>0.254</v>
      </c>
      <c r="D72" s="18">
        <f t="shared" si="6"/>
        <v>6.7534117647058789</v>
      </c>
      <c r="E72" s="18">
        <f t="shared" si="7"/>
        <v>19.084278462467395</v>
      </c>
      <c r="F72" s="18">
        <f t="shared" si="8"/>
        <v>-6.4994117647058793</v>
      </c>
      <c r="G72" s="19">
        <f t="shared" si="9"/>
        <v>-0.34056366225676915</v>
      </c>
      <c r="H72">
        <v>-0.5</v>
      </c>
    </row>
    <row r="73" spans="1:8" x14ac:dyDescent="0.3">
      <c r="A73" s="15">
        <v>42635</v>
      </c>
      <c r="B73" s="16">
        <v>0.01</v>
      </c>
      <c r="C73" s="17">
        <f t="shared" si="5"/>
        <v>0.254</v>
      </c>
      <c r="D73" s="18">
        <f t="shared" si="6"/>
        <v>6.7534117647058789</v>
      </c>
      <c r="E73" s="18">
        <f t="shared" si="7"/>
        <v>19.084278462467395</v>
      </c>
      <c r="F73" s="18">
        <f t="shared" si="8"/>
        <v>-6.4994117647058793</v>
      </c>
      <c r="G73" s="19">
        <f t="shared" si="9"/>
        <v>-0.34056366225676915</v>
      </c>
      <c r="H73">
        <v>-0.5</v>
      </c>
    </row>
    <row r="74" spans="1:8" x14ac:dyDescent="0.3">
      <c r="A74" s="15">
        <v>42665</v>
      </c>
      <c r="B74" s="16">
        <v>0.02</v>
      </c>
      <c r="C74" s="17">
        <f t="shared" si="5"/>
        <v>0.50800000000000001</v>
      </c>
      <c r="D74" s="18">
        <f t="shared" si="6"/>
        <v>6.7534117647058789</v>
      </c>
      <c r="E74" s="18">
        <f t="shared" si="7"/>
        <v>19.084278462467395</v>
      </c>
      <c r="F74" s="18">
        <f t="shared" si="8"/>
        <v>-6.2454117647058789</v>
      </c>
      <c r="G74" s="19">
        <f t="shared" si="9"/>
        <v>-0.32725427775478044</v>
      </c>
      <c r="H74">
        <v>-0.5</v>
      </c>
    </row>
    <row r="75" spans="1:8" x14ac:dyDescent="0.3">
      <c r="A75" s="15">
        <v>42696</v>
      </c>
      <c r="B75" s="16">
        <v>0.15</v>
      </c>
      <c r="C75" s="17">
        <f t="shared" si="5"/>
        <v>3.8099999999999996</v>
      </c>
      <c r="D75" s="18">
        <f t="shared" si="6"/>
        <v>6.7534117647058789</v>
      </c>
      <c r="E75" s="18">
        <f t="shared" si="7"/>
        <v>19.084278462467395</v>
      </c>
      <c r="F75" s="18">
        <f t="shared" si="8"/>
        <v>-2.9434117647058793</v>
      </c>
      <c r="G75" s="19">
        <f t="shared" si="9"/>
        <v>-0.15423227922892754</v>
      </c>
      <c r="H75">
        <v>-0.5</v>
      </c>
    </row>
    <row r="76" spans="1:8" x14ac:dyDescent="0.3">
      <c r="A76" s="15">
        <v>42726</v>
      </c>
      <c r="B76" s="16">
        <v>0.09</v>
      </c>
      <c r="C76" s="17">
        <f t="shared" si="5"/>
        <v>2.2859999999999996</v>
      </c>
      <c r="D76" s="18">
        <f t="shared" si="6"/>
        <v>6.7534117647058789</v>
      </c>
      <c r="E76" s="18">
        <f t="shared" si="7"/>
        <v>19.084278462467395</v>
      </c>
      <c r="F76" s="18">
        <f t="shared" si="8"/>
        <v>-4.4674117647058793</v>
      </c>
      <c r="G76" s="19">
        <f t="shared" si="9"/>
        <v>-0.23408858624085965</v>
      </c>
      <c r="H76">
        <v>-0.5</v>
      </c>
    </row>
    <row r="77" spans="1:8" x14ac:dyDescent="0.3">
      <c r="A77" s="15">
        <v>42757</v>
      </c>
      <c r="B77" s="16">
        <v>0.09</v>
      </c>
      <c r="C77" s="17">
        <f t="shared" si="5"/>
        <v>2.2859999999999996</v>
      </c>
      <c r="D77" s="18">
        <f t="shared" si="6"/>
        <v>6.7534117647058789</v>
      </c>
      <c r="E77" s="18">
        <f t="shared" si="7"/>
        <v>19.084278462467395</v>
      </c>
      <c r="F77" s="18">
        <f t="shared" si="8"/>
        <v>-4.4674117647058793</v>
      </c>
      <c r="G77" s="19">
        <f t="shared" si="9"/>
        <v>-0.23408858624085965</v>
      </c>
      <c r="H77">
        <v>-0.5</v>
      </c>
    </row>
    <row r="78" spans="1:8" x14ac:dyDescent="0.3">
      <c r="A78" s="15">
        <v>42788</v>
      </c>
      <c r="B78" s="16">
        <v>0.14000000000000001</v>
      </c>
      <c r="C78" s="17">
        <f t="shared" si="5"/>
        <v>3.556</v>
      </c>
      <c r="D78" s="18">
        <f t="shared" si="6"/>
        <v>6.7534117647058789</v>
      </c>
      <c r="E78" s="18">
        <f t="shared" si="7"/>
        <v>19.084278462467395</v>
      </c>
      <c r="F78" s="18">
        <f t="shared" si="8"/>
        <v>-3.1974117647058788</v>
      </c>
      <c r="G78" s="19">
        <f t="shared" si="9"/>
        <v>-0.1675416637309162</v>
      </c>
      <c r="H78">
        <v>-0.5</v>
      </c>
    </row>
    <row r="79" spans="1:8" x14ac:dyDescent="0.3">
      <c r="A79" s="15">
        <v>42816</v>
      </c>
      <c r="B79" s="16">
        <v>0.11</v>
      </c>
      <c r="C79" s="17">
        <f t="shared" si="5"/>
        <v>2.794</v>
      </c>
      <c r="D79" s="18">
        <f t="shared" si="6"/>
        <v>6.7534117647058789</v>
      </c>
      <c r="E79" s="18">
        <f t="shared" si="7"/>
        <v>19.084278462467395</v>
      </c>
      <c r="F79" s="18">
        <f t="shared" si="8"/>
        <v>-3.9594117647058789</v>
      </c>
      <c r="G79" s="19">
        <f t="shared" si="9"/>
        <v>-0.20746981723688226</v>
      </c>
      <c r="H79">
        <v>-0.5</v>
      </c>
    </row>
    <row r="80" spans="1:8" x14ac:dyDescent="0.3">
      <c r="A80" s="15">
        <v>42847</v>
      </c>
      <c r="B80" s="16">
        <v>0.02</v>
      </c>
      <c r="C80" s="17">
        <f t="shared" si="5"/>
        <v>0.50800000000000001</v>
      </c>
      <c r="D80" s="18">
        <f t="shared" si="6"/>
        <v>6.7534117647058789</v>
      </c>
      <c r="E80" s="18">
        <f t="shared" si="7"/>
        <v>19.084278462467395</v>
      </c>
      <c r="F80" s="18">
        <f t="shared" si="8"/>
        <v>-6.2454117647058789</v>
      </c>
      <c r="G80" s="19">
        <f t="shared" si="9"/>
        <v>-0.32725427775478044</v>
      </c>
      <c r="H80">
        <v>-0.5</v>
      </c>
    </row>
    <row r="81" spans="1:8" x14ac:dyDescent="0.3">
      <c r="A81" s="15">
        <v>42877</v>
      </c>
      <c r="B81" s="16">
        <v>0.04</v>
      </c>
      <c r="C81" s="17">
        <f t="shared" si="5"/>
        <v>1.016</v>
      </c>
      <c r="D81" s="18">
        <f t="shared" si="6"/>
        <v>6.7534117647058789</v>
      </c>
      <c r="E81" s="18">
        <f t="shared" si="7"/>
        <v>19.084278462467395</v>
      </c>
      <c r="F81" s="18">
        <f t="shared" si="8"/>
        <v>-5.7374117647058789</v>
      </c>
      <c r="G81" s="19">
        <f t="shared" si="9"/>
        <v>-0.30063550875080303</v>
      </c>
      <c r="H81">
        <v>-0.5</v>
      </c>
    </row>
    <row r="82" spans="1:8" x14ac:dyDescent="0.3">
      <c r="A82" s="15">
        <v>42908</v>
      </c>
      <c r="B82" s="16">
        <v>0.03</v>
      </c>
      <c r="C82" s="17">
        <f t="shared" si="5"/>
        <v>0.7619999999999999</v>
      </c>
      <c r="D82" s="18">
        <f t="shared" si="6"/>
        <v>6.7534117647058789</v>
      </c>
      <c r="E82" s="18">
        <f t="shared" si="7"/>
        <v>19.084278462467395</v>
      </c>
      <c r="F82" s="18">
        <f t="shared" si="8"/>
        <v>-5.9914117647058793</v>
      </c>
      <c r="G82" s="19">
        <f t="shared" si="9"/>
        <v>-0.31394489325279173</v>
      </c>
      <c r="H82">
        <v>-0.5</v>
      </c>
    </row>
    <row r="83" spans="1:8" x14ac:dyDescent="0.3">
      <c r="A83" s="15">
        <v>42938</v>
      </c>
      <c r="B83" s="16">
        <v>0.05</v>
      </c>
      <c r="C83" s="17">
        <f t="shared" si="5"/>
        <v>1.27</v>
      </c>
      <c r="D83" s="18">
        <f t="shared" si="6"/>
        <v>6.7534117647058789</v>
      </c>
      <c r="E83" s="18">
        <f t="shared" si="7"/>
        <v>19.084278462467395</v>
      </c>
      <c r="F83" s="18">
        <f t="shared" si="8"/>
        <v>-5.4834117647058793</v>
      </c>
      <c r="G83" s="19">
        <f t="shared" si="9"/>
        <v>-0.28732612424881437</v>
      </c>
      <c r="H83">
        <v>-0.5</v>
      </c>
    </row>
    <row r="84" spans="1:8" x14ac:dyDescent="0.3">
      <c r="A84" s="15">
        <v>42969</v>
      </c>
      <c r="B84" s="16">
        <v>0.03</v>
      </c>
      <c r="C84" s="17">
        <f t="shared" si="5"/>
        <v>0.7619999999999999</v>
      </c>
      <c r="D84" s="18">
        <f t="shared" si="6"/>
        <v>6.7534117647058789</v>
      </c>
      <c r="E84" s="18">
        <f t="shared" si="7"/>
        <v>19.084278462467395</v>
      </c>
      <c r="F84" s="18">
        <f t="shared" si="8"/>
        <v>-5.9914117647058793</v>
      </c>
      <c r="G84" s="19">
        <f t="shared" si="9"/>
        <v>-0.31394489325279173</v>
      </c>
      <c r="H84">
        <v>-0.5</v>
      </c>
    </row>
    <row r="85" spans="1:8" x14ac:dyDescent="0.3">
      <c r="A85" s="15">
        <v>43000</v>
      </c>
      <c r="B85" s="16">
        <v>0</v>
      </c>
      <c r="C85" s="17">
        <f t="shared" si="5"/>
        <v>0</v>
      </c>
      <c r="D85" s="18">
        <f t="shared" si="6"/>
        <v>6.7534117647058789</v>
      </c>
      <c r="E85" s="18">
        <f t="shared" si="7"/>
        <v>19.084278462467395</v>
      </c>
      <c r="F85" s="18">
        <f t="shared" si="8"/>
        <v>-6.7534117647058789</v>
      </c>
      <c r="G85" s="19">
        <f t="shared" si="9"/>
        <v>-0.3538730467587578</v>
      </c>
      <c r="H85">
        <v>-0.5</v>
      </c>
    </row>
    <row r="86" spans="1:8" x14ac:dyDescent="0.3">
      <c r="A86" s="15">
        <v>43030</v>
      </c>
      <c r="B86" s="16">
        <v>7.0000000000000007E-2</v>
      </c>
      <c r="C86" s="17">
        <f t="shared" si="5"/>
        <v>1.778</v>
      </c>
      <c r="D86" s="18">
        <f t="shared" si="6"/>
        <v>6.7534117647058789</v>
      </c>
      <c r="E86" s="18">
        <f t="shared" si="7"/>
        <v>19.084278462467395</v>
      </c>
      <c r="F86" s="18">
        <f t="shared" si="8"/>
        <v>-4.9754117647058784</v>
      </c>
      <c r="G86" s="19">
        <f t="shared" si="9"/>
        <v>-0.26070735524483696</v>
      </c>
      <c r="H86">
        <v>-0.5</v>
      </c>
    </row>
    <row r="87" spans="1:8" x14ac:dyDescent="0.3">
      <c r="A87" s="15">
        <v>43061</v>
      </c>
      <c r="B87" s="16">
        <v>0.09</v>
      </c>
      <c r="C87" s="17">
        <f t="shared" si="5"/>
        <v>2.2859999999999996</v>
      </c>
      <c r="D87" s="18">
        <f t="shared" si="6"/>
        <v>6.7534117647058789</v>
      </c>
      <c r="E87" s="18">
        <f t="shared" si="7"/>
        <v>19.084278462467395</v>
      </c>
      <c r="F87" s="18">
        <f t="shared" si="8"/>
        <v>-4.4674117647058793</v>
      </c>
      <c r="G87" s="19">
        <f t="shared" si="9"/>
        <v>-0.23408858624085965</v>
      </c>
      <c r="H87">
        <v>-0.5</v>
      </c>
    </row>
    <row r="88" spans="1:8" x14ac:dyDescent="0.3">
      <c r="A88" s="15">
        <v>43091</v>
      </c>
      <c r="B88" s="16">
        <v>0.24</v>
      </c>
      <c r="C88" s="17">
        <f t="shared" si="5"/>
        <v>6.0959999999999992</v>
      </c>
      <c r="D88" s="18">
        <f t="shared" si="6"/>
        <v>6.7534117647058789</v>
      </c>
      <c r="E88" s="18">
        <f t="shared" si="7"/>
        <v>19.084278462467395</v>
      </c>
      <c r="F88" s="18">
        <f t="shared" si="8"/>
        <v>-0.6574117647058797</v>
      </c>
      <c r="G88" s="19">
        <f t="shared" si="9"/>
        <v>-3.44478187110294E-2</v>
      </c>
      <c r="H88">
        <v>-0.5</v>
      </c>
    </row>
    <row r="89" spans="1:8" x14ac:dyDescent="0.3">
      <c r="A89" s="15">
        <v>43122</v>
      </c>
      <c r="B89" s="16">
        <v>0.11</v>
      </c>
      <c r="C89" s="17">
        <f t="shared" si="5"/>
        <v>2.794</v>
      </c>
      <c r="D89" s="18">
        <f t="shared" si="6"/>
        <v>6.7534117647058789</v>
      </c>
      <c r="E89" s="18">
        <f t="shared" si="7"/>
        <v>19.084278462467395</v>
      </c>
      <c r="F89" s="18">
        <f t="shared" si="8"/>
        <v>-3.9594117647058789</v>
      </c>
      <c r="G89" s="19">
        <f t="shared" si="9"/>
        <v>-0.20746981723688226</v>
      </c>
      <c r="H89">
        <v>-0.5</v>
      </c>
    </row>
    <row r="90" spans="1:8" x14ac:dyDescent="0.3">
      <c r="A90" s="15">
        <v>43153</v>
      </c>
      <c r="B90" s="16">
        <v>0.2</v>
      </c>
      <c r="C90" s="17">
        <f t="shared" si="5"/>
        <v>5.08</v>
      </c>
      <c r="D90" s="18">
        <f t="shared" si="6"/>
        <v>6.7534117647058789</v>
      </c>
      <c r="E90" s="18">
        <f t="shared" si="7"/>
        <v>19.084278462467395</v>
      </c>
      <c r="F90" s="18">
        <f t="shared" si="8"/>
        <v>-1.6734117647058788</v>
      </c>
      <c r="G90" s="19">
        <f t="shared" si="9"/>
        <v>-8.7685356718984087E-2</v>
      </c>
      <c r="H90">
        <v>-0.5</v>
      </c>
    </row>
    <row r="91" spans="1:8" x14ac:dyDescent="0.3">
      <c r="A91" s="15">
        <v>43181</v>
      </c>
      <c r="B91" s="16">
        <v>0.3</v>
      </c>
      <c r="C91" s="17">
        <f t="shared" si="5"/>
        <v>7.6199999999999992</v>
      </c>
      <c r="D91" s="18">
        <f t="shared" si="6"/>
        <v>6.7534117647058789</v>
      </c>
      <c r="E91" s="18">
        <f t="shared" si="7"/>
        <v>19.084278462467395</v>
      </c>
      <c r="F91" s="18">
        <f t="shared" si="8"/>
        <v>0.86658823529412032</v>
      </c>
      <c r="G91" s="19">
        <f t="shared" si="9"/>
        <v>4.5408488300902709E-2</v>
      </c>
      <c r="H91">
        <v>-0.5</v>
      </c>
    </row>
    <row r="92" spans="1:8" x14ac:dyDescent="0.3">
      <c r="A92" s="15">
        <v>43212</v>
      </c>
      <c r="B92" s="16">
        <v>0.08</v>
      </c>
      <c r="C92" s="17">
        <f t="shared" si="5"/>
        <v>2.032</v>
      </c>
      <c r="D92" s="18">
        <f t="shared" si="6"/>
        <v>6.7534117647058789</v>
      </c>
      <c r="E92" s="18">
        <f t="shared" si="7"/>
        <v>19.084278462467395</v>
      </c>
      <c r="F92" s="18">
        <f t="shared" si="8"/>
        <v>-4.7214117647058789</v>
      </c>
      <c r="G92" s="19">
        <f t="shared" si="9"/>
        <v>-0.24739797074284831</v>
      </c>
      <c r="H92">
        <v>-0.5</v>
      </c>
    </row>
    <row r="93" spans="1:8" x14ac:dyDescent="0.3">
      <c r="A93" s="15">
        <v>43242</v>
      </c>
      <c r="B93" s="16">
        <v>7.0000000000000007E-2</v>
      </c>
      <c r="C93" s="17">
        <f t="shared" si="5"/>
        <v>1.778</v>
      </c>
      <c r="D93" s="18">
        <f t="shared" si="6"/>
        <v>6.7534117647058789</v>
      </c>
      <c r="E93" s="18">
        <f t="shared" si="7"/>
        <v>19.084278462467395</v>
      </c>
      <c r="F93" s="18">
        <f t="shared" si="8"/>
        <v>-4.9754117647058784</v>
      </c>
      <c r="G93" s="19">
        <f t="shared" si="9"/>
        <v>-0.26070735524483696</v>
      </c>
      <c r="H93">
        <v>-0.5</v>
      </c>
    </row>
    <row r="94" spans="1:8" x14ac:dyDescent="0.3">
      <c r="A94" s="15">
        <v>43273</v>
      </c>
      <c r="B94" s="16">
        <v>0.02</v>
      </c>
      <c r="C94" s="17">
        <f t="shared" si="5"/>
        <v>0.50800000000000001</v>
      </c>
      <c r="D94" s="18">
        <f t="shared" si="6"/>
        <v>6.7534117647058789</v>
      </c>
      <c r="E94" s="18">
        <f t="shared" si="7"/>
        <v>19.084278462467395</v>
      </c>
      <c r="F94" s="18">
        <f t="shared" si="8"/>
        <v>-6.2454117647058789</v>
      </c>
      <c r="G94" s="19">
        <f t="shared" si="9"/>
        <v>-0.32725427775478044</v>
      </c>
      <c r="H94">
        <v>-0.5</v>
      </c>
    </row>
    <row r="95" spans="1:8" x14ac:dyDescent="0.3">
      <c r="A95" s="15">
        <v>43303</v>
      </c>
      <c r="B95" s="16">
        <v>0.03</v>
      </c>
      <c r="C95" s="17">
        <f t="shared" si="5"/>
        <v>0.7619999999999999</v>
      </c>
      <c r="D95" s="18">
        <f t="shared" si="6"/>
        <v>6.7534117647058789</v>
      </c>
      <c r="E95" s="18">
        <f t="shared" si="7"/>
        <v>19.084278462467395</v>
      </c>
      <c r="F95" s="18">
        <f t="shared" si="8"/>
        <v>-5.9914117647058793</v>
      </c>
      <c r="G95" s="19">
        <f t="shared" si="9"/>
        <v>-0.31394489325279173</v>
      </c>
      <c r="H95">
        <v>-0.5</v>
      </c>
    </row>
    <row r="96" spans="1:8" x14ac:dyDescent="0.3">
      <c r="A96" s="15">
        <v>43334</v>
      </c>
      <c r="B96" s="16">
        <v>0.03</v>
      </c>
      <c r="C96" s="17">
        <f t="shared" si="5"/>
        <v>0.7619999999999999</v>
      </c>
      <c r="D96" s="18">
        <f t="shared" si="6"/>
        <v>6.7534117647058789</v>
      </c>
      <c r="E96" s="18">
        <f t="shared" si="7"/>
        <v>19.084278462467395</v>
      </c>
      <c r="F96" s="18">
        <f t="shared" si="8"/>
        <v>-5.9914117647058793</v>
      </c>
      <c r="G96" s="19">
        <f t="shared" si="9"/>
        <v>-0.31394489325279173</v>
      </c>
      <c r="H96">
        <v>-0.5</v>
      </c>
    </row>
    <row r="97" spans="1:8" x14ac:dyDescent="0.3">
      <c r="A97" s="15">
        <v>43365</v>
      </c>
      <c r="B97" s="16">
        <v>0.05</v>
      </c>
      <c r="C97" s="17">
        <f t="shared" si="5"/>
        <v>1.27</v>
      </c>
      <c r="D97" s="18">
        <f t="shared" si="6"/>
        <v>6.7534117647058789</v>
      </c>
      <c r="E97" s="18">
        <f t="shared" si="7"/>
        <v>19.084278462467395</v>
      </c>
      <c r="F97" s="18">
        <f t="shared" si="8"/>
        <v>-5.4834117647058793</v>
      </c>
      <c r="G97" s="19">
        <f t="shared" si="9"/>
        <v>-0.28732612424881437</v>
      </c>
      <c r="H97">
        <v>-0.5</v>
      </c>
    </row>
    <row r="98" spans="1:8" x14ac:dyDescent="0.3">
      <c r="A98" s="15">
        <v>43395</v>
      </c>
      <c r="B98" s="16">
        <v>7.0000000000000007E-2</v>
      </c>
      <c r="C98" s="17">
        <f t="shared" si="5"/>
        <v>1.778</v>
      </c>
      <c r="D98" s="18">
        <f t="shared" si="6"/>
        <v>6.7534117647058789</v>
      </c>
      <c r="E98" s="18">
        <f t="shared" si="7"/>
        <v>19.084278462467395</v>
      </c>
      <c r="F98" s="18">
        <f t="shared" si="8"/>
        <v>-4.9754117647058784</v>
      </c>
      <c r="G98" s="19">
        <f t="shared" si="9"/>
        <v>-0.26070735524483696</v>
      </c>
      <c r="H98">
        <v>-0.5</v>
      </c>
    </row>
    <row r="99" spans="1:8" x14ac:dyDescent="0.3">
      <c r="A99" s="15">
        <v>43426</v>
      </c>
      <c r="B99" s="16">
        <v>0</v>
      </c>
      <c r="C99" s="17">
        <f t="shared" si="5"/>
        <v>0</v>
      </c>
      <c r="D99" s="18">
        <f t="shared" si="6"/>
        <v>6.7534117647058789</v>
      </c>
      <c r="E99" s="18">
        <f t="shared" si="7"/>
        <v>19.084278462467395</v>
      </c>
      <c r="F99" s="18">
        <f t="shared" si="8"/>
        <v>-6.7534117647058789</v>
      </c>
      <c r="G99" s="19">
        <f t="shared" si="9"/>
        <v>-0.3538730467587578</v>
      </c>
      <c r="H99">
        <v>-0.5</v>
      </c>
    </row>
    <row r="100" spans="1:8" x14ac:dyDescent="0.3">
      <c r="A100" s="15">
        <v>43456</v>
      </c>
      <c r="B100" s="16">
        <v>0</v>
      </c>
      <c r="C100" s="17">
        <f t="shared" si="5"/>
        <v>0</v>
      </c>
      <c r="D100" s="18">
        <f t="shared" si="6"/>
        <v>6.7534117647058789</v>
      </c>
      <c r="E100" s="18">
        <f t="shared" si="7"/>
        <v>19.084278462467395</v>
      </c>
      <c r="F100" s="18">
        <f t="shared" si="8"/>
        <v>-6.7534117647058789</v>
      </c>
      <c r="G100" s="19">
        <f t="shared" si="9"/>
        <v>-0.3538730467587578</v>
      </c>
      <c r="H100">
        <v>-0.5</v>
      </c>
    </row>
    <row r="101" spans="1:8" x14ac:dyDescent="0.3">
      <c r="A101" s="15">
        <v>43487</v>
      </c>
      <c r="B101" s="16">
        <v>0</v>
      </c>
      <c r="C101" s="17">
        <f t="shared" si="5"/>
        <v>0</v>
      </c>
      <c r="D101" s="18">
        <f t="shared" si="6"/>
        <v>6.7534117647058789</v>
      </c>
      <c r="E101" s="18">
        <f t="shared" si="7"/>
        <v>19.084278462467395</v>
      </c>
      <c r="F101" s="18">
        <f t="shared" si="8"/>
        <v>-6.7534117647058789</v>
      </c>
      <c r="G101" s="19">
        <f t="shared" si="9"/>
        <v>-0.3538730467587578</v>
      </c>
      <c r="H101">
        <v>-0.5</v>
      </c>
    </row>
    <row r="102" spans="1:8" x14ac:dyDescent="0.3">
      <c r="A102" s="15">
        <v>43518</v>
      </c>
      <c r="B102" s="16">
        <v>0</v>
      </c>
      <c r="C102" s="17">
        <f t="shared" si="5"/>
        <v>0</v>
      </c>
      <c r="D102" s="18">
        <f t="shared" si="6"/>
        <v>6.7534117647058789</v>
      </c>
      <c r="E102" s="18">
        <f t="shared" si="7"/>
        <v>19.084278462467395</v>
      </c>
      <c r="F102" s="18">
        <f t="shared" si="8"/>
        <v>-6.7534117647058789</v>
      </c>
      <c r="G102" s="19">
        <f t="shared" si="9"/>
        <v>-0.3538730467587578</v>
      </c>
      <c r="H102">
        <v>-0.5</v>
      </c>
    </row>
    <row r="103" spans="1:8" x14ac:dyDescent="0.3">
      <c r="A103" s="15">
        <v>43546</v>
      </c>
      <c r="B103" s="16">
        <v>0</v>
      </c>
      <c r="C103" s="17">
        <f t="shared" si="5"/>
        <v>0</v>
      </c>
      <c r="D103" s="18">
        <f t="shared" si="6"/>
        <v>6.7534117647058789</v>
      </c>
      <c r="E103" s="18">
        <f t="shared" si="7"/>
        <v>19.084278462467395</v>
      </c>
      <c r="F103" s="18">
        <f t="shared" si="8"/>
        <v>-6.7534117647058789</v>
      </c>
      <c r="G103" s="19">
        <f t="shared" si="9"/>
        <v>-0.3538730467587578</v>
      </c>
      <c r="H103">
        <v>-0.5</v>
      </c>
    </row>
    <row r="104" spans="1:8" x14ac:dyDescent="0.3">
      <c r="A104" s="15">
        <v>43577</v>
      </c>
      <c r="B104" s="16">
        <v>0</v>
      </c>
      <c r="C104" s="17">
        <f t="shared" si="5"/>
        <v>0</v>
      </c>
      <c r="D104" s="18">
        <f t="shared" si="6"/>
        <v>6.7534117647058789</v>
      </c>
      <c r="E104" s="18">
        <f t="shared" si="7"/>
        <v>19.084278462467395</v>
      </c>
      <c r="F104" s="18">
        <f t="shared" si="8"/>
        <v>-6.7534117647058789</v>
      </c>
      <c r="G104" s="19">
        <f t="shared" si="9"/>
        <v>-0.3538730467587578</v>
      </c>
      <c r="H104">
        <v>-0.5</v>
      </c>
    </row>
    <row r="105" spans="1:8" x14ac:dyDescent="0.3">
      <c r="A105" s="15">
        <v>43607</v>
      </c>
      <c r="B105" s="16">
        <v>0</v>
      </c>
      <c r="C105" s="17">
        <f t="shared" si="5"/>
        <v>0</v>
      </c>
      <c r="D105" s="18">
        <f t="shared" si="6"/>
        <v>6.7534117647058789</v>
      </c>
      <c r="E105" s="18">
        <f t="shared" si="7"/>
        <v>19.084278462467395</v>
      </c>
      <c r="F105" s="18">
        <f t="shared" si="8"/>
        <v>-6.7534117647058789</v>
      </c>
      <c r="G105" s="19">
        <f t="shared" si="9"/>
        <v>-0.3538730467587578</v>
      </c>
      <c r="H105">
        <v>-0.5</v>
      </c>
    </row>
    <row r="106" spans="1:8" x14ac:dyDescent="0.3">
      <c r="A106" s="15">
        <v>43638</v>
      </c>
      <c r="B106" s="16">
        <v>0.04</v>
      </c>
      <c r="C106" s="17">
        <f t="shared" si="5"/>
        <v>1.016</v>
      </c>
      <c r="D106" s="18">
        <f t="shared" si="6"/>
        <v>6.7534117647058789</v>
      </c>
      <c r="E106" s="18">
        <f t="shared" si="7"/>
        <v>19.084278462467395</v>
      </c>
      <c r="F106" s="18">
        <f t="shared" si="8"/>
        <v>-5.7374117647058789</v>
      </c>
      <c r="G106" s="19">
        <f t="shared" si="9"/>
        <v>-0.30063550875080303</v>
      </c>
      <c r="H106">
        <v>-0.5</v>
      </c>
    </row>
    <row r="107" spans="1:8" x14ac:dyDescent="0.3">
      <c r="A107" s="15">
        <v>43668</v>
      </c>
      <c r="B107" s="16">
        <v>0.03</v>
      </c>
      <c r="C107" s="17">
        <f t="shared" si="5"/>
        <v>0.7619999999999999</v>
      </c>
      <c r="D107" s="18">
        <f t="shared" si="6"/>
        <v>6.7534117647058789</v>
      </c>
      <c r="E107" s="18">
        <f t="shared" si="7"/>
        <v>19.084278462467395</v>
      </c>
      <c r="F107" s="18">
        <f t="shared" si="8"/>
        <v>-5.9914117647058793</v>
      </c>
      <c r="G107" s="19">
        <f t="shared" si="9"/>
        <v>-0.31394489325279173</v>
      </c>
      <c r="H107">
        <v>-0.5</v>
      </c>
    </row>
    <row r="108" spans="1:8" x14ac:dyDescent="0.3">
      <c r="A108" s="15">
        <v>43699</v>
      </c>
      <c r="B108" s="16">
        <v>0.03</v>
      </c>
      <c r="C108" s="17">
        <f t="shared" si="5"/>
        <v>0.7619999999999999</v>
      </c>
      <c r="D108" s="18">
        <f t="shared" si="6"/>
        <v>6.7534117647058789</v>
      </c>
      <c r="E108" s="18">
        <f t="shared" si="7"/>
        <v>19.084278462467395</v>
      </c>
      <c r="F108" s="18">
        <f t="shared" si="8"/>
        <v>-5.9914117647058793</v>
      </c>
      <c r="G108" s="19">
        <f t="shared" si="9"/>
        <v>-0.31394489325279173</v>
      </c>
      <c r="H108">
        <v>-0.5</v>
      </c>
    </row>
    <row r="109" spans="1:8" x14ac:dyDescent="0.3">
      <c r="A109" s="15">
        <v>43730</v>
      </c>
      <c r="B109" s="16">
        <v>0.03</v>
      </c>
      <c r="C109" s="17">
        <f t="shared" si="5"/>
        <v>0.7619999999999999</v>
      </c>
      <c r="D109" s="18">
        <f t="shared" si="6"/>
        <v>6.7534117647058789</v>
      </c>
      <c r="E109" s="18">
        <f t="shared" si="7"/>
        <v>19.084278462467395</v>
      </c>
      <c r="F109" s="18">
        <f t="shared" si="8"/>
        <v>-5.9914117647058793</v>
      </c>
      <c r="G109" s="19">
        <f t="shared" si="9"/>
        <v>-0.31394489325279173</v>
      </c>
      <c r="H109">
        <v>-0.5</v>
      </c>
    </row>
    <row r="110" spans="1:8" x14ac:dyDescent="0.3">
      <c r="A110" s="15">
        <v>43760</v>
      </c>
      <c r="B110" s="16">
        <v>0.03</v>
      </c>
      <c r="C110" s="17">
        <f t="shared" si="5"/>
        <v>0.7619999999999999</v>
      </c>
      <c r="D110" s="18">
        <f t="shared" si="6"/>
        <v>6.7534117647058789</v>
      </c>
      <c r="E110" s="18">
        <f t="shared" si="7"/>
        <v>19.084278462467395</v>
      </c>
      <c r="F110" s="18">
        <f t="shared" si="8"/>
        <v>-5.9914117647058793</v>
      </c>
      <c r="G110" s="19">
        <f t="shared" si="9"/>
        <v>-0.31394489325279173</v>
      </c>
      <c r="H110">
        <v>-0.5</v>
      </c>
    </row>
    <row r="111" spans="1:8" x14ac:dyDescent="0.3">
      <c r="A111" s="15">
        <v>43791</v>
      </c>
      <c r="B111" s="16">
        <v>0.06</v>
      </c>
      <c r="C111" s="17">
        <f t="shared" si="5"/>
        <v>1.5239999999999998</v>
      </c>
      <c r="D111" s="18">
        <f t="shared" si="6"/>
        <v>6.7534117647058789</v>
      </c>
      <c r="E111" s="18">
        <f t="shared" si="7"/>
        <v>19.084278462467395</v>
      </c>
      <c r="F111" s="18">
        <f t="shared" si="8"/>
        <v>-5.2294117647058789</v>
      </c>
      <c r="G111" s="19">
        <f t="shared" si="9"/>
        <v>-0.27401673974682567</v>
      </c>
      <c r="H111">
        <v>-0.5</v>
      </c>
    </row>
    <row r="112" spans="1:8" x14ac:dyDescent="0.3">
      <c r="A112" s="15">
        <v>43821</v>
      </c>
      <c r="B112" s="16">
        <v>0.11</v>
      </c>
      <c r="C112" s="17">
        <f t="shared" si="5"/>
        <v>2.794</v>
      </c>
      <c r="D112" s="18">
        <f t="shared" si="6"/>
        <v>6.7534117647058789</v>
      </c>
      <c r="E112" s="18">
        <f t="shared" si="7"/>
        <v>19.084278462467395</v>
      </c>
      <c r="F112" s="18">
        <f t="shared" si="8"/>
        <v>-3.9594117647058789</v>
      </c>
      <c r="G112" s="19">
        <f t="shared" si="9"/>
        <v>-0.20746981723688226</v>
      </c>
      <c r="H112">
        <v>-0.5</v>
      </c>
    </row>
    <row r="113" spans="1:8" x14ac:dyDescent="0.3">
      <c r="A113" s="15">
        <v>43852</v>
      </c>
      <c r="B113" s="16">
        <v>0.16</v>
      </c>
      <c r="C113" s="17">
        <f t="shared" si="5"/>
        <v>4.0640000000000001</v>
      </c>
      <c r="D113" s="18">
        <f t="shared" si="6"/>
        <v>6.7534117647058789</v>
      </c>
      <c r="E113" s="18">
        <f t="shared" si="7"/>
        <v>19.084278462467395</v>
      </c>
      <c r="F113" s="18">
        <f t="shared" si="8"/>
        <v>-2.6894117647058788</v>
      </c>
      <c r="G113" s="19">
        <f t="shared" si="9"/>
        <v>-0.14092289472693884</v>
      </c>
      <c r="H113">
        <v>-0.5</v>
      </c>
    </row>
    <row r="114" spans="1:8" x14ac:dyDescent="0.3">
      <c r="A114" s="15">
        <v>43883</v>
      </c>
      <c r="B114" s="16">
        <v>0.15</v>
      </c>
      <c r="C114" s="17">
        <f t="shared" si="5"/>
        <v>3.8099999999999996</v>
      </c>
      <c r="D114" s="18">
        <f t="shared" si="6"/>
        <v>6.7534117647058789</v>
      </c>
      <c r="E114" s="18">
        <f t="shared" si="7"/>
        <v>19.084278462467395</v>
      </c>
      <c r="F114" s="18">
        <f t="shared" si="8"/>
        <v>-2.9434117647058793</v>
      </c>
      <c r="G114" s="19">
        <f t="shared" si="9"/>
        <v>-0.15423227922892754</v>
      </c>
      <c r="H114">
        <v>-0.5</v>
      </c>
    </row>
    <row r="115" spans="1:8" x14ac:dyDescent="0.3">
      <c r="A115" s="15">
        <v>43912</v>
      </c>
      <c r="B115" s="16">
        <v>0.13</v>
      </c>
      <c r="C115" s="17">
        <f t="shared" si="5"/>
        <v>3.302</v>
      </c>
      <c r="D115" s="18">
        <f t="shared" si="6"/>
        <v>6.7534117647058789</v>
      </c>
      <c r="E115" s="18">
        <f t="shared" si="7"/>
        <v>19.084278462467395</v>
      </c>
      <c r="F115" s="18">
        <f t="shared" si="8"/>
        <v>-3.4514117647058788</v>
      </c>
      <c r="G115" s="19">
        <f t="shared" si="9"/>
        <v>-0.18085104823290488</v>
      </c>
      <c r="H115">
        <v>-0.5</v>
      </c>
    </row>
    <row r="116" spans="1:8" x14ac:dyDescent="0.3">
      <c r="A116" s="15">
        <v>43943</v>
      </c>
      <c r="B116" s="16">
        <v>0.17</v>
      </c>
      <c r="C116" s="17">
        <f t="shared" si="5"/>
        <v>4.3180000000000005</v>
      </c>
      <c r="D116" s="18">
        <f t="shared" si="6"/>
        <v>6.7534117647058789</v>
      </c>
      <c r="E116" s="18">
        <f t="shared" si="7"/>
        <v>19.084278462467395</v>
      </c>
      <c r="F116" s="18">
        <f t="shared" si="8"/>
        <v>-2.4354117647058784</v>
      </c>
      <c r="G116" s="19">
        <f t="shared" si="9"/>
        <v>-0.12761351022495013</v>
      </c>
      <c r="H116">
        <v>-0.5</v>
      </c>
    </row>
    <row r="117" spans="1:8" x14ac:dyDescent="0.3">
      <c r="A117" s="15">
        <v>43973</v>
      </c>
      <c r="B117" s="16">
        <v>0.01</v>
      </c>
      <c r="C117" s="17">
        <f t="shared" si="5"/>
        <v>0.254</v>
      </c>
      <c r="D117" s="18">
        <f t="shared" si="6"/>
        <v>6.7534117647058789</v>
      </c>
      <c r="E117" s="18">
        <f t="shared" si="7"/>
        <v>19.084278462467395</v>
      </c>
      <c r="F117" s="18">
        <f t="shared" si="8"/>
        <v>-6.4994117647058793</v>
      </c>
      <c r="G117" s="19">
        <f t="shared" si="9"/>
        <v>-0.34056366225676915</v>
      </c>
      <c r="H117">
        <v>-0.5</v>
      </c>
    </row>
    <row r="118" spans="1:8" x14ac:dyDescent="0.3">
      <c r="A118" s="15">
        <v>44004</v>
      </c>
      <c r="B118" s="16">
        <v>0.05</v>
      </c>
      <c r="C118" s="17">
        <f t="shared" si="5"/>
        <v>1.27</v>
      </c>
      <c r="D118" s="18">
        <f t="shared" si="6"/>
        <v>6.7534117647058789</v>
      </c>
      <c r="E118" s="18">
        <f t="shared" si="7"/>
        <v>19.084278462467395</v>
      </c>
      <c r="F118" s="18">
        <f t="shared" si="8"/>
        <v>-5.4834117647058793</v>
      </c>
      <c r="G118" s="19">
        <f t="shared" si="9"/>
        <v>-0.28732612424881437</v>
      </c>
      <c r="H118">
        <v>-0.5</v>
      </c>
    </row>
    <row r="119" spans="1:8" x14ac:dyDescent="0.3">
      <c r="A119" s="15">
        <v>44034</v>
      </c>
      <c r="B119" s="16">
        <v>0.02</v>
      </c>
      <c r="C119" s="17">
        <f t="shared" si="5"/>
        <v>0.50800000000000001</v>
      </c>
      <c r="D119" s="18">
        <f t="shared" si="6"/>
        <v>6.7534117647058789</v>
      </c>
      <c r="E119" s="18">
        <f t="shared" si="7"/>
        <v>19.084278462467395</v>
      </c>
      <c r="F119" s="18">
        <f t="shared" si="8"/>
        <v>-6.2454117647058789</v>
      </c>
      <c r="G119" s="19">
        <f t="shared" si="9"/>
        <v>-0.32725427775478044</v>
      </c>
      <c r="H119">
        <v>-0.5</v>
      </c>
    </row>
    <row r="120" spans="1:8" x14ac:dyDescent="0.3">
      <c r="A120" s="15">
        <v>44065</v>
      </c>
      <c r="B120" s="16">
        <v>0.03</v>
      </c>
      <c r="C120" s="17">
        <f t="shared" si="5"/>
        <v>0.7619999999999999</v>
      </c>
      <c r="D120" s="18">
        <f t="shared" si="6"/>
        <v>6.7534117647058789</v>
      </c>
      <c r="E120" s="18">
        <f t="shared" si="7"/>
        <v>19.084278462467395</v>
      </c>
      <c r="F120" s="18">
        <f t="shared" si="8"/>
        <v>-5.9914117647058793</v>
      </c>
      <c r="G120" s="19">
        <f t="shared" si="9"/>
        <v>-0.31394489325279173</v>
      </c>
      <c r="H120">
        <v>-0.5</v>
      </c>
    </row>
    <row r="121" spans="1:8" x14ac:dyDescent="0.3">
      <c r="A121" s="15">
        <v>44096</v>
      </c>
      <c r="B121" s="16">
        <v>0.04</v>
      </c>
      <c r="C121" s="17">
        <f t="shared" si="5"/>
        <v>1.016</v>
      </c>
      <c r="D121" s="18">
        <f t="shared" si="6"/>
        <v>6.7534117647058789</v>
      </c>
      <c r="E121" s="18">
        <f t="shared" si="7"/>
        <v>19.084278462467395</v>
      </c>
      <c r="F121" s="18">
        <f t="shared" si="8"/>
        <v>-5.7374117647058789</v>
      </c>
      <c r="G121" s="19">
        <f t="shared" si="9"/>
        <v>-0.30063550875080303</v>
      </c>
      <c r="H121">
        <v>-0.5</v>
      </c>
    </row>
    <row r="122" spans="1:8" x14ac:dyDescent="0.3">
      <c r="A122" s="15">
        <v>44126</v>
      </c>
      <c r="B122" s="16">
        <v>0.06</v>
      </c>
      <c r="C122" s="17">
        <f t="shared" si="5"/>
        <v>1.5239999999999998</v>
      </c>
      <c r="D122" s="18">
        <f t="shared" si="6"/>
        <v>6.7534117647058789</v>
      </c>
      <c r="E122" s="18">
        <f t="shared" si="7"/>
        <v>19.084278462467395</v>
      </c>
      <c r="F122" s="18">
        <f t="shared" si="8"/>
        <v>-5.2294117647058789</v>
      </c>
      <c r="G122" s="19">
        <f t="shared" si="9"/>
        <v>-0.27401673974682567</v>
      </c>
      <c r="H122">
        <v>-0.5</v>
      </c>
    </row>
    <row r="123" spans="1:8" x14ac:dyDescent="0.3">
      <c r="A123" s="15">
        <v>44157</v>
      </c>
      <c r="B123" s="16">
        <v>0.06</v>
      </c>
      <c r="C123" s="17">
        <f t="shared" si="5"/>
        <v>1.5239999999999998</v>
      </c>
      <c r="D123" s="18">
        <f t="shared" si="6"/>
        <v>6.7534117647058789</v>
      </c>
      <c r="E123" s="18">
        <f t="shared" si="7"/>
        <v>19.084278462467395</v>
      </c>
      <c r="F123" s="18">
        <f t="shared" si="8"/>
        <v>-5.2294117647058789</v>
      </c>
      <c r="G123" s="19">
        <f t="shared" si="9"/>
        <v>-0.27401673974682567</v>
      </c>
      <c r="H123">
        <v>-0.5</v>
      </c>
    </row>
    <row r="124" spans="1:8" x14ac:dyDescent="0.3">
      <c r="A124" s="15">
        <v>44187</v>
      </c>
      <c r="B124" s="16">
        <v>0.14000000000000001</v>
      </c>
      <c r="C124" s="17">
        <f t="shared" si="5"/>
        <v>3.556</v>
      </c>
      <c r="D124" s="18">
        <f t="shared" si="6"/>
        <v>6.7534117647058789</v>
      </c>
      <c r="E124" s="18">
        <f t="shared" si="7"/>
        <v>19.084278462467395</v>
      </c>
      <c r="F124" s="18">
        <f t="shared" si="8"/>
        <v>-3.1974117647058788</v>
      </c>
      <c r="G124" s="19">
        <f t="shared" si="9"/>
        <v>-0.1675416637309162</v>
      </c>
      <c r="H124">
        <v>-0.5</v>
      </c>
    </row>
    <row r="125" spans="1:8" x14ac:dyDescent="0.3">
      <c r="A125" s="15">
        <v>44218</v>
      </c>
      <c r="B125" s="16">
        <v>0.49</v>
      </c>
      <c r="C125" s="17">
        <f t="shared" si="5"/>
        <v>12.446</v>
      </c>
      <c r="D125" s="18">
        <f t="shared" si="6"/>
        <v>6.7534117647058789</v>
      </c>
      <c r="E125" s="18">
        <f t="shared" si="7"/>
        <v>19.084278462467395</v>
      </c>
      <c r="F125" s="18">
        <f t="shared" si="8"/>
        <v>5.6925882352941208</v>
      </c>
      <c r="G125" s="19">
        <f t="shared" si="9"/>
        <v>0.29828679383868772</v>
      </c>
      <c r="H125">
        <v>-0.5</v>
      </c>
    </row>
    <row r="126" spans="1:8" x14ac:dyDescent="0.3">
      <c r="A126" s="15">
        <v>44249</v>
      </c>
      <c r="B126" s="16">
        <v>0.8</v>
      </c>
      <c r="C126" s="17">
        <f t="shared" si="5"/>
        <v>20.32</v>
      </c>
      <c r="D126" s="18">
        <f t="shared" si="6"/>
        <v>6.7534117647058789</v>
      </c>
      <c r="E126" s="18">
        <f t="shared" si="7"/>
        <v>19.084278462467395</v>
      </c>
      <c r="F126" s="18">
        <f t="shared" si="8"/>
        <v>13.566588235294121</v>
      </c>
      <c r="G126" s="19">
        <f t="shared" si="9"/>
        <v>0.71087771340033701</v>
      </c>
      <c r="H126">
        <v>-0.5</v>
      </c>
    </row>
    <row r="127" spans="1:8" x14ac:dyDescent="0.3">
      <c r="A127" s="15">
        <v>44277</v>
      </c>
      <c r="B127" s="16">
        <v>0</v>
      </c>
      <c r="C127" s="17">
        <f t="shared" si="5"/>
        <v>0</v>
      </c>
      <c r="D127" s="18">
        <f t="shared" si="6"/>
        <v>6.7534117647058789</v>
      </c>
      <c r="E127" s="18">
        <f t="shared" si="7"/>
        <v>19.084278462467395</v>
      </c>
      <c r="F127" s="18">
        <f t="shared" si="8"/>
        <v>-6.7534117647058789</v>
      </c>
      <c r="G127" s="19">
        <f t="shared" si="9"/>
        <v>-0.3538730467587578</v>
      </c>
      <c r="H127">
        <v>-0.5</v>
      </c>
    </row>
    <row r="128" spans="1:8" x14ac:dyDescent="0.3">
      <c r="A128" s="15">
        <v>44308</v>
      </c>
      <c r="B128" s="16">
        <v>0.06</v>
      </c>
      <c r="C128" s="17">
        <f t="shared" si="5"/>
        <v>1.5239999999999998</v>
      </c>
      <c r="D128" s="18">
        <f t="shared" si="6"/>
        <v>6.7534117647058789</v>
      </c>
      <c r="E128" s="18">
        <f t="shared" si="7"/>
        <v>19.084278462467395</v>
      </c>
      <c r="F128" s="18">
        <f t="shared" si="8"/>
        <v>-5.2294117647058789</v>
      </c>
      <c r="G128" s="19">
        <f t="shared" si="9"/>
        <v>-0.27401673974682567</v>
      </c>
      <c r="H128">
        <v>-0.5</v>
      </c>
    </row>
    <row r="129" spans="1:8" x14ac:dyDescent="0.3">
      <c r="A129" s="15">
        <v>44338</v>
      </c>
      <c r="B129" s="16">
        <v>0.06</v>
      </c>
      <c r="C129" s="17">
        <f t="shared" si="5"/>
        <v>1.5239999999999998</v>
      </c>
      <c r="D129" s="18">
        <f t="shared" si="6"/>
        <v>6.7534117647058789</v>
      </c>
      <c r="E129" s="18">
        <f t="shared" si="7"/>
        <v>19.084278462467395</v>
      </c>
      <c r="F129" s="18">
        <f t="shared" si="8"/>
        <v>-5.2294117647058789</v>
      </c>
      <c r="G129" s="19">
        <f t="shared" si="9"/>
        <v>-0.27401673974682567</v>
      </c>
      <c r="H129">
        <v>-0.5</v>
      </c>
    </row>
    <row r="130" spans="1:8" x14ac:dyDescent="0.3">
      <c r="A130" s="15">
        <v>44369</v>
      </c>
      <c r="B130" s="16">
        <v>0.06</v>
      </c>
      <c r="C130" s="17">
        <f t="shared" si="5"/>
        <v>1.5239999999999998</v>
      </c>
      <c r="D130" s="18">
        <f t="shared" si="6"/>
        <v>6.7534117647058789</v>
      </c>
      <c r="E130" s="18">
        <f t="shared" si="7"/>
        <v>19.084278462467395</v>
      </c>
      <c r="F130" s="18">
        <f t="shared" si="8"/>
        <v>-5.2294117647058789</v>
      </c>
      <c r="G130" s="19">
        <f t="shared" si="9"/>
        <v>-0.27401673974682567</v>
      </c>
      <c r="H130">
        <v>-0.5</v>
      </c>
    </row>
    <row r="131" spans="1:8" x14ac:dyDescent="0.3">
      <c r="A131" s="15">
        <v>44399</v>
      </c>
      <c r="B131" s="16">
        <v>0.03</v>
      </c>
      <c r="C131" s="17">
        <f t="shared" si="5"/>
        <v>0.7619999999999999</v>
      </c>
      <c r="D131" s="18">
        <f t="shared" si="6"/>
        <v>6.7534117647058789</v>
      </c>
      <c r="E131" s="18">
        <f t="shared" si="7"/>
        <v>19.084278462467395</v>
      </c>
      <c r="F131" s="18">
        <f t="shared" si="8"/>
        <v>-5.9914117647058793</v>
      </c>
      <c r="G131" s="19">
        <f t="shared" si="9"/>
        <v>-0.31394489325279173</v>
      </c>
      <c r="H131">
        <v>-0.5</v>
      </c>
    </row>
    <row r="132" spans="1:8" x14ac:dyDescent="0.3">
      <c r="A132" s="15">
        <v>44430</v>
      </c>
      <c r="B132" s="16">
        <v>7.0000000000000007E-2</v>
      </c>
      <c r="C132" s="17">
        <f t="shared" si="5"/>
        <v>1.778</v>
      </c>
      <c r="D132" s="18">
        <f t="shared" si="6"/>
        <v>6.7534117647058789</v>
      </c>
      <c r="E132" s="18">
        <f t="shared" si="7"/>
        <v>19.084278462467395</v>
      </c>
      <c r="F132" s="18">
        <f t="shared" si="8"/>
        <v>-4.9754117647058784</v>
      </c>
      <c r="G132" s="19">
        <f t="shared" si="9"/>
        <v>-0.26070735524483696</v>
      </c>
      <c r="H132">
        <v>-0.5</v>
      </c>
    </row>
    <row r="133" spans="1:8" x14ac:dyDescent="0.3">
      <c r="A133" s="15">
        <v>44461</v>
      </c>
      <c r="B133" s="16">
        <v>0.03</v>
      </c>
      <c r="C133" s="17">
        <f t="shared" ref="C133:C175" si="10">$D$1*B133</f>
        <v>0.7619999999999999</v>
      </c>
      <c r="D133" s="18">
        <f t="shared" si="6"/>
        <v>6.7534117647058789</v>
      </c>
      <c r="E133" s="18">
        <f t="shared" si="7"/>
        <v>19.084278462467395</v>
      </c>
      <c r="F133" s="18">
        <f t="shared" si="8"/>
        <v>-5.9914117647058793</v>
      </c>
      <c r="G133" s="19">
        <f t="shared" si="9"/>
        <v>-0.31394489325279173</v>
      </c>
      <c r="H133">
        <v>-0.5</v>
      </c>
    </row>
    <row r="134" spans="1:8" x14ac:dyDescent="0.3">
      <c r="A134" s="15">
        <v>44491</v>
      </c>
      <c r="B134" s="16">
        <v>7.0000000000000007E-2</v>
      </c>
      <c r="C134" s="17">
        <f t="shared" si="10"/>
        <v>1.778</v>
      </c>
      <c r="D134" s="18">
        <f t="shared" ref="D134:D175" si="11">AVERAGE($C$5:$C$174)</f>
        <v>6.7534117647058789</v>
      </c>
      <c r="E134" s="18">
        <f t="shared" ref="E134:E175" si="12">_xlfn.STDEV.S($C$5:$C$174)</f>
        <v>19.084278462467395</v>
      </c>
      <c r="F134" s="18">
        <f t="shared" ref="F134:F175" si="13">C134-D134</f>
        <v>-4.9754117647058784</v>
      </c>
      <c r="G134" s="19">
        <f t="shared" ref="G134:G144" si="14">F134/E134</f>
        <v>-0.26070735524483696</v>
      </c>
      <c r="H134">
        <v>-0.5</v>
      </c>
    </row>
    <row r="135" spans="1:8" x14ac:dyDescent="0.3">
      <c r="A135" s="15">
        <v>44522</v>
      </c>
      <c r="B135" s="16">
        <v>0.11</v>
      </c>
      <c r="C135" s="17">
        <f t="shared" si="10"/>
        <v>2.794</v>
      </c>
      <c r="D135" s="18">
        <f t="shared" si="11"/>
        <v>6.7534117647058789</v>
      </c>
      <c r="E135" s="18">
        <f t="shared" si="12"/>
        <v>19.084278462467395</v>
      </c>
      <c r="F135" s="18">
        <f t="shared" si="13"/>
        <v>-3.9594117647058789</v>
      </c>
      <c r="G135" s="19">
        <f t="shared" si="14"/>
        <v>-0.20746981723688226</v>
      </c>
      <c r="H135">
        <v>-0.5</v>
      </c>
    </row>
    <row r="136" spans="1:8" x14ac:dyDescent="0.3">
      <c r="A136" s="15">
        <v>44552</v>
      </c>
      <c r="B136" s="16">
        <v>0.85</v>
      </c>
      <c r="C136" s="17">
        <f t="shared" si="10"/>
        <v>21.59</v>
      </c>
      <c r="D136" s="18">
        <f t="shared" si="11"/>
        <v>6.7534117647058789</v>
      </c>
      <c r="E136" s="18">
        <f t="shared" si="12"/>
        <v>19.084278462467395</v>
      </c>
      <c r="F136" s="18">
        <f t="shared" si="13"/>
        <v>14.836588235294121</v>
      </c>
      <c r="G136" s="19">
        <f t="shared" si="14"/>
        <v>0.77742463591028044</v>
      </c>
      <c r="H136">
        <v>-0.5</v>
      </c>
    </row>
    <row r="137" spans="1:8" x14ac:dyDescent="0.3">
      <c r="A137" s="15">
        <v>44583</v>
      </c>
      <c r="B137" s="16">
        <v>1.43</v>
      </c>
      <c r="C137" s="17">
        <f t="shared" si="10"/>
        <v>36.321999999999996</v>
      </c>
      <c r="D137" s="18">
        <f t="shared" si="11"/>
        <v>6.7534117647058789</v>
      </c>
      <c r="E137" s="18">
        <f t="shared" si="12"/>
        <v>19.084278462467395</v>
      </c>
      <c r="F137" s="18">
        <f t="shared" si="13"/>
        <v>29.568588235294115</v>
      </c>
      <c r="G137" s="19">
        <f t="shared" si="14"/>
        <v>1.5493689370256238</v>
      </c>
      <c r="H137">
        <v>-0.5</v>
      </c>
    </row>
    <row r="138" spans="1:8" x14ac:dyDescent="0.3">
      <c r="A138" s="15">
        <v>44614</v>
      </c>
      <c r="B138" s="16">
        <v>0.1</v>
      </c>
      <c r="C138" s="17">
        <f t="shared" si="10"/>
        <v>2.54</v>
      </c>
      <c r="D138" s="18">
        <f t="shared" si="11"/>
        <v>6.7534117647058789</v>
      </c>
      <c r="E138" s="18">
        <f t="shared" si="12"/>
        <v>19.084278462467395</v>
      </c>
      <c r="F138" s="18">
        <f t="shared" si="13"/>
        <v>-4.2134117647058789</v>
      </c>
      <c r="G138" s="19">
        <f t="shared" si="14"/>
        <v>-0.22077920173887094</v>
      </c>
      <c r="H138">
        <v>-0.5</v>
      </c>
    </row>
    <row r="139" spans="1:8" x14ac:dyDescent="0.3">
      <c r="A139" s="15">
        <v>44642</v>
      </c>
      <c r="B139" s="16">
        <v>0.79</v>
      </c>
      <c r="C139" s="17">
        <f t="shared" si="10"/>
        <v>20.065999999999999</v>
      </c>
      <c r="D139" s="18">
        <f t="shared" si="11"/>
        <v>6.7534117647058789</v>
      </c>
      <c r="E139" s="18">
        <f t="shared" si="12"/>
        <v>19.084278462467395</v>
      </c>
      <c r="F139" s="18">
        <f t="shared" si="13"/>
        <v>13.31258823529412</v>
      </c>
      <c r="G139" s="19">
        <f t="shared" si="14"/>
        <v>0.6975683288983483</v>
      </c>
      <c r="H139">
        <v>-0.5</v>
      </c>
    </row>
    <row r="140" spans="1:8" x14ac:dyDescent="0.3">
      <c r="A140" s="15">
        <v>44673</v>
      </c>
      <c r="B140" s="16">
        <v>1.36</v>
      </c>
      <c r="C140" s="17">
        <f t="shared" si="10"/>
        <v>34.544000000000004</v>
      </c>
      <c r="D140" s="18">
        <f t="shared" si="11"/>
        <v>6.7534117647058789</v>
      </c>
      <c r="E140" s="18">
        <f t="shared" si="12"/>
        <v>19.084278462467395</v>
      </c>
      <c r="F140" s="18">
        <f t="shared" si="13"/>
        <v>27.790588235294123</v>
      </c>
      <c r="G140" s="19">
        <f t="shared" si="14"/>
        <v>1.4562032455117035</v>
      </c>
      <c r="H140">
        <v>-0.5</v>
      </c>
    </row>
    <row r="141" spans="1:8" x14ac:dyDescent="0.3">
      <c r="A141" s="15">
        <v>44703</v>
      </c>
      <c r="B141" s="16">
        <v>0.25</v>
      </c>
      <c r="C141" s="17">
        <f t="shared" si="10"/>
        <v>6.35</v>
      </c>
      <c r="D141" s="18">
        <f t="shared" si="11"/>
        <v>6.7534117647058789</v>
      </c>
      <c r="E141" s="18">
        <f t="shared" si="12"/>
        <v>19.084278462467395</v>
      </c>
      <c r="F141" s="18">
        <f t="shared" si="13"/>
        <v>-0.40341176470587925</v>
      </c>
      <c r="G141" s="19">
        <f t="shared" si="14"/>
        <v>-2.1138434209040689E-2</v>
      </c>
      <c r="H141">
        <v>-0.5</v>
      </c>
    </row>
    <row r="142" spans="1:8" x14ac:dyDescent="0.3">
      <c r="A142" s="15">
        <v>44734</v>
      </c>
      <c r="B142" s="16">
        <v>0.16</v>
      </c>
      <c r="C142" s="17">
        <f t="shared" si="10"/>
        <v>4.0640000000000001</v>
      </c>
      <c r="D142" s="18">
        <f t="shared" si="11"/>
        <v>6.7534117647058789</v>
      </c>
      <c r="E142" s="18">
        <f t="shared" si="12"/>
        <v>19.084278462467395</v>
      </c>
      <c r="F142" s="18">
        <f t="shared" si="13"/>
        <v>-2.6894117647058788</v>
      </c>
      <c r="G142" s="19">
        <f t="shared" si="14"/>
        <v>-0.14092289472693884</v>
      </c>
      <c r="H142">
        <v>-0.5</v>
      </c>
    </row>
    <row r="143" spans="1:8" x14ac:dyDescent="0.3">
      <c r="A143" s="15">
        <v>44764</v>
      </c>
      <c r="B143" s="16">
        <v>0.09</v>
      </c>
      <c r="C143" s="17">
        <f t="shared" si="10"/>
        <v>2.2859999999999996</v>
      </c>
      <c r="D143" s="18">
        <f t="shared" si="11"/>
        <v>6.7534117647058789</v>
      </c>
      <c r="E143" s="18">
        <f t="shared" si="12"/>
        <v>19.084278462467395</v>
      </c>
      <c r="F143" s="18">
        <f t="shared" si="13"/>
        <v>-4.4674117647058793</v>
      </c>
      <c r="G143" s="19">
        <f t="shared" si="14"/>
        <v>-0.23408858624085965</v>
      </c>
      <c r="H143">
        <v>-0.5</v>
      </c>
    </row>
    <row r="144" spans="1:8" x14ac:dyDescent="0.3">
      <c r="A144" s="15">
        <v>44795</v>
      </c>
      <c r="B144" s="16">
        <v>0.09</v>
      </c>
      <c r="C144" s="17">
        <f t="shared" si="10"/>
        <v>2.2859999999999996</v>
      </c>
      <c r="D144" s="18">
        <f t="shared" si="11"/>
        <v>6.7534117647058789</v>
      </c>
      <c r="E144" s="18">
        <f t="shared" si="12"/>
        <v>19.084278462467395</v>
      </c>
      <c r="F144" s="18">
        <f t="shared" si="13"/>
        <v>-4.4674117647058793</v>
      </c>
      <c r="G144" s="19">
        <f t="shared" si="14"/>
        <v>-0.23408858624085965</v>
      </c>
      <c r="H144">
        <v>-0.5</v>
      </c>
    </row>
    <row r="145" spans="1:8" x14ac:dyDescent="0.3">
      <c r="A145" s="15">
        <v>44826</v>
      </c>
      <c r="B145" s="16">
        <v>0.09</v>
      </c>
      <c r="C145" s="17">
        <f t="shared" si="10"/>
        <v>2.2859999999999996</v>
      </c>
      <c r="D145" s="18">
        <f t="shared" si="11"/>
        <v>6.7534117647058789</v>
      </c>
      <c r="E145" s="18">
        <f t="shared" si="12"/>
        <v>19.084278462467395</v>
      </c>
      <c r="F145" s="18">
        <f t="shared" si="13"/>
        <v>-4.4674117647058793</v>
      </c>
      <c r="G145" s="19">
        <f>F145/E145</f>
        <v>-0.23408858624085965</v>
      </c>
      <c r="H145">
        <v>-0.5</v>
      </c>
    </row>
    <row r="146" spans="1:8" x14ac:dyDescent="0.3">
      <c r="A146" s="15">
        <v>44856</v>
      </c>
      <c r="B146" s="16">
        <v>0.06</v>
      </c>
      <c r="C146" s="17">
        <f t="shared" si="10"/>
        <v>1.5239999999999998</v>
      </c>
      <c r="D146" s="18">
        <f t="shared" si="11"/>
        <v>6.7534117647058789</v>
      </c>
      <c r="E146" s="18">
        <f t="shared" si="12"/>
        <v>19.084278462467395</v>
      </c>
      <c r="F146" s="18">
        <f t="shared" si="13"/>
        <v>-5.2294117647058789</v>
      </c>
      <c r="G146" s="19">
        <f t="shared" ref="G146:G175" si="15">F146/E146</f>
        <v>-0.27401673974682567</v>
      </c>
      <c r="H146">
        <v>-0.5</v>
      </c>
    </row>
    <row r="147" spans="1:8" x14ac:dyDescent="0.3">
      <c r="A147" s="15">
        <v>44887</v>
      </c>
      <c r="B147" s="16">
        <v>0.2</v>
      </c>
      <c r="C147" s="17">
        <f t="shared" si="10"/>
        <v>5.08</v>
      </c>
      <c r="D147" s="18">
        <f t="shared" si="11"/>
        <v>6.7534117647058789</v>
      </c>
      <c r="E147" s="18">
        <f t="shared" si="12"/>
        <v>19.084278462467395</v>
      </c>
      <c r="F147" s="18">
        <f t="shared" si="13"/>
        <v>-1.6734117647058788</v>
      </c>
      <c r="G147" s="19">
        <f t="shared" si="15"/>
        <v>-8.7685356718984087E-2</v>
      </c>
      <c r="H147">
        <v>-0.5</v>
      </c>
    </row>
    <row r="148" spans="1:8" x14ac:dyDescent="0.3">
      <c r="A148" s="15">
        <v>44917</v>
      </c>
      <c r="B148" s="16">
        <v>3.18</v>
      </c>
      <c r="C148" s="17">
        <f t="shared" si="10"/>
        <v>80.772000000000006</v>
      </c>
      <c r="D148" s="18">
        <f t="shared" si="11"/>
        <v>6.7534117647058789</v>
      </c>
      <c r="E148" s="18">
        <f t="shared" si="12"/>
        <v>19.084278462467395</v>
      </c>
      <c r="F148" s="18">
        <f t="shared" si="13"/>
        <v>74.018588235294132</v>
      </c>
      <c r="G148" s="19">
        <f t="shared" si="15"/>
        <v>3.8785112248736446</v>
      </c>
      <c r="H148">
        <v>-0.5</v>
      </c>
    </row>
    <row r="149" spans="1:8" x14ac:dyDescent="0.3">
      <c r="A149" s="15">
        <v>44948</v>
      </c>
      <c r="B149" s="16">
        <v>1.1599999999999999</v>
      </c>
      <c r="C149" s="17">
        <f t="shared" si="10"/>
        <v>29.463999999999995</v>
      </c>
      <c r="D149" s="18">
        <f t="shared" si="11"/>
        <v>6.7534117647058789</v>
      </c>
      <c r="E149" s="18">
        <f t="shared" si="12"/>
        <v>19.084278462467395</v>
      </c>
      <c r="F149" s="18">
        <f t="shared" si="13"/>
        <v>22.710588235294118</v>
      </c>
      <c r="G149" s="19">
        <f t="shared" si="15"/>
        <v>1.1900155554719294</v>
      </c>
      <c r="H149">
        <v>-0.5</v>
      </c>
    </row>
    <row r="150" spans="1:8" x14ac:dyDescent="0.3">
      <c r="A150" s="15">
        <v>44979</v>
      </c>
      <c r="B150" s="16">
        <v>5.55</v>
      </c>
      <c r="C150" s="17">
        <f t="shared" si="10"/>
        <v>140.97</v>
      </c>
      <c r="D150" s="18">
        <f t="shared" si="11"/>
        <v>6.7534117647058789</v>
      </c>
      <c r="E150" s="18">
        <f t="shared" si="12"/>
        <v>19.084278462467395</v>
      </c>
      <c r="F150" s="18">
        <f t="shared" si="13"/>
        <v>134.21658823529413</v>
      </c>
      <c r="G150" s="19">
        <f t="shared" si="15"/>
        <v>7.0328353518449624</v>
      </c>
      <c r="H150">
        <v>-0.5</v>
      </c>
    </row>
    <row r="151" spans="1:8" x14ac:dyDescent="0.3">
      <c r="A151" s="15">
        <v>45007</v>
      </c>
      <c r="B151" s="16">
        <v>-0.2</v>
      </c>
      <c r="C151" s="17">
        <f t="shared" si="10"/>
        <v>-5.08</v>
      </c>
      <c r="D151" s="18">
        <f t="shared" si="11"/>
        <v>6.7534117647058789</v>
      </c>
      <c r="E151" s="18">
        <f t="shared" si="12"/>
        <v>19.084278462467395</v>
      </c>
      <c r="F151" s="18">
        <f t="shared" si="13"/>
        <v>-11.833411764705879</v>
      </c>
      <c r="G151" s="19">
        <f t="shared" si="15"/>
        <v>-0.62006073679853146</v>
      </c>
      <c r="H151">
        <v>-0.5</v>
      </c>
    </row>
    <row r="152" spans="1:8" x14ac:dyDescent="0.3">
      <c r="A152" s="15">
        <v>45038</v>
      </c>
      <c r="B152" s="16">
        <v>-0.05</v>
      </c>
      <c r="C152" s="17">
        <f t="shared" si="10"/>
        <v>-1.27</v>
      </c>
      <c r="D152" s="18">
        <f t="shared" si="11"/>
        <v>6.7534117647058789</v>
      </c>
      <c r="E152" s="18">
        <f t="shared" si="12"/>
        <v>19.084278462467395</v>
      </c>
      <c r="F152" s="18">
        <f t="shared" si="13"/>
        <v>-8.0234117647058785</v>
      </c>
      <c r="G152" s="19">
        <f t="shared" si="15"/>
        <v>-0.42041996926870118</v>
      </c>
      <c r="H152">
        <v>-0.5</v>
      </c>
    </row>
    <row r="153" spans="1:8" x14ac:dyDescent="0.3">
      <c r="A153" s="15">
        <v>45068</v>
      </c>
      <c r="B153" s="16">
        <v>0.16</v>
      </c>
      <c r="C153" s="17">
        <f t="shared" si="10"/>
        <v>4.0640000000000001</v>
      </c>
      <c r="D153" s="18">
        <f t="shared" si="11"/>
        <v>6.7534117647058789</v>
      </c>
      <c r="E153" s="18">
        <f t="shared" si="12"/>
        <v>19.084278462467395</v>
      </c>
      <c r="F153" s="18">
        <f t="shared" si="13"/>
        <v>-2.6894117647058788</v>
      </c>
      <c r="G153" s="19">
        <f t="shared" si="15"/>
        <v>-0.14092289472693884</v>
      </c>
      <c r="H153">
        <v>-0.5</v>
      </c>
    </row>
    <row r="154" spans="1:8" x14ac:dyDescent="0.3">
      <c r="A154" s="15">
        <v>45099</v>
      </c>
      <c r="B154" s="16">
        <v>7.0000000000000007E-2</v>
      </c>
      <c r="C154" s="17">
        <f t="shared" si="10"/>
        <v>1.778</v>
      </c>
      <c r="D154" s="18">
        <f t="shared" si="11"/>
        <v>6.7534117647058789</v>
      </c>
      <c r="E154" s="18">
        <f t="shared" si="12"/>
        <v>19.084278462467395</v>
      </c>
      <c r="F154" s="18">
        <f t="shared" si="13"/>
        <v>-4.9754117647058784</v>
      </c>
      <c r="G154" s="19">
        <f t="shared" si="15"/>
        <v>-0.26070735524483696</v>
      </c>
      <c r="H154">
        <v>-0.5</v>
      </c>
    </row>
    <row r="155" spans="1:8" x14ac:dyDescent="0.3">
      <c r="A155" s="15">
        <v>45129</v>
      </c>
      <c r="B155" s="16">
        <v>7.0000000000000007E-2</v>
      </c>
      <c r="C155" s="17">
        <f t="shared" si="10"/>
        <v>1.778</v>
      </c>
      <c r="D155" s="18">
        <f t="shared" si="11"/>
        <v>6.7534117647058789</v>
      </c>
      <c r="E155" s="18">
        <f t="shared" si="12"/>
        <v>19.084278462467395</v>
      </c>
      <c r="F155" s="18">
        <f t="shared" si="13"/>
        <v>-4.9754117647058784</v>
      </c>
      <c r="G155" s="19">
        <f t="shared" si="15"/>
        <v>-0.26070735524483696</v>
      </c>
      <c r="H155">
        <v>-0.5</v>
      </c>
    </row>
    <row r="156" spans="1:8" x14ac:dyDescent="0.3">
      <c r="A156" s="15">
        <v>45160</v>
      </c>
      <c r="B156" s="16">
        <v>0.04</v>
      </c>
      <c r="C156" s="17">
        <f t="shared" si="10"/>
        <v>1.016</v>
      </c>
      <c r="D156" s="18">
        <f t="shared" si="11"/>
        <v>6.7534117647058789</v>
      </c>
      <c r="E156" s="18">
        <f t="shared" si="12"/>
        <v>19.084278462467395</v>
      </c>
      <c r="F156" s="18">
        <f t="shared" si="13"/>
        <v>-5.7374117647058789</v>
      </c>
      <c r="G156" s="19">
        <f t="shared" si="15"/>
        <v>-0.30063550875080303</v>
      </c>
      <c r="H156">
        <v>-0.5</v>
      </c>
    </row>
    <row r="157" spans="1:8" x14ac:dyDescent="0.3">
      <c r="A157" s="15">
        <v>45191</v>
      </c>
      <c r="B157" s="16">
        <v>0.02</v>
      </c>
      <c r="C157" s="17">
        <f t="shared" si="10"/>
        <v>0.50800000000000001</v>
      </c>
      <c r="D157" s="18">
        <f t="shared" si="11"/>
        <v>6.7534117647058789</v>
      </c>
      <c r="E157" s="18">
        <f t="shared" si="12"/>
        <v>19.084278462467395</v>
      </c>
      <c r="F157" s="18">
        <f t="shared" si="13"/>
        <v>-6.2454117647058789</v>
      </c>
      <c r="G157" s="19">
        <f t="shared" si="15"/>
        <v>-0.32725427775478044</v>
      </c>
      <c r="H157">
        <v>-0.5</v>
      </c>
    </row>
    <row r="158" spans="1:8" x14ac:dyDescent="0.3">
      <c r="A158" s="15">
        <v>45221</v>
      </c>
      <c r="B158" s="16">
        <v>0.09</v>
      </c>
      <c r="C158" s="17">
        <f t="shared" si="10"/>
        <v>2.2859999999999996</v>
      </c>
      <c r="D158" s="18">
        <f t="shared" si="11"/>
        <v>6.7534117647058789</v>
      </c>
      <c r="E158" s="18">
        <f t="shared" si="12"/>
        <v>19.084278462467395</v>
      </c>
      <c r="F158" s="18">
        <f t="shared" si="13"/>
        <v>-4.4674117647058793</v>
      </c>
      <c r="G158" s="19">
        <f t="shared" si="15"/>
        <v>-0.23408858624085965</v>
      </c>
      <c r="H158">
        <v>-0.5</v>
      </c>
    </row>
    <row r="159" spans="1:8" x14ac:dyDescent="0.3">
      <c r="A159" s="15">
        <v>45252</v>
      </c>
      <c r="B159" s="16">
        <v>0.04</v>
      </c>
      <c r="C159" s="17">
        <f t="shared" si="10"/>
        <v>1.016</v>
      </c>
      <c r="D159" s="18">
        <f t="shared" si="11"/>
        <v>6.7534117647058789</v>
      </c>
      <c r="E159" s="18">
        <f t="shared" si="12"/>
        <v>19.084278462467395</v>
      </c>
      <c r="F159" s="18">
        <f t="shared" si="13"/>
        <v>-5.7374117647058789</v>
      </c>
      <c r="G159" s="19">
        <f t="shared" si="15"/>
        <v>-0.30063550875080303</v>
      </c>
      <c r="H159">
        <v>-0.5</v>
      </c>
    </row>
    <row r="160" spans="1:8" x14ac:dyDescent="0.3">
      <c r="A160" s="15">
        <v>45282</v>
      </c>
      <c r="B160" s="17">
        <v>0.33</v>
      </c>
      <c r="C160" s="17">
        <f t="shared" si="10"/>
        <v>8.3819999999999997</v>
      </c>
      <c r="D160" s="18">
        <f t="shared" si="11"/>
        <v>6.7534117647058789</v>
      </c>
      <c r="E160" s="18">
        <f t="shared" si="12"/>
        <v>19.084278462467395</v>
      </c>
      <c r="F160" s="18">
        <f t="shared" si="13"/>
        <v>1.6285882352941208</v>
      </c>
      <c r="G160" s="19">
        <f t="shared" si="15"/>
        <v>8.5336641806868785E-2</v>
      </c>
      <c r="H160">
        <v>-0.5</v>
      </c>
    </row>
    <row r="161" spans="1:8" x14ac:dyDescent="0.3">
      <c r="A161" s="15">
        <v>45313</v>
      </c>
      <c r="B161" s="17">
        <v>0.43</v>
      </c>
      <c r="C161" s="17">
        <f t="shared" si="10"/>
        <v>10.921999999999999</v>
      </c>
      <c r="D161" s="18">
        <f t="shared" si="11"/>
        <v>6.7534117647058789</v>
      </c>
      <c r="E161" s="18">
        <f t="shared" si="12"/>
        <v>19.084278462467395</v>
      </c>
      <c r="F161" s="18">
        <f t="shared" si="13"/>
        <v>4.1685882352941199</v>
      </c>
      <c r="G161" s="19">
        <f t="shared" si="15"/>
        <v>0.21843048682675559</v>
      </c>
      <c r="H161">
        <v>-0.5</v>
      </c>
    </row>
    <row r="162" spans="1:8" x14ac:dyDescent="0.3">
      <c r="A162" s="15">
        <v>45344</v>
      </c>
      <c r="B162" s="17">
        <v>0.3</v>
      </c>
      <c r="C162" s="17">
        <f t="shared" si="10"/>
        <v>7.6199999999999992</v>
      </c>
      <c r="D162" s="18">
        <f t="shared" si="11"/>
        <v>6.7534117647058789</v>
      </c>
      <c r="E162" s="18">
        <f t="shared" si="12"/>
        <v>19.084278462467395</v>
      </c>
      <c r="F162" s="18">
        <f t="shared" si="13"/>
        <v>0.86658823529412032</v>
      </c>
      <c r="G162" s="19">
        <f t="shared" si="15"/>
        <v>4.5408488300902709E-2</v>
      </c>
      <c r="H162">
        <v>-0.5</v>
      </c>
    </row>
    <row r="163" spans="1:8" x14ac:dyDescent="0.3">
      <c r="A163" s="15">
        <v>45373</v>
      </c>
      <c r="B163" s="17">
        <v>0.09</v>
      </c>
      <c r="C163" s="17">
        <f t="shared" si="10"/>
        <v>2.2859999999999996</v>
      </c>
      <c r="D163" s="18">
        <f t="shared" si="11"/>
        <v>6.7534117647058789</v>
      </c>
      <c r="E163" s="18">
        <f t="shared" si="12"/>
        <v>19.084278462467395</v>
      </c>
      <c r="F163" s="18">
        <f t="shared" si="13"/>
        <v>-4.4674117647058793</v>
      </c>
      <c r="G163" s="19">
        <f t="shared" si="15"/>
        <v>-0.23408858624085965</v>
      </c>
      <c r="H163">
        <v>-0.5</v>
      </c>
    </row>
    <row r="164" spans="1:8" x14ac:dyDescent="0.3">
      <c r="A164" s="15">
        <v>45404</v>
      </c>
      <c r="B164" s="17">
        <v>0.42</v>
      </c>
      <c r="C164" s="17">
        <f t="shared" si="10"/>
        <v>10.667999999999999</v>
      </c>
      <c r="D164" s="18">
        <f t="shared" si="11"/>
        <v>6.7534117647058789</v>
      </c>
      <c r="E164" s="18">
        <f t="shared" si="12"/>
        <v>19.084278462467395</v>
      </c>
      <c r="F164" s="18">
        <f t="shared" si="13"/>
        <v>3.9145882352941204</v>
      </c>
      <c r="G164" s="19">
        <f t="shared" si="15"/>
        <v>0.20512110232476694</v>
      </c>
      <c r="H164">
        <v>-0.5</v>
      </c>
    </row>
    <row r="165" spans="1:8" x14ac:dyDescent="0.3">
      <c r="A165" s="15">
        <v>45434</v>
      </c>
      <c r="B165" s="16">
        <v>0</v>
      </c>
      <c r="C165" s="17">
        <f t="shared" si="10"/>
        <v>0</v>
      </c>
      <c r="D165" s="18">
        <f t="shared" si="11"/>
        <v>6.7534117647058789</v>
      </c>
      <c r="E165" s="18">
        <f t="shared" si="12"/>
        <v>19.084278462467395</v>
      </c>
      <c r="F165" s="18">
        <f t="shared" si="13"/>
        <v>-6.7534117647058789</v>
      </c>
      <c r="G165" s="19">
        <f t="shared" si="15"/>
        <v>-0.3538730467587578</v>
      </c>
      <c r="H165">
        <v>-0.5</v>
      </c>
    </row>
    <row r="166" spans="1:8" x14ac:dyDescent="0.3">
      <c r="A166" s="15">
        <v>45465</v>
      </c>
      <c r="B166" s="20">
        <v>0.04</v>
      </c>
      <c r="C166" s="16">
        <f t="shared" si="10"/>
        <v>1.016</v>
      </c>
      <c r="D166" s="18">
        <f t="shared" si="11"/>
        <v>6.7534117647058789</v>
      </c>
      <c r="E166" s="18">
        <f t="shared" si="12"/>
        <v>19.084278462467395</v>
      </c>
      <c r="F166" s="18">
        <f t="shared" si="13"/>
        <v>-5.7374117647058789</v>
      </c>
      <c r="G166" s="19">
        <f t="shared" si="15"/>
        <v>-0.30063550875080303</v>
      </c>
      <c r="H166">
        <v>-0.5</v>
      </c>
    </row>
    <row r="167" spans="1:8" x14ac:dyDescent="0.3">
      <c r="A167" s="15">
        <v>45495</v>
      </c>
      <c r="B167" s="20">
        <v>0.02</v>
      </c>
      <c r="C167" s="16">
        <f t="shared" si="10"/>
        <v>0.50800000000000001</v>
      </c>
      <c r="D167" s="18">
        <f t="shared" si="11"/>
        <v>6.7534117647058789</v>
      </c>
      <c r="E167" s="18">
        <f t="shared" si="12"/>
        <v>19.084278462467395</v>
      </c>
      <c r="F167" s="18">
        <f t="shared" si="13"/>
        <v>-6.2454117647058789</v>
      </c>
      <c r="G167" s="19">
        <f t="shared" si="15"/>
        <v>-0.32725427775478044</v>
      </c>
      <c r="H167">
        <v>-0.5</v>
      </c>
    </row>
    <row r="168" spans="1:8" x14ac:dyDescent="0.3">
      <c r="A168" s="15">
        <v>45526</v>
      </c>
      <c r="B168" s="20">
        <v>0.01</v>
      </c>
      <c r="C168" s="16">
        <f t="shared" si="10"/>
        <v>0.254</v>
      </c>
      <c r="D168" s="18">
        <f t="shared" si="11"/>
        <v>6.7534117647058789</v>
      </c>
      <c r="E168" s="18">
        <f t="shared" si="12"/>
        <v>19.084278462467395</v>
      </c>
      <c r="F168" s="18">
        <f t="shared" si="13"/>
        <v>-6.4994117647058793</v>
      </c>
      <c r="G168" s="19">
        <f t="shared" si="15"/>
        <v>-0.34056366225676915</v>
      </c>
      <c r="H168">
        <v>-0.5</v>
      </c>
    </row>
    <row r="169" spans="1:8" x14ac:dyDescent="0.3">
      <c r="A169" s="15">
        <v>45557</v>
      </c>
      <c r="B169" s="20">
        <v>0.05</v>
      </c>
      <c r="C169" s="16">
        <f t="shared" si="10"/>
        <v>1.27</v>
      </c>
      <c r="D169" s="18">
        <f t="shared" si="11"/>
        <v>6.7534117647058789</v>
      </c>
      <c r="E169" s="18">
        <f t="shared" si="12"/>
        <v>19.084278462467395</v>
      </c>
      <c r="F169" s="18">
        <f t="shared" si="13"/>
        <v>-5.4834117647058793</v>
      </c>
      <c r="G169" s="19">
        <f t="shared" si="15"/>
        <v>-0.28732612424881437</v>
      </c>
      <c r="H169">
        <v>-0.5</v>
      </c>
    </row>
    <row r="170" spans="1:8" x14ac:dyDescent="0.3">
      <c r="A170" s="15">
        <v>45587</v>
      </c>
      <c r="B170" s="20">
        <v>0.04</v>
      </c>
      <c r="C170" s="16">
        <f t="shared" si="10"/>
        <v>1.016</v>
      </c>
      <c r="D170" s="18">
        <f t="shared" si="11"/>
        <v>6.7534117647058789</v>
      </c>
      <c r="E170" s="18">
        <f t="shared" si="12"/>
        <v>19.084278462467395</v>
      </c>
      <c r="F170" s="18">
        <f t="shared" si="13"/>
        <v>-5.7374117647058789</v>
      </c>
      <c r="G170" s="19">
        <f t="shared" si="15"/>
        <v>-0.30063550875080303</v>
      </c>
      <c r="H170">
        <v>-0.5</v>
      </c>
    </row>
    <row r="171" spans="1:8" x14ac:dyDescent="0.3">
      <c r="A171" s="15">
        <v>45618</v>
      </c>
      <c r="B171" s="20">
        <v>0.02</v>
      </c>
      <c r="C171" s="16">
        <f t="shared" si="10"/>
        <v>0.50800000000000001</v>
      </c>
      <c r="D171" s="18">
        <f t="shared" si="11"/>
        <v>6.7534117647058789</v>
      </c>
      <c r="E171" s="18">
        <f t="shared" si="12"/>
        <v>19.084278462467395</v>
      </c>
      <c r="F171" s="18">
        <f t="shared" si="13"/>
        <v>-6.2454117647058789</v>
      </c>
      <c r="G171" s="19">
        <f t="shared" si="15"/>
        <v>-0.32725427775478044</v>
      </c>
      <c r="H171">
        <v>-0.5</v>
      </c>
    </row>
    <row r="172" spans="1:8" x14ac:dyDescent="0.3">
      <c r="A172" s="15">
        <v>45648</v>
      </c>
      <c r="B172" s="20">
        <v>0.79</v>
      </c>
      <c r="C172" s="16">
        <f t="shared" si="10"/>
        <v>20.065999999999999</v>
      </c>
      <c r="D172" s="18">
        <f t="shared" si="11"/>
        <v>6.7534117647058789</v>
      </c>
      <c r="E172" s="18">
        <f t="shared" si="12"/>
        <v>19.084278462467395</v>
      </c>
      <c r="F172" s="18">
        <f t="shared" si="13"/>
        <v>13.31258823529412</v>
      </c>
      <c r="G172" s="19">
        <f t="shared" si="15"/>
        <v>0.6975683288983483</v>
      </c>
      <c r="H172">
        <v>-0.5</v>
      </c>
    </row>
    <row r="173" spans="1:8" x14ac:dyDescent="0.3">
      <c r="A173" s="15">
        <v>45679</v>
      </c>
      <c r="B173" s="20">
        <v>6.81</v>
      </c>
      <c r="C173" s="16">
        <f t="shared" si="10"/>
        <v>172.97399999999999</v>
      </c>
      <c r="D173" s="18">
        <f t="shared" si="11"/>
        <v>6.7534117647058789</v>
      </c>
      <c r="E173" s="18">
        <f t="shared" si="12"/>
        <v>19.084278462467395</v>
      </c>
      <c r="F173" s="18">
        <f t="shared" si="13"/>
        <v>166.22058823529412</v>
      </c>
      <c r="G173" s="19">
        <f t="shared" si="15"/>
        <v>8.7098177990955357</v>
      </c>
      <c r="H173">
        <v>-0.5</v>
      </c>
    </row>
    <row r="174" spans="1:8" x14ac:dyDescent="0.3">
      <c r="A174" s="15">
        <v>45710</v>
      </c>
      <c r="B174" s="20">
        <v>0.41</v>
      </c>
      <c r="C174" s="16">
        <f t="shared" si="10"/>
        <v>10.413999999999998</v>
      </c>
      <c r="D174" s="18">
        <f t="shared" si="11"/>
        <v>6.7534117647058789</v>
      </c>
      <c r="E174" s="18">
        <f t="shared" si="12"/>
        <v>19.084278462467395</v>
      </c>
      <c r="F174" s="18">
        <f t="shared" si="13"/>
        <v>3.660588235294119</v>
      </c>
      <c r="G174" s="19">
        <f t="shared" si="15"/>
        <v>0.19181171782277817</v>
      </c>
      <c r="H174">
        <v>-0.5</v>
      </c>
    </row>
    <row r="175" spans="1:8" x14ac:dyDescent="0.3">
      <c r="A175" s="15">
        <v>45739</v>
      </c>
      <c r="B175" s="20">
        <v>0.82</v>
      </c>
      <c r="C175" s="16">
        <f t="shared" si="10"/>
        <v>20.827999999999996</v>
      </c>
      <c r="D175" s="18">
        <f t="shared" si="11"/>
        <v>6.7534117647058789</v>
      </c>
      <c r="E175" s="18">
        <f t="shared" si="12"/>
        <v>19.084278462467395</v>
      </c>
      <c r="F175" s="18">
        <f t="shared" si="13"/>
        <v>14.074588235294117</v>
      </c>
      <c r="G175" s="19">
        <f t="shared" si="15"/>
        <v>0.7374964824043142</v>
      </c>
      <c r="H175">
        <v>-0.5</v>
      </c>
    </row>
  </sheetData>
  <mergeCells count="2">
    <mergeCell ref="A2:G2"/>
    <mergeCell ref="A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Assegai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Mathonsi (22008826)</dc:creator>
  <cp:lastModifiedBy>S Mathonsi (22008826)</cp:lastModifiedBy>
  <dcterms:created xsi:type="dcterms:W3CDTF">2025-10-28T10:22:33Z</dcterms:created>
  <dcterms:modified xsi:type="dcterms:W3CDTF">2025-10-28T10:23:16Z</dcterms:modified>
</cp:coreProperties>
</file>