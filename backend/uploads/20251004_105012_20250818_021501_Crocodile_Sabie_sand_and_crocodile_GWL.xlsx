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khanet\Desktop\T Shakhane\Publications\Drought\data\Groundwater levels\"/>
    </mc:Choice>
  </mc:AlternateContent>
  <xr:revisionPtr revIDLastSave="0" documentId="13_ncr:1_{AB81F2B7-45A6-4DB3-8AE4-66955D679EA0}" xr6:coauthVersionLast="47" xr6:coauthVersionMax="47" xr10:uidLastSave="{00000000-0000-0000-0000-000000000000}"/>
  <bookViews>
    <workbookView xWindow="-120" yWindow="-120" windowWidth="20730" windowHeight="11160" tabRatio="820" activeTab="6" xr2:uid="{90F097EB-96DA-4E0B-8542-98E5AF2D4EEF}"/>
  </bookViews>
  <sheets>
    <sheet name="Crocodile workbook" sheetId="3" r:id="rId1"/>
    <sheet name="Sabie workbook" sheetId="7" r:id="rId2"/>
    <sheet name="Sand workbook" sheetId="8" r:id="rId3"/>
    <sheet name="Upper Komati" sheetId="9" r:id="rId4"/>
    <sheet name="Lower Komati " sheetId="10" r:id="rId5"/>
    <sheet name="Ngwempisi" sheetId="11" r:id="rId6"/>
    <sheet name="Assegai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12" l="1"/>
  <c r="E4" i="9"/>
  <c r="F4" i="9"/>
  <c r="F4" i="7" l="1"/>
  <c r="E4" i="7"/>
  <c r="F126" i="12" l="1"/>
  <c r="E126" i="12"/>
  <c r="F113" i="12"/>
  <c r="E113" i="12"/>
  <c r="C173" i="12"/>
  <c r="E173" i="12" s="1"/>
  <c r="F173" i="12" s="1"/>
  <c r="D173" i="12"/>
  <c r="D172" i="12"/>
  <c r="C172" i="12"/>
  <c r="E172" i="12" s="1"/>
  <c r="D171" i="12"/>
  <c r="C171" i="12"/>
  <c r="E171" i="12" s="1"/>
  <c r="D170" i="12"/>
  <c r="C170" i="12"/>
  <c r="E170" i="12" s="1"/>
  <c r="D169" i="12"/>
  <c r="C169" i="12"/>
  <c r="E169" i="12" s="1"/>
  <c r="D168" i="12"/>
  <c r="C168" i="12"/>
  <c r="E168" i="12" s="1"/>
  <c r="D167" i="12"/>
  <c r="C167" i="12"/>
  <c r="E167" i="12" s="1"/>
  <c r="D166" i="12"/>
  <c r="C166" i="12"/>
  <c r="E166" i="12" s="1"/>
  <c r="D165" i="12"/>
  <c r="C165" i="12"/>
  <c r="E165" i="12" s="1"/>
  <c r="D164" i="12"/>
  <c r="C164" i="12"/>
  <c r="E164" i="12" s="1"/>
  <c r="D163" i="12"/>
  <c r="C163" i="12"/>
  <c r="E163" i="12" s="1"/>
  <c r="D162" i="12"/>
  <c r="C162" i="12"/>
  <c r="E162" i="12" s="1"/>
  <c r="D161" i="12"/>
  <c r="C161" i="12"/>
  <c r="E161" i="12" s="1"/>
  <c r="D160" i="12"/>
  <c r="C160" i="12"/>
  <c r="E160" i="12" s="1"/>
  <c r="D159" i="12"/>
  <c r="C159" i="12"/>
  <c r="E159" i="12" s="1"/>
  <c r="D158" i="12"/>
  <c r="C158" i="12"/>
  <c r="E158" i="12" s="1"/>
  <c r="D157" i="12"/>
  <c r="C157" i="12"/>
  <c r="E157" i="12" s="1"/>
  <c r="D156" i="12"/>
  <c r="C156" i="12"/>
  <c r="E156" i="12" s="1"/>
  <c r="D155" i="12"/>
  <c r="C155" i="12"/>
  <c r="E155" i="12" s="1"/>
  <c r="D154" i="12"/>
  <c r="C154" i="12"/>
  <c r="E154" i="12" s="1"/>
  <c r="D153" i="12"/>
  <c r="C153" i="12"/>
  <c r="E153" i="12" s="1"/>
  <c r="D152" i="12"/>
  <c r="C152" i="12"/>
  <c r="E152" i="12" s="1"/>
  <c r="D151" i="12"/>
  <c r="C151" i="12"/>
  <c r="E151" i="12" s="1"/>
  <c r="D150" i="12"/>
  <c r="C150" i="12"/>
  <c r="E150" i="12" s="1"/>
  <c r="D149" i="12"/>
  <c r="C149" i="12"/>
  <c r="E149" i="12" s="1"/>
  <c r="D148" i="12"/>
  <c r="C148" i="12"/>
  <c r="E148" i="12" s="1"/>
  <c r="D147" i="12"/>
  <c r="C147" i="12"/>
  <c r="E147" i="12" s="1"/>
  <c r="D146" i="12"/>
  <c r="C146" i="12"/>
  <c r="E146" i="12" s="1"/>
  <c r="D145" i="12"/>
  <c r="C145" i="12"/>
  <c r="E145" i="12" s="1"/>
  <c r="D144" i="12"/>
  <c r="C144" i="12"/>
  <c r="E144" i="12" s="1"/>
  <c r="D143" i="12"/>
  <c r="C143" i="12"/>
  <c r="E143" i="12" s="1"/>
  <c r="D142" i="12"/>
  <c r="C142" i="12"/>
  <c r="E142" i="12" s="1"/>
  <c r="D141" i="12"/>
  <c r="C141" i="12"/>
  <c r="E141" i="12" s="1"/>
  <c r="D140" i="12"/>
  <c r="C140" i="12"/>
  <c r="E140" i="12" s="1"/>
  <c r="D139" i="12"/>
  <c r="C139" i="12"/>
  <c r="E139" i="12" s="1"/>
  <c r="D138" i="12"/>
  <c r="C138" i="12"/>
  <c r="E138" i="12" s="1"/>
  <c r="D137" i="12"/>
  <c r="C137" i="12"/>
  <c r="E137" i="12" s="1"/>
  <c r="D136" i="12"/>
  <c r="C136" i="12"/>
  <c r="E136" i="12" s="1"/>
  <c r="D135" i="12"/>
  <c r="C135" i="12"/>
  <c r="E135" i="12" s="1"/>
  <c r="D134" i="12"/>
  <c r="C134" i="12"/>
  <c r="E134" i="12" s="1"/>
  <c r="D133" i="12"/>
  <c r="C133" i="12"/>
  <c r="E133" i="12" s="1"/>
  <c r="D132" i="12"/>
  <c r="C132" i="12"/>
  <c r="E132" i="12" s="1"/>
  <c r="D131" i="12"/>
  <c r="C131" i="12"/>
  <c r="E131" i="12" s="1"/>
  <c r="D130" i="12"/>
  <c r="C130" i="12"/>
  <c r="E130" i="12" s="1"/>
  <c r="D129" i="12"/>
  <c r="C129" i="12"/>
  <c r="E129" i="12" s="1"/>
  <c r="D128" i="12"/>
  <c r="C128" i="12"/>
  <c r="E128" i="12" s="1"/>
  <c r="D127" i="12"/>
  <c r="C127" i="12"/>
  <c r="D126" i="12"/>
  <c r="C126" i="12"/>
  <c r="D125" i="12"/>
  <c r="C125" i="12"/>
  <c r="E125" i="12" s="1"/>
  <c r="D124" i="12"/>
  <c r="C124" i="12"/>
  <c r="E124" i="12" s="1"/>
  <c r="D123" i="12"/>
  <c r="C123" i="12"/>
  <c r="E123" i="12" s="1"/>
  <c r="D122" i="12"/>
  <c r="C122" i="12"/>
  <c r="E122" i="12" s="1"/>
  <c r="D121" i="12"/>
  <c r="C121" i="12"/>
  <c r="E121" i="12" s="1"/>
  <c r="D120" i="12"/>
  <c r="C120" i="12"/>
  <c r="E120" i="12" s="1"/>
  <c r="D119" i="12"/>
  <c r="C119" i="12"/>
  <c r="E119" i="12" s="1"/>
  <c r="D118" i="12"/>
  <c r="C118" i="12"/>
  <c r="E118" i="12" s="1"/>
  <c r="D117" i="12"/>
  <c r="C117" i="12"/>
  <c r="E117" i="12" s="1"/>
  <c r="D116" i="12"/>
  <c r="C116" i="12"/>
  <c r="E116" i="12" s="1"/>
  <c r="D115" i="12"/>
  <c r="C115" i="12"/>
  <c r="D114" i="12"/>
  <c r="C114" i="12"/>
  <c r="D113" i="12"/>
  <c r="C113" i="12"/>
  <c r="D112" i="12"/>
  <c r="C112" i="12"/>
  <c r="E112" i="12" s="1"/>
  <c r="D111" i="12"/>
  <c r="C111" i="12"/>
  <c r="E111" i="12" s="1"/>
  <c r="D110" i="12"/>
  <c r="C110" i="12"/>
  <c r="E110" i="12" s="1"/>
  <c r="D109" i="12"/>
  <c r="C109" i="12"/>
  <c r="E109" i="12" s="1"/>
  <c r="D108" i="12"/>
  <c r="C108" i="12"/>
  <c r="E108" i="12" s="1"/>
  <c r="D107" i="12"/>
  <c r="C107" i="12"/>
  <c r="E107" i="12" s="1"/>
  <c r="D106" i="12"/>
  <c r="C106" i="12"/>
  <c r="E106" i="12" s="1"/>
  <c r="D105" i="12"/>
  <c r="C105" i="12"/>
  <c r="E105" i="12" s="1"/>
  <c r="D104" i="12"/>
  <c r="C104" i="12"/>
  <c r="E104" i="12" s="1"/>
  <c r="D103" i="12"/>
  <c r="C103" i="12"/>
  <c r="E103" i="12" s="1"/>
  <c r="D102" i="12"/>
  <c r="C102" i="12"/>
  <c r="E102" i="12" s="1"/>
  <c r="D101" i="12"/>
  <c r="C101" i="12"/>
  <c r="E101" i="12" s="1"/>
  <c r="D100" i="12"/>
  <c r="C100" i="12"/>
  <c r="E100" i="12" s="1"/>
  <c r="D99" i="12"/>
  <c r="C99" i="12"/>
  <c r="E99" i="12" s="1"/>
  <c r="D98" i="12"/>
  <c r="C98" i="12"/>
  <c r="E98" i="12" s="1"/>
  <c r="D97" i="12"/>
  <c r="C97" i="12"/>
  <c r="E97" i="12" s="1"/>
  <c r="D96" i="12"/>
  <c r="C96" i="12"/>
  <c r="E96" i="12" s="1"/>
  <c r="D95" i="12"/>
  <c r="C95" i="12"/>
  <c r="E95" i="12" s="1"/>
  <c r="D94" i="12"/>
  <c r="C94" i="12"/>
  <c r="E94" i="12" s="1"/>
  <c r="D93" i="12"/>
  <c r="C93" i="12"/>
  <c r="E93" i="12" s="1"/>
  <c r="D92" i="12"/>
  <c r="C92" i="12"/>
  <c r="E92" i="12" s="1"/>
  <c r="D91" i="12"/>
  <c r="C91" i="12"/>
  <c r="E91" i="12" s="1"/>
  <c r="D90" i="12"/>
  <c r="C90" i="12"/>
  <c r="E90" i="12" s="1"/>
  <c r="D89" i="12"/>
  <c r="C89" i="12"/>
  <c r="E89" i="12" s="1"/>
  <c r="D88" i="12"/>
  <c r="C88" i="12"/>
  <c r="E88" i="12" s="1"/>
  <c r="D87" i="12"/>
  <c r="C87" i="12"/>
  <c r="E87" i="12" s="1"/>
  <c r="D86" i="12"/>
  <c r="C86" i="12"/>
  <c r="E86" i="12" s="1"/>
  <c r="D85" i="12"/>
  <c r="C85" i="12"/>
  <c r="E85" i="12" s="1"/>
  <c r="D84" i="12"/>
  <c r="C84" i="12"/>
  <c r="E84" i="12" s="1"/>
  <c r="D83" i="12"/>
  <c r="C83" i="12"/>
  <c r="E83" i="12" s="1"/>
  <c r="D82" i="12"/>
  <c r="C82" i="12"/>
  <c r="E82" i="12" s="1"/>
  <c r="D81" i="12"/>
  <c r="C81" i="12"/>
  <c r="E81" i="12" s="1"/>
  <c r="D80" i="12"/>
  <c r="C80" i="12"/>
  <c r="E80" i="12" s="1"/>
  <c r="D79" i="12"/>
  <c r="C79" i="12"/>
  <c r="E79" i="12" s="1"/>
  <c r="D78" i="12"/>
  <c r="C78" i="12"/>
  <c r="E78" i="12" s="1"/>
  <c r="D77" i="12"/>
  <c r="C77" i="12"/>
  <c r="E77" i="12" s="1"/>
  <c r="D76" i="12"/>
  <c r="C76" i="12"/>
  <c r="E76" i="12" s="1"/>
  <c r="D75" i="12"/>
  <c r="C75" i="12"/>
  <c r="E75" i="12" s="1"/>
  <c r="D74" i="12"/>
  <c r="C74" i="12"/>
  <c r="E74" i="12" s="1"/>
  <c r="D73" i="12"/>
  <c r="C73" i="12"/>
  <c r="E73" i="12" s="1"/>
  <c r="D72" i="12"/>
  <c r="C72" i="12"/>
  <c r="E72" i="12" s="1"/>
  <c r="D71" i="12"/>
  <c r="C71" i="12"/>
  <c r="E71" i="12" s="1"/>
  <c r="D70" i="12"/>
  <c r="C70" i="12"/>
  <c r="E70" i="12" s="1"/>
  <c r="D69" i="12"/>
  <c r="C69" i="12"/>
  <c r="E69" i="12" s="1"/>
  <c r="D68" i="12"/>
  <c r="C68" i="12"/>
  <c r="E68" i="12" s="1"/>
  <c r="D67" i="12"/>
  <c r="C67" i="12"/>
  <c r="E67" i="12" s="1"/>
  <c r="D66" i="12"/>
  <c r="C66" i="12"/>
  <c r="E66" i="12" s="1"/>
  <c r="D65" i="12"/>
  <c r="C65" i="12"/>
  <c r="E65" i="12" s="1"/>
  <c r="D64" i="12"/>
  <c r="C64" i="12"/>
  <c r="E64" i="12" s="1"/>
  <c r="D63" i="12"/>
  <c r="C63" i="12"/>
  <c r="E63" i="12" s="1"/>
  <c r="D62" i="12"/>
  <c r="C62" i="12"/>
  <c r="E62" i="12" s="1"/>
  <c r="D61" i="12"/>
  <c r="C61" i="12"/>
  <c r="E61" i="12" s="1"/>
  <c r="D60" i="12"/>
  <c r="C60" i="12"/>
  <c r="E60" i="12" s="1"/>
  <c r="D59" i="12"/>
  <c r="C59" i="12"/>
  <c r="E59" i="12" s="1"/>
  <c r="D58" i="12"/>
  <c r="C58" i="12"/>
  <c r="E58" i="12" s="1"/>
  <c r="D57" i="12"/>
  <c r="C57" i="12"/>
  <c r="E57" i="12" s="1"/>
  <c r="D56" i="12"/>
  <c r="C56" i="12"/>
  <c r="E56" i="12" s="1"/>
  <c r="D55" i="12"/>
  <c r="C55" i="12"/>
  <c r="E55" i="12" s="1"/>
  <c r="D54" i="12"/>
  <c r="C54" i="12"/>
  <c r="E54" i="12" s="1"/>
  <c r="D53" i="12"/>
  <c r="C53" i="12"/>
  <c r="E53" i="12" s="1"/>
  <c r="D52" i="12"/>
  <c r="C52" i="12"/>
  <c r="E52" i="12" s="1"/>
  <c r="D51" i="12"/>
  <c r="C51" i="12"/>
  <c r="E51" i="12" s="1"/>
  <c r="D50" i="12"/>
  <c r="C50" i="12"/>
  <c r="E50" i="12" s="1"/>
  <c r="D49" i="12"/>
  <c r="C49" i="12"/>
  <c r="E49" i="12" s="1"/>
  <c r="D48" i="12"/>
  <c r="C48" i="12"/>
  <c r="E48" i="12" s="1"/>
  <c r="D47" i="12"/>
  <c r="C47" i="12"/>
  <c r="E47" i="12" s="1"/>
  <c r="D46" i="12"/>
  <c r="C46" i="12"/>
  <c r="E46" i="12" s="1"/>
  <c r="D45" i="12"/>
  <c r="C45" i="12"/>
  <c r="E45" i="12" s="1"/>
  <c r="D44" i="12"/>
  <c r="C44" i="12"/>
  <c r="E44" i="12" s="1"/>
  <c r="D43" i="12"/>
  <c r="C43" i="12"/>
  <c r="E43" i="12" s="1"/>
  <c r="D42" i="12"/>
  <c r="C42" i="12"/>
  <c r="E42" i="12" s="1"/>
  <c r="D41" i="12"/>
  <c r="C41" i="12"/>
  <c r="E41" i="12" s="1"/>
  <c r="D40" i="12"/>
  <c r="C40" i="12"/>
  <c r="E40" i="12" s="1"/>
  <c r="D39" i="12"/>
  <c r="C39" i="12"/>
  <c r="E39" i="12" s="1"/>
  <c r="D38" i="12"/>
  <c r="C38" i="12"/>
  <c r="E38" i="12" s="1"/>
  <c r="D37" i="12"/>
  <c r="C37" i="12"/>
  <c r="E37" i="12" s="1"/>
  <c r="D36" i="12"/>
  <c r="C36" i="12"/>
  <c r="E36" i="12" s="1"/>
  <c r="D35" i="12"/>
  <c r="C35" i="12"/>
  <c r="E35" i="12" s="1"/>
  <c r="D34" i="12"/>
  <c r="C34" i="12"/>
  <c r="E34" i="12" s="1"/>
  <c r="D33" i="12"/>
  <c r="C33" i="12"/>
  <c r="E33" i="12" s="1"/>
  <c r="D32" i="12"/>
  <c r="C32" i="12"/>
  <c r="E32" i="12" s="1"/>
  <c r="D31" i="12"/>
  <c r="C31" i="12"/>
  <c r="E31" i="12" s="1"/>
  <c r="D30" i="12"/>
  <c r="C30" i="12"/>
  <c r="E30" i="12" s="1"/>
  <c r="D29" i="12"/>
  <c r="C29" i="12"/>
  <c r="E29" i="12" s="1"/>
  <c r="D28" i="12"/>
  <c r="C28" i="12"/>
  <c r="E28" i="12" s="1"/>
  <c r="D27" i="12"/>
  <c r="C27" i="12"/>
  <c r="E27" i="12" s="1"/>
  <c r="D26" i="12"/>
  <c r="C26" i="12"/>
  <c r="E26" i="12" s="1"/>
  <c r="D25" i="12"/>
  <c r="C25" i="12"/>
  <c r="E25" i="12" s="1"/>
  <c r="D24" i="12"/>
  <c r="C24" i="12"/>
  <c r="E24" i="12" s="1"/>
  <c r="D23" i="12"/>
  <c r="C23" i="12"/>
  <c r="E23" i="12" s="1"/>
  <c r="D22" i="12"/>
  <c r="C22" i="12"/>
  <c r="E22" i="12" s="1"/>
  <c r="D21" i="12"/>
  <c r="C21" i="12"/>
  <c r="E21" i="12" s="1"/>
  <c r="D20" i="12"/>
  <c r="C20" i="12"/>
  <c r="E20" i="12" s="1"/>
  <c r="D19" i="12"/>
  <c r="C19" i="12"/>
  <c r="E19" i="12" s="1"/>
  <c r="D18" i="12"/>
  <c r="C18" i="12"/>
  <c r="E18" i="12" s="1"/>
  <c r="D17" i="12"/>
  <c r="C17" i="12"/>
  <c r="E17" i="12" s="1"/>
  <c r="D16" i="12"/>
  <c r="C16" i="12"/>
  <c r="E16" i="12" s="1"/>
  <c r="D15" i="12"/>
  <c r="C15" i="12"/>
  <c r="E15" i="12" s="1"/>
  <c r="D14" i="12"/>
  <c r="C14" i="12"/>
  <c r="E14" i="12" s="1"/>
  <c r="D13" i="12"/>
  <c r="C13" i="12"/>
  <c r="E13" i="12" s="1"/>
  <c r="D12" i="12"/>
  <c r="C12" i="12"/>
  <c r="E12" i="12" s="1"/>
  <c r="D11" i="12"/>
  <c r="C11" i="12"/>
  <c r="E11" i="12" s="1"/>
  <c r="D10" i="12"/>
  <c r="C10" i="12"/>
  <c r="E10" i="12" s="1"/>
  <c r="D9" i="12"/>
  <c r="C9" i="12"/>
  <c r="E9" i="12" s="1"/>
  <c r="D8" i="12"/>
  <c r="C8" i="12"/>
  <c r="E8" i="12" s="1"/>
  <c r="D7" i="12"/>
  <c r="C7" i="12"/>
  <c r="E7" i="12" s="1"/>
  <c r="D6" i="12"/>
  <c r="C6" i="12"/>
  <c r="E6" i="12" s="1"/>
  <c r="D5" i="12"/>
  <c r="C5" i="12"/>
  <c r="E5" i="12" s="1"/>
  <c r="D4" i="12"/>
  <c r="C4" i="12"/>
  <c r="F159" i="12" l="1"/>
  <c r="F163" i="12"/>
  <c r="F167" i="12"/>
  <c r="F171" i="12"/>
  <c r="F106" i="12"/>
  <c r="F153" i="12"/>
  <c r="F165" i="12"/>
  <c r="F154" i="12"/>
  <c r="F112" i="12"/>
  <c r="F130" i="12"/>
  <c r="F145" i="12"/>
  <c r="F149" i="12"/>
  <c r="F157" i="12"/>
  <c r="F161" i="12"/>
  <c r="F135" i="12"/>
  <c r="F151" i="12"/>
  <c r="F155" i="12"/>
  <c r="F131" i="12"/>
  <c r="F138" i="12"/>
  <c r="F160" i="12"/>
  <c r="F119" i="12"/>
  <c r="F142" i="12"/>
  <c r="F146" i="12"/>
  <c r="F143" i="12"/>
  <c r="F147" i="12"/>
  <c r="F169" i="12"/>
  <c r="F158" i="12"/>
  <c r="F162" i="12"/>
  <c r="F122" i="12"/>
  <c r="F144" i="12"/>
  <c r="F170" i="12"/>
  <c r="F4" i="12"/>
  <c r="F8" i="12"/>
  <c r="F12" i="12"/>
  <c r="F16" i="12"/>
  <c r="F20" i="12"/>
  <c r="F24" i="12"/>
  <c r="F28" i="12"/>
  <c r="F32" i="12"/>
  <c r="F36" i="12"/>
  <c r="F40" i="12"/>
  <c r="F44" i="12"/>
  <c r="F48" i="12"/>
  <c r="F52" i="12"/>
  <c r="F56" i="12"/>
  <c r="F60" i="12"/>
  <c r="F64" i="12"/>
  <c r="F68" i="12"/>
  <c r="F72" i="12"/>
  <c r="F76" i="12"/>
  <c r="F80" i="12"/>
  <c r="F84" i="12"/>
  <c r="F88" i="12"/>
  <c r="F92" i="12"/>
  <c r="F96" i="12"/>
  <c r="F100" i="12"/>
  <c r="F107" i="12"/>
  <c r="F120" i="12"/>
  <c r="F136" i="12"/>
  <c r="F152" i="12"/>
  <c r="F168" i="12"/>
  <c r="F111" i="12"/>
  <c r="F124" i="12"/>
  <c r="F140" i="12"/>
  <c r="F156" i="12"/>
  <c r="F172" i="12"/>
  <c r="F105" i="12"/>
  <c r="F118" i="12"/>
  <c r="F134" i="12"/>
  <c r="F150" i="12"/>
  <c r="F166" i="12"/>
  <c r="F148" i="12"/>
  <c r="F164" i="12"/>
  <c r="F129" i="12"/>
  <c r="F110" i="12"/>
  <c r="F123" i="12"/>
  <c r="F139" i="12"/>
  <c r="F5" i="12"/>
  <c r="F9" i="12"/>
  <c r="F13" i="12"/>
  <c r="F17" i="12"/>
  <c r="F21" i="12"/>
  <c r="F25" i="12"/>
  <c r="F29" i="12"/>
  <c r="F33" i="12"/>
  <c r="F37" i="12"/>
  <c r="F41" i="12"/>
  <c r="F45" i="12"/>
  <c r="F49" i="12"/>
  <c r="F53" i="12"/>
  <c r="F57" i="12"/>
  <c r="F61" i="12"/>
  <c r="F65" i="12"/>
  <c r="F69" i="12"/>
  <c r="F73" i="12"/>
  <c r="F77" i="12"/>
  <c r="F81" i="12"/>
  <c r="F85" i="12"/>
  <c r="F89" i="12"/>
  <c r="F93" i="12"/>
  <c r="F97" i="12"/>
  <c r="F101" i="12"/>
  <c r="F104" i="12"/>
  <c r="F117" i="12"/>
  <c r="F133" i="12"/>
  <c r="F6" i="12"/>
  <c r="F10" i="12"/>
  <c r="F14" i="12"/>
  <c r="F18" i="12"/>
  <c r="F22" i="12"/>
  <c r="F26" i="12"/>
  <c r="F30" i="12"/>
  <c r="F34" i="12"/>
  <c r="F38" i="12"/>
  <c r="F42" i="12"/>
  <c r="F46" i="12"/>
  <c r="F50" i="12"/>
  <c r="F54" i="12"/>
  <c r="F58" i="12"/>
  <c r="F62" i="12"/>
  <c r="F66" i="12"/>
  <c r="F70" i="12"/>
  <c r="F74" i="12"/>
  <c r="F78" i="12"/>
  <c r="F82" i="12"/>
  <c r="F86" i="12"/>
  <c r="F90" i="12"/>
  <c r="F94" i="12"/>
  <c r="F98" i="12"/>
  <c r="F102" i="12"/>
  <c r="F108" i="12"/>
  <c r="F121" i="12"/>
  <c r="F128" i="12"/>
  <c r="F137" i="12"/>
  <c r="F109" i="12"/>
  <c r="F7" i="12"/>
  <c r="F11" i="12"/>
  <c r="F15" i="12"/>
  <c r="F19" i="12"/>
  <c r="F23" i="12"/>
  <c r="F27" i="12"/>
  <c r="F31" i="12"/>
  <c r="F35" i="12"/>
  <c r="F39" i="12"/>
  <c r="F43" i="12"/>
  <c r="F47" i="12"/>
  <c r="F51" i="12"/>
  <c r="F55" i="12"/>
  <c r="F59" i="12"/>
  <c r="F63" i="12"/>
  <c r="F67" i="12"/>
  <c r="F71" i="12"/>
  <c r="F75" i="12"/>
  <c r="F79" i="12"/>
  <c r="F83" i="12"/>
  <c r="F87" i="12"/>
  <c r="F91" i="12"/>
  <c r="F95" i="12"/>
  <c r="F99" i="12"/>
  <c r="F103" i="12"/>
  <c r="F116" i="12"/>
  <c r="F125" i="12"/>
  <c r="F132" i="12"/>
  <c r="F141" i="12"/>
  <c r="D173" i="11" l="1"/>
  <c r="C173" i="11"/>
  <c r="E173" i="11" s="1"/>
  <c r="D172" i="11"/>
  <c r="C172" i="11"/>
  <c r="E172" i="11" s="1"/>
  <c r="D171" i="11"/>
  <c r="C171" i="11"/>
  <c r="E171" i="11" s="1"/>
  <c r="D170" i="11"/>
  <c r="C170" i="11"/>
  <c r="E170" i="11" s="1"/>
  <c r="D169" i="11"/>
  <c r="C169" i="11"/>
  <c r="E169" i="11" s="1"/>
  <c r="D168" i="11"/>
  <c r="C168" i="11"/>
  <c r="E168" i="11" s="1"/>
  <c r="D167" i="11"/>
  <c r="C167" i="11"/>
  <c r="E167" i="11" s="1"/>
  <c r="D166" i="11"/>
  <c r="C166" i="11"/>
  <c r="E166" i="11" s="1"/>
  <c r="D165" i="11"/>
  <c r="C165" i="11"/>
  <c r="E165" i="11" s="1"/>
  <c r="D164" i="11"/>
  <c r="C164" i="11"/>
  <c r="E164" i="11" s="1"/>
  <c r="D163" i="11"/>
  <c r="C163" i="11"/>
  <c r="E163" i="11" s="1"/>
  <c r="D162" i="11"/>
  <c r="C162" i="11"/>
  <c r="E162" i="11" s="1"/>
  <c r="D161" i="11"/>
  <c r="C161" i="11"/>
  <c r="E161" i="11" s="1"/>
  <c r="D160" i="11"/>
  <c r="C160" i="11"/>
  <c r="E160" i="11" s="1"/>
  <c r="D159" i="11"/>
  <c r="C159" i="11"/>
  <c r="E159" i="11" s="1"/>
  <c r="D158" i="11"/>
  <c r="C158" i="11"/>
  <c r="E158" i="11" s="1"/>
  <c r="D157" i="11"/>
  <c r="C157" i="11"/>
  <c r="E157" i="11" s="1"/>
  <c r="D156" i="11"/>
  <c r="C156" i="11"/>
  <c r="E156" i="11" s="1"/>
  <c r="D155" i="11"/>
  <c r="C155" i="11"/>
  <c r="E155" i="11" s="1"/>
  <c r="D154" i="11"/>
  <c r="C154" i="11"/>
  <c r="E154" i="11" s="1"/>
  <c r="D153" i="11"/>
  <c r="C153" i="11"/>
  <c r="E153" i="11" s="1"/>
  <c r="D152" i="11"/>
  <c r="C152" i="11"/>
  <c r="E152" i="11" s="1"/>
  <c r="D151" i="11"/>
  <c r="C151" i="11"/>
  <c r="E151" i="11" s="1"/>
  <c r="D150" i="11"/>
  <c r="C150" i="11"/>
  <c r="E150" i="11" s="1"/>
  <c r="D149" i="11"/>
  <c r="C149" i="11"/>
  <c r="E149" i="11" s="1"/>
  <c r="D148" i="11"/>
  <c r="C148" i="11"/>
  <c r="E148" i="11" s="1"/>
  <c r="D147" i="11"/>
  <c r="C147" i="11"/>
  <c r="E147" i="11" s="1"/>
  <c r="D146" i="11"/>
  <c r="C146" i="11"/>
  <c r="E146" i="11" s="1"/>
  <c r="D145" i="11"/>
  <c r="C145" i="11"/>
  <c r="E145" i="11" s="1"/>
  <c r="D144" i="11"/>
  <c r="C144" i="11"/>
  <c r="E144" i="11" s="1"/>
  <c r="D143" i="11"/>
  <c r="C143" i="11"/>
  <c r="E143" i="11" s="1"/>
  <c r="D142" i="11"/>
  <c r="C142" i="11"/>
  <c r="E142" i="11" s="1"/>
  <c r="D141" i="11"/>
  <c r="C141" i="11"/>
  <c r="E141" i="11" s="1"/>
  <c r="D140" i="11"/>
  <c r="C140" i="11"/>
  <c r="E140" i="11" s="1"/>
  <c r="D139" i="11"/>
  <c r="C139" i="11"/>
  <c r="E139" i="11" s="1"/>
  <c r="D138" i="11"/>
  <c r="C138" i="11"/>
  <c r="E138" i="11" s="1"/>
  <c r="D137" i="11"/>
  <c r="C137" i="11"/>
  <c r="E137" i="11" s="1"/>
  <c r="D136" i="11"/>
  <c r="C136" i="11"/>
  <c r="E136" i="11" s="1"/>
  <c r="D135" i="11"/>
  <c r="C135" i="11"/>
  <c r="E135" i="11" s="1"/>
  <c r="D134" i="11"/>
  <c r="C134" i="11"/>
  <c r="E134" i="11" s="1"/>
  <c r="D133" i="11"/>
  <c r="C133" i="11"/>
  <c r="E133" i="11" s="1"/>
  <c r="D132" i="11"/>
  <c r="C132" i="11"/>
  <c r="E132" i="11" s="1"/>
  <c r="D131" i="11"/>
  <c r="C131" i="11"/>
  <c r="E131" i="11" s="1"/>
  <c r="D130" i="11"/>
  <c r="C130" i="11"/>
  <c r="E130" i="11" s="1"/>
  <c r="D129" i="11"/>
  <c r="C129" i="11"/>
  <c r="E129" i="11" s="1"/>
  <c r="D128" i="11"/>
  <c r="C128" i="11"/>
  <c r="E128" i="11" s="1"/>
  <c r="D127" i="11"/>
  <c r="C127" i="11"/>
  <c r="E127" i="11" s="1"/>
  <c r="D126" i="11"/>
  <c r="C126" i="11"/>
  <c r="E126" i="11" s="1"/>
  <c r="D125" i="11"/>
  <c r="C125" i="11"/>
  <c r="E125" i="11" s="1"/>
  <c r="D124" i="11"/>
  <c r="C124" i="11"/>
  <c r="E124" i="11" s="1"/>
  <c r="D123" i="11"/>
  <c r="C123" i="11"/>
  <c r="E123" i="11" s="1"/>
  <c r="D122" i="11"/>
  <c r="C122" i="11"/>
  <c r="E122" i="11" s="1"/>
  <c r="D121" i="11"/>
  <c r="C121" i="11"/>
  <c r="E121" i="11" s="1"/>
  <c r="D120" i="11"/>
  <c r="C120" i="11"/>
  <c r="E120" i="11" s="1"/>
  <c r="D119" i="11"/>
  <c r="C119" i="11"/>
  <c r="E119" i="11" s="1"/>
  <c r="D118" i="11"/>
  <c r="C118" i="11"/>
  <c r="E118" i="11" s="1"/>
  <c r="D117" i="11"/>
  <c r="C117" i="11"/>
  <c r="E117" i="11" s="1"/>
  <c r="D116" i="11"/>
  <c r="C116" i="11"/>
  <c r="E116" i="11" s="1"/>
  <c r="D115" i="11"/>
  <c r="C115" i="11"/>
  <c r="E115" i="11" s="1"/>
  <c r="D114" i="11"/>
  <c r="C114" i="11"/>
  <c r="D113" i="11"/>
  <c r="C113" i="11"/>
  <c r="D112" i="11"/>
  <c r="C112" i="11"/>
  <c r="E112" i="11" s="1"/>
  <c r="D111" i="11"/>
  <c r="C111" i="11"/>
  <c r="E111" i="11" s="1"/>
  <c r="D110" i="11"/>
  <c r="C110" i="11"/>
  <c r="E110" i="11" s="1"/>
  <c r="D109" i="11"/>
  <c r="C109" i="11"/>
  <c r="E109" i="11" s="1"/>
  <c r="D108" i="11"/>
  <c r="C108" i="11"/>
  <c r="E108" i="11" s="1"/>
  <c r="D107" i="11"/>
  <c r="C107" i="11"/>
  <c r="E107" i="11" s="1"/>
  <c r="D106" i="11"/>
  <c r="C106" i="11"/>
  <c r="E106" i="11" s="1"/>
  <c r="D105" i="11"/>
  <c r="C105" i="11"/>
  <c r="E105" i="11" s="1"/>
  <c r="D104" i="11"/>
  <c r="C104" i="11"/>
  <c r="E104" i="11" s="1"/>
  <c r="D103" i="11"/>
  <c r="C103" i="11"/>
  <c r="E103" i="11" s="1"/>
  <c r="D102" i="11"/>
  <c r="C102" i="11"/>
  <c r="E102" i="11" s="1"/>
  <c r="D101" i="11"/>
  <c r="C101" i="11"/>
  <c r="E101" i="11" s="1"/>
  <c r="D100" i="11"/>
  <c r="C100" i="11"/>
  <c r="E100" i="11" s="1"/>
  <c r="D99" i="11"/>
  <c r="C99" i="11"/>
  <c r="E99" i="11" s="1"/>
  <c r="D98" i="11"/>
  <c r="C98" i="11"/>
  <c r="E98" i="11" s="1"/>
  <c r="D97" i="11"/>
  <c r="C97" i="11"/>
  <c r="E97" i="11" s="1"/>
  <c r="D96" i="11"/>
  <c r="C96" i="11"/>
  <c r="E96" i="11" s="1"/>
  <c r="D95" i="11"/>
  <c r="C95" i="11"/>
  <c r="E95" i="11" s="1"/>
  <c r="D94" i="11"/>
  <c r="C94" i="11"/>
  <c r="E94" i="11" s="1"/>
  <c r="D93" i="11"/>
  <c r="C93" i="11"/>
  <c r="E93" i="11" s="1"/>
  <c r="D92" i="11"/>
  <c r="C92" i="11"/>
  <c r="E92" i="11" s="1"/>
  <c r="D91" i="11"/>
  <c r="C91" i="11"/>
  <c r="E91" i="11" s="1"/>
  <c r="D90" i="11"/>
  <c r="C90" i="11"/>
  <c r="E90" i="11" s="1"/>
  <c r="D89" i="11"/>
  <c r="C89" i="11"/>
  <c r="E89" i="11" s="1"/>
  <c r="D88" i="11"/>
  <c r="C88" i="11"/>
  <c r="E88" i="11" s="1"/>
  <c r="D87" i="11"/>
  <c r="C87" i="11"/>
  <c r="E87" i="11" s="1"/>
  <c r="D86" i="11"/>
  <c r="C86" i="11"/>
  <c r="E86" i="11" s="1"/>
  <c r="D85" i="11"/>
  <c r="C85" i="11"/>
  <c r="E85" i="11" s="1"/>
  <c r="D84" i="11"/>
  <c r="C84" i="11"/>
  <c r="E84" i="11" s="1"/>
  <c r="D83" i="11"/>
  <c r="C83" i="11"/>
  <c r="E83" i="11" s="1"/>
  <c r="D82" i="11"/>
  <c r="C82" i="11"/>
  <c r="E82" i="11" s="1"/>
  <c r="D81" i="11"/>
  <c r="C81" i="11"/>
  <c r="E81" i="11" s="1"/>
  <c r="D80" i="11"/>
  <c r="C80" i="11"/>
  <c r="E80" i="11" s="1"/>
  <c r="D79" i="11"/>
  <c r="C79" i="11"/>
  <c r="E79" i="11" s="1"/>
  <c r="D78" i="11"/>
  <c r="C78" i="11"/>
  <c r="E78" i="11" s="1"/>
  <c r="D77" i="11"/>
  <c r="C77" i="11"/>
  <c r="E77" i="11" s="1"/>
  <c r="D76" i="11"/>
  <c r="C76" i="11"/>
  <c r="E76" i="11" s="1"/>
  <c r="D75" i="11"/>
  <c r="C75" i="11"/>
  <c r="E75" i="11" s="1"/>
  <c r="D74" i="11"/>
  <c r="C74" i="11"/>
  <c r="E74" i="11" s="1"/>
  <c r="D73" i="11"/>
  <c r="C73" i="11"/>
  <c r="E73" i="11" s="1"/>
  <c r="D72" i="11"/>
  <c r="C72" i="11"/>
  <c r="E72" i="11" s="1"/>
  <c r="D71" i="11"/>
  <c r="C71" i="11"/>
  <c r="E71" i="11" s="1"/>
  <c r="D70" i="11"/>
  <c r="C70" i="11"/>
  <c r="E70" i="11" s="1"/>
  <c r="D69" i="11"/>
  <c r="C69" i="11"/>
  <c r="E69" i="11" s="1"/>
  <c r="D68" i="11"/>
  <c r="C68" i="11"/>
  <c r="E68" i="11" s="1"/>
  <c r="D67" i="11"/>
  <c r="C67" i="11"/>
  <c r="E67" i="11" s="1"/>
  <c r="D66" i="11"/>
  <c r="C66" i="11"/>
  <c r="E66" i="11" s="1"/>
  <c r="D65" i="11"/>
  <c r="C65" i="11"/>
  <c r="E65" i="11" s="1"/>
  <c r="D64" i="11"/>
  <c r="C64" i="11"/>
  <c r="E64" i="11" s="1"/>
  <c r="D63" i="11"/>
  <c r="C63" i="11"/>
  <c r="E63" i="11" s="1"/>
  <c r="D62" i="11"/>
  <c r="C62" i="11"/>
  <c r="E62" i="11" s="1"/>
  <c r="D61" i="11"/>
  <c r="C61" i="11"/>
  <c r="E61" i="11" s="1"/>
  <c r="D60" i="11"/>
  <c r="C60" i="11"/>
  <c r="E60" i="11" s="1"/>
  <c r="D59" i="11"/>
  <c r="C59" i="11"/>
  <c r="E59" i="11" s="1"/>
  <c r="D58" i="11"/>
  <c r="C58" i="11"/>
  <c r="E58" i="11" s="1"/>
  <c r="D57" i="11"/>
  <c r="C57" i="11"/>
  <c r="E57" i="11" s="1"/>
  <c r="D56" i="11"/>
  <c r="C56" i="11"/>
  <c r="E56" i="11" s="1"/>
  <c r="D55" i="11"/>
  <c r="C55" i="11"/>
  <c r="E55" i="11" s="1"/>
  <c r="D54" i="11"/>
  <c r="C54" i="11"/>
  <c r="E54" i="11" s="1"/>
  <c r="D53" i="11"/>
  <c r="C53" i="11"/>
  <c r="E53" i="11" s="1"/>
  <c r="D52" i="11"/>
  <c r="C52" i="11"/>
  <c r="E52" i="11" s="1"/>
  <c r="D51" i="11"/>
  <c r="C51" i="11"/>
  <c r="E51" i="11" s="1"/>
  <c r="D50" i="11"/>
  <c r="C50" i="11"/>
  <c r="E50" i="11" s="1"/>
  <c r="D49" i="11"/>
  <c r="C49" i="11"/>
  <c r="E49" i="11" s="1"/>
  <c r="D48" i="11"/>
  <c r="C48" i="11"/>
  <c r="E48" i="11" s="1"/>
  <c r="D47" i="11"/>
  <c r="C47" i="11"/>
  <c r="E47" i="11" s="1"/>
  <c r="D46" i="11"/>
  <c r="C46" i="11"/>
  <c r="E46" i="11" s="1"/>
  <c r="D45" i="11"/>
  <c r="C45" i="11"/>
  <c r="E45" i="11" s="1"/>
  <c r="D44" i="11"/>
  <c r="C44" i="11"/>
  <c r="E44" i="11" s="1"/>
  <c r="D43" i="11"/>
  <c r="C43" i="11"/>
  <c r="E43" i="11" s="1"/>
  <c r="D42" i="11"/>
  <c r="C42" i="11"/>
  <c r="E42" i="11" s="1"/>
  <c r="D41" i="11"/>
  <c r="C41" i="11"/>
  <c r="E41" i="11" s="1"/>
  <c r="D40" i="11"/>
  <c r="C40" i="11"/>
  <c r="E40" i="11" s="1"/>
  <c r="D39" i="11"/>
  <c r="C39" i="11"/>
  <c r="E39" i="11" s="1"/>
  <c r="D38" i="11"/>
  <c r="C38" i="11"/>
  <c r="E38" i="11" s="1"/>
  <c r="D37" i="11"/>
  <c r="C37" i="11"/>
  <c r="E37" i="11" s="1"/>
  <c r="D36" i="11"/>
  <c r="C36" i="11"/>
  <c r="E36" i="11" s="1"/>
  <c r="D35" i="11"/>
  <c r="C35" i="11"/>
  <c r="E35" i="11" s="1"/>
  <c r="D34" i="11"/>
  <c r="C34" i="11"/>
  <c r="E34" i="11" s="1"/>
  <c r="D33" i="11"/>
  <c r="C33" i="11"/>
  <c r="E33" i="11" s="1"/>
  <c r="D32" i="11"/>
  <c r="C32" i="11"/>
  <c r="E32" i="11" s="1"/>
  <c r="D31" i="11"/>
  <c r="C31" i="11"/>
  <c r="E31" i="11" s="1"/>
  <c r="D30" i="11"/>
  <c r="C30" i="11"/>
  <c r="E30" i="11" s="1"/>
  <c r="D29" i="11"/>
  <c r="C29" i="11"/>
  <c r="E29" i="11" s="1"/>
  <c r="D28" i="11"/>
  <c r="C28" i="11"/>
  <c r="E28" i="11" s="1"/>
  <c r="D27" i="11"/>
  <c r="C27" i="11"/>
  <c r="E27" i="11" s="1"/>
  <c r="D26" i="11"/>
  <c r="C26" i="11"/>
  <c r="E26" i="11" s="1"/>
  <c r="D25" i="11"/>
  <c r="C25" i="11"/>
  <c r="E25" i="11" s="1"/>
  <c r="D24" i="11"/>
  <c r="C24" i="11"/>
  <c r="E24" i="11" s="1"/>
  <c r="D23" i="11"/>
  <c r="C23" i="11"/>
  <c r="E23" i="11" s="1"/>
  <c r="D22" i="11"/>
  <c r="C22" i="11"/>
  <c r="E22" i="11" s="1"/>
  <c r="D21" i="11"/>
  <c r="C21" i="11"/>
  <c r="E21" i="11" s="1"/>
  <c r="D20" i="11"/>
  <c r="C20" i="11"/>
  <c r="E20" i="11" s="1"/>
  <c r="D19" i="11"/>
  <c r="C19" i="11"/>
  <c r="E19" i="11" s="1"/>
  <c r="D18" i="11"/>
  <c r="C18" i="11"/>
  <c r="E18" i="11" s="1"/>
  <c r="D17" i="11"/>
  <c r="C17" i="11"/>
  <c r="E17" i="11" s="1"/>
  <c r="D16" i="11"/>
  <c r="C16" i="11"/>
  <c r="E16" i="11" s="1"/>
  <c r="D15" i="11"/>
  <c r="C15" i="11"/>
  <c r="E15" i="11" s="1"/>
  <c r="D14" i="11"/>
  <c r="C14" i="11"/>
  <c r="E14" i="11" s="1"/>
  <c r="D13" i="11"/>
  <c r="C13" i="11"/>
  <c r="E13" i="11" s="1"/>
  <c r="D12" i="11"/>
  <c r="C12" i="11"/>
  <c r="E12" i="11" s="1"/>
  <c r="D11" i="11"/>
  <c r="C11" i="11"/>
  <c r="E11" i="11" s="1"/>
  <c r="D10" i="11"/>
  <c r="C10" i="11"/>
  <c r="E10" i="11" s="1"/>
  <c r="D9" i="11"/>
  <c r="C9" i="11"/>
  <c r="E9" i="11" s="1"/>
  <c r="D8" i="11"/>
  <c r="C8" i="11"/>
  <c r="E8" i="11" s="1"/>
  <c r="D7" i="11"/>
  <c r="C7" i="11"/>
  <c r="E7" i="11" s="1"/>
  <c r="D6" i="11"/>
  <c r="C6" i="11"/>
  <c r="E6" i="11" s="1"/>
  <c r="D5" i="11"/>
  <c r="C5" i="11"/>
  <c r="E5" i="11" s="1"/>
  <c r="D4" i="11"/>
  <c r="C4" i="11"/>
  <c r="E4" i="11" s="1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15" i="10"/>
  <c r="D116" i="10"/>
  <c r="D117" i="10"/>
  <c r="D118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F4" i="11" l="1"/>
  <c r="F30" i="11"/>
  <c r="F102" i="11"/>
  <c r="F106" i="11"/>
  <c r="F15" i="11"/>
  <c r="F63" i="11"/>
  <c r="F115" i="11"/>
  <c r="F48" i="11"/>
  <c r="F64" i="11"/>
  <c r="F80" i="11"/>
  <c r="F84" i="11"/>
  <c r="F88" i="11"/>
  <c r="F96" i="11"/>
  <c r="F112" i="11"/>
  <c r="F116" i="11"/>
  <c r="F25" i="11"/>
  <c r="F97" i="11"/>
  <c r="F117" i="11"/>
  <c r="F6" i="11"/>
  <c r="F10" i="11"/>
  <c r="F58" i="11"/>
  <c r="F62" i="11"/>
  <c r="F74" i="11"/>
  <c r="F78" i="11"/>
  <c r="F9" i="11"/>
  <c r="F21" i="11"/>
  <c r="F28" i="11"/>
  <c r="F32" i="11"/>
  <c r="F47" i="11"/>
  <c r="F81" i="11"/>
  <c r="F100" i="11"/>
  <c r="F104" i="11"/>
  <c r="F171" i="11"/>
  <c r="F14" i="11"/>
  <c r="F18" i="11"/>
  <c r="F22" i="11"/>
  <c r="F33" i="11"/>
  <c r="F44" i="11"/>
  <c r="F56" i="11"/>
  <c r="F60" i="11"/>
  <c r="F79" i="11"/>
  <c r="F86" i="11"/>
  <c r="F90" i="11"/>
  <c r="F49" i="11"/>
  <c r="F76" i="11"/>
  <c r="F95" i="11"/>
  <c r="F16" i="11"/>
  <c r="F42" i="11"/>
  <c r="F46" i="11"/>
  <c r="F65" i="11"/>
  <c r="F111" i="11"/>
  <c r="F118" i="11"/>
  <c r="F122" i="11"/>
  <c r="F126" i="11"/>
  <c r="F130" i="11"/>
  <c r="F134" i="11"/>
  <c r="F138" i="11"/>
  <c r="F142" i="11"/>
  <c r="F146" i="11"/>
  <c r="F150" i="11"/>
  <c r="F154" i="11"/>
  <c r="F158" i="11"/>
  <c r="F162" i="11"/>
  <c r="F166" i="11"/>
  <c r="F170" i="11"/>
  <c r="F34" i="11"/>
  <c r="F41" i="11"/>
  <c r="F73" i="11"/>
  <c r="F94" i="11"/>
  <c r="F108" i="11"/>
  <c r="F155" i="11"/>
  <c r="F159" i="11"/>
  <c r="F167" i="11"/>
  <c r="F17" i="11"/>
  <c r="F31" i="11"/>
  <c r="F38" i="11"/>
  <c r="F52" i="11"/>
  <c r="F66" i="11"/>
  <c r="F70" i="11"/>
  <c r="F105" i="11"/>
  <c r="F72" i="11"/>
  <c r="F40" i="11"/>
  <c r="F57" i="11"/>
  <c r="F92" i="11"/>
  <c r="F110" i="11"/>
  <c r="F26" i="11"/>
  <c r="F5" i="11"/>
  <c r="F12" i="11"/>
  <c r="F50" i="11"/>
  <c r="F54" i="11"/>
  <c r="F68" i="11"/>
  <c r="F89" i="11"/>
  <c r="F82" i="11"/>
  <c r="F19" i="11"/>
  <c r="F35" i="11"/>
  <c r="F51" i="11"/>
  <c r="F67" i="11"/>
  <c r="F83" i="11"/>
  <c r="F99" i="11"/>
  <c r="F119" i="11"/>
  <c r="F123" i="11"/>
  <c r="F127" i="11"/>
  <c r="F131" i="11"/>
  <c r="F135" i="11"/>
  <c r="F139" i="11"/>
  <c r="F143" i="11"/>
  <c r="F147" i="11"/>
  <c r="F151" i="11"/>
  <c r="F163" i="11"/>
  <c r="F8" i="11"/>
  <c r="F13" i="11"/>
  <c r="F29" i="11"/>
  <c r="F45" i="11"/>
  <c r="F61" i="11"/>
  <c r="F77" i="11"/>
  <c r="F93" i="11"/>
  <c r="F109" i="11"/>
  <c r="F98" i="11"/>
  <c r="F7" i="11"/>
  <c r="F23" i="11"/>
  <c r="F39" i="11"/>
  <c r="F55" i="11"/>
  <c r="F71" i="11"/>
  <c r="F87" i="11"/>
  <c r="F103" i="11"/>
  <c r="F120" i="11"/>
  <c r="F124" i="11"/>
  <c r="F128" i="11"/>
  <c r="F132" i="11"/>
  <c r="F136" i="11"/>
  <c r="F140" i="11"/>
  <c r="F144" i="11"/>
  <c r="F148" i="11"/>
  <c r="F152" i="11"/>
  <c r="F156" i="11"/>
  <c r="F160" i="11"/>
  <c r="F164" i="11"/>
  <c r="F168" i="11"/>
  <c r="F172" i="11"/>
  <c r="F24" i="11"/>
  <c r="F11" i="11"/>
  <c r="F20" i="11"/>
  <c r="F27" i="11"/>
  <c r="F36" i="11"/>
  <c r="F43" i="11"/>
  <c r="F59" i="11"/>
  <c r="F75" i="11"/>
  <c r="F91" i="11"/>
  <c r="F107" i="11"/>
  <c r="F121" i="11"/>
  <c r="F125" i="11"/>
  <c r="F129" i="11"/>
  <c r="F133" i="11"/>
  <c r="F137" i="11"/>
  <c r="F141" i="11"/>
  <c r="F145" i="11"/>
  <c r="F149" i="11"/>
  <c r="F153" i="11"/>
  <c r="F157" i="11"/>
  <c r="F161" i="11"/>
  <c r="F165" i="11"/>
  <c r="F169" i="11"/>
  <c r="F173" i="11"/>
  <c r="F37" i="11"/>
  <c r="F53" i="11"/>
  <c r="F69" i="11"/>
  <c r="F85" i="11"/>
  <c r="F101" i="11"/>
  <c r="C174" i="9" l="1"/>
  <c r="E174" i="9" s="1"/>
  <c r="D17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F174" i="9" l="1"/>
  <c r="C173" i="10"/>
  <c r="E173" i="10" s="1"/>
  <c r="C172" i="10"/>
  <c r="E172" i="10" s="1"/>
  <c r="C171" i="10"/>
  <c r="E171" i="10" s="1"/>
  <c r="C170" i="10"/>
  <c r="E170" i="10" s="1"/>
  <c r="C169" i="10"/>
  <c r="E169" i="10" s="1"/>
  <c r="C168" i="10"/>
  <c r="E168" i="10" s="1"/>
  <c r="C167" i="10"/>
  <c r="E167" i="10" s="1"/>
  <c r="F167" i="10" s="1"/>
  <c r="C166" i="10"/>
  <c r="E166" i="10" s="1"/>
  <c r="F166" i="10" s="1"/>
  <c r="C165" i="10"/>
  <c r="E165" i="10" s="1"/>
  <c r="C164" i="10"/>
  <c r="E164" i="10" s="1"/>
  <c r="C163" i="10"/>
  <c r="E163" i="10" s="1"/>
  <c r="F163" i="10" s="1"/>
  <c r="C162" i="10"/>
  <c r="E162" i="10" s="1"/>
  <c r="C161" i="10"/>
  <c r="E161" i="10" s="1"/>
  <c r="C160" i="10"/>
  <c r="E160" i="10" s="1"/>
  <c r="E159" i="10"/>
  <c r="E158" i="10"/>
  <c r="E157" i="10"/>
  <c r="E156" i="10"/>
  <c r="E155" i="10"/>
  <c r="F155" i="10" s="1"/>
  <c r="E154" i="10"/>
  <c r="E153" i="10"/>
  <c r="E152" i="10"/>
  <c r="E151" i="10"/>
  <c r="E150" i="10"/>
  <c r="F150" i="10" s="1"/>
  <c r="E149" i="10"/>
  <c r="F149" i="10" s="1"/>
  <c r="E148" i="10"/>
  <c r="E147" i="10"/>
  <c r="E146" i="10"/>
  <c r="F146" i="10" s="1"/>
  <c r="E145" i="10"/>
  <c r="E144" i="10"/>
  <c r="E143" i="10"/>
  <c r="F143" i="10" s="1"/>
  <c r="E142" i="10"/>
  <c r="F142" i="10" s="1"/>
  <c r="E141" i="10"/>
  <c r="E140" i="10"/>
  <c r="E139" i="10"/>
  <c r="F139" i="10" s="1"/>
  <c r="E138" i="10"/>
  <c r="E137" i="10"/>
  <c r="E136" i="10"/>
  <c r="E135" i="10"/>
  <c r="F135" i="10" s="1"/>
  <c r="E134" i="10"/>
  <c r="E133" i="10"/>
  <c r="E132" i="10"/>
  <c r="E131" i="10"/>
  <c r="F131" i="10" s="1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D114" i="10"/>
  <c r="E114" i="10"/>
  <c r="D113" i="10"/>
  <c r="E113" i="10"/>
  <c r="D112" i="10"/>
  <c r="E112" i="10"/>
  <c r="D111" i="10"/>
  <c r="E111" i="10"/>
  <c r="F111" i="10" s="1"/>
  <c r="D110" i="10"/>
  <c r="E110" i="10"/>
  <c r="D109" i="10"/>
  <c r="E109" i="10"/>
  <c r="D108" i="10"/>
  <c r="E108" i="10"/>
  <c r="D107" i="10"/>
  <c r="E107" i="10"/>
  <c r="D106" i="10"/>
  <c r="E106" i="10"/>
  <c r="E105" i="10"/>
  <c r="D105" i="10"/>
  <c r="D104" i="10"/>
  <c r="E104" i="10"/>
  <c r="D103" i="10"/>
  <c r="E103" i="10"/>
  <c r="D102" i="10"/>
  <c r="E102" i="10"/>
  <c r="D101" i="10"/>
  <c r="E101" i="10"/>
  <c r="D100" i="10"/>
  <c r="E100" i="10"/>
  <c r="D99" i="10"/>
  <c r="E99" i="10"/>
  <c r="F99" i="10" s="1"/>
  <c r="D98" i="10"/>
  <c r="E98" i="10"/>
  <c r="D97" i="10"/>
  <c r="E97" i="10"/>
  <c r="F97" i="10" s="1"/>
  <c r="D96" i="10"/>
  <c r="E96" i="10"/>
  <c r="D95" i="10"/>
  <c r="E95" i="10"/>
  <c r="D94" i="10"/>
  <c r="E94" i="10"/>
  <c r="D93" i="10"/>
  <c r="E93" i="10"/>
  <c r="D92" i="10"/>
  <c r="E92" i="10"/>
  <c r="D91" i="10"/>
  <c r="E91" i="10"/>
  <c r="D90" i="10"/>
  <c r="E90" i="10"/>
  <c r="D89" i="10"/>
  <c r="E89" i="10"/>
  <c r="F89" i="10" s="1"/>
  <c r="D88" i="10"/>
  <c r="E88" i="10"/>
  <c r="D87" i="10"/>
  <c r="E87" i="10"/>
  <c r="D86" i="10"/>
  <c r="E86" i="10"/>
  <c r="D85" i="10"/>
  <c r="E85" i="10"/>
  <c r="D84" i="10"/>
  <c r="E84" i="10"/>
  <c r="D83" i="10"/>
  <c r="E83" i="10"/>
  <c r="F83" i="10" s="1"/>
  <c r="D82" i="10"/>
  <c r="E82" i="10"/>
  <c r="D81" i="10"/>
  <c r="E81" i="10"/>
  <c r="D80" i="10"/>
  <c r="E80" i="10"/>
  <c r="D79" i="10"/>
  <c r="E79" i="10"/>
  <c r="D78" i="10"/>
  <c r="E78" i="10"/>
  <c r="E77" i="10"/>
  <c r="D77" i="10"/>
  <c r="D76" i="10"/>
  <c r="E76" i="10"/>
  <c r="D75" i="10"/>
  <c r="E75" i="10"/>
  <c r="D74" i="10"/>
  <c r="E74" i="10"/>
  <c r="D73" i="10"/>
  <c r="E73" i="10"/>
  <c r="F73" i="10" s="1"/>
  <c r="D72" i="10"/>
  <c r="E72" i="10"/>
  <c r="D71" i="10"/>
  <c r="E71" i="10"/>
  <c r="D70" i="10"/>
  <c r="E70" i="10"/>
  <c r="D69" i="10"/>
  <c r="E69" i="10"/>
  <c r="D68" i="10"/>
  <c r="E68" i="10"/>
  <c r="D67" i="10"/>
  <c r="E67" i="10"/>
  <c r="F67" i="10" s="1"/>
  <c r="D66" i="10"/>
  <c r="E66" i="10"/>
  <c r="D65" i="10"/>
  <c r="E65" i="10"/>
  <c r="F65" i="10" s="1"/>
  <c r="D64" i="10"/>
  <c r="E64" i="10"/>
  <c r="D63" i="10"/>
  <c r="E63" i="10"/>
  <c r="D62" i="10"/>
  <c r="E62" i="10"/>
  <c r="D61" i="10"/>
  <c r="E61" i="10"/>
  <c r="D60" i="10"/>
  <c r="E60" i="10"/>
  <c r="D59" i="10"/>
  <c r="E59" i="10"/>
  <c r="D58" i="10"/>
  <c r="E58" i="10"/>
  <c r="D57" i="10"/>
  <c r="E57" i="10"/>
  <c r="F57" i="10" s="1"/>
  <c r="D56" i="10"/>
  <c r="E56" i="10"/>
  <c r="D55" i="10"/>
  <c r="E55" i="10"/>
  <c r="D54" i="10"/>
  <c r="E54" i="10"/>
  <c r="D53" i="10"/>
  <c r="E53" i="10"/>
  <c r="E52" i="10"/>
  <c r="D52" i="10"/>
  <c r="D51" i="10"/>
  <c r="E51" i="10"/>
  <c r="D50" i="10"/>
  <c r="E50" i="10"/>
  <c r="D49" i="10"/>
  <c r="E49" i="10"/>
  <c r="F49" i="10" s="1"/>
  <c r="D48" i="10"/>
  <c r="E48" i="10"/>
  <c r="D47" i="10"/>
  <c r="E47" i="10"/>
  <c r="D46" i="10"/>
  <c r="E46" i="10"/>
  <c r="D45" i="10"/>
  <c r="E45" i="10"/>
  <c r="D44" i="10"/>
  <c r="E44" i="10"/>
  <c r="D43" i="10"/>
  <c r="E43" i="10"/>
  <c r="D42" i="10"/>
  <c r="E42" i="10"/>
  <c r="D41" i="10"/>
  <c r="E41" i="10"/>
  <c r="D40" i="10"/>
  <c r="E40" i="10"/>
  <c r="D39" i="10"/>
  <c r="E39" i="10"/>
  <c r="D38" i="10"/>
  <c r="E38" i="10"/>
  <c r="D37" i="10"/>
  <c r="E37" i="10"/>
  <c r="D36" i="10"/>
  <c r="E36" i="10"/>
  <c r="D35" i="10"/>
  <c r="E35" i="10"/>
  <c r="D34" i="10"/>
  <c r="E34" i="10"/>
  <c r="D33" i="10"/>
  <c r="E33" i="10"/>
  <c r="F33" i="10" s="1"/>
  <c r="D32" i="10"/>
  <c r="E32" i="10"/>
  <c r="D31" i="10"/>
  <c r="E31" i="10"/>
  <c r="D30" i="10"/>
  <c r="E30" i="10"/>
  <c r="D29" i="10"/>
  <c r="E29" i="10"/>
  <c r="D28" i="10"/>
  <c r="E28" i="10"/>
  <c r="D27" i="10"/>
  <c r="E27" i="10"/>
  <c r="D26" i="10"/>
  <c r="E26" i="10"/>
  <c r="D25" i="10"/>
  <c r="E25" i="10"/>
  <c r="F25" i="10" s="1"/>
  <c r="D24" i="10"/>
  <c r="E24" i="10"/>
  <c r="D23" i="10"/>
  <c r="E23" i="10"/>
  <c r="D22" i="10"/>
  <c r="E22" i="10"/>
  <c r="D21" i="10"/>
  <c r="E21" i="10"/>
  <c r="D20" i="10"/>
  <c r="E20" i="10"/>
  <c r="E19" i="10"/>
  <c r="D19" i="10"/>
  <c r="D18" i="10"/>
  <c r="E18" i="10"/>
  <c r="D17" i="10"/>
  <c r="E17" i="10"/>
  <c r="D16" i="10"/>
  <c r="E16" i="10"/>
  <c r="D15" i="10"/>
  <c r="E15" i="10"/>
  <c r="D14" i="10"/>
  <c r="E14" i="10"/>
  <c r="F14" i="10" s="1"/>
  <c r="D13" i="10"/>
  <c r="E13" i="10"/>
  <c r="D12" i="10"/>
  <c r="E12" i="10"/>
  <c r="D11" i="10"/>
  <c r="E11" i="10"/>
  <c r="D10" i="10"/>
  <c r="E10" i="10"/>
  <c r="D9" i="10"/>
  <c r="E9" i="10"/>
  <c r="D8" i="10"/>
  <c r="E8" i="10"/>
  <c r="D7" i="10"/>
  <c r="E7" i="10"/>
  <c r="D6" i="10"/>
  <c r="E6" i="10"/>
  <c r="D5" i="10"/>
  <c r="E5" i="10"/>
  <c r="D4" i="10"/>
  <c r="C4" i="10"/>
  <c r="E4" i="10" s="1"/>
  <c r="D173" i="9"/>
  <c r="E173" i="9"/>
  <c r="D172" i="9"/>
  <c r="E172" i="9"/>
  <c r="D171" i="9"/>
  <c r="E171" i="9"/>
  <c r="D170" i="9"/>
  <c r="E170" i="9"/>
  <c r="D169" i="9"/>
  <c r="E169" i="9"/>
  <c r="D168" i="9"/>
  <c r="E168" i="9"/>
  <c r="D167" i="9"/>
  <c r="E167" i="9"/>
  <c r="D166" i="9"/>
  <c r="E166" i="9"/>
  <c r="D165" i="9"/>
  <c r="E165" i="9"/>
  <c r="D164" i="9"/>
  <c r="E164" i="9"/>
  <c r="D163" i="9"/>
  <c r="E163" i="9"/>
  <c r="D162" i="9"/>
  <c r="E162" i="9"/>
  <c r="D161" i="9"/>
  <c r="E161" i="9"/>
  <c r="D160" i="9"/>
  <c r="E160" i="9"/>
  <c r="D159" i="9"/>
  <c r="E159" i="9"/>
  <c r="D158" i="9"/>
  <c r="E158" i="9"/>
  <c r="D157" i="9"/>
  <c r="E157" i="9"/>
  <c r="D156" i="9"/>
  <c r="E156" i="9"/>
  <c r="D155" i="9"/>
  <c r="E155" i="9"/>
  <c r="D154" i="9"/>
  <c r="E154" i="9"/>
  <c r="D153" i="9"/>
  <c r="E153" i="9"/>
  <c r="D152" i="9"/>
  <c r="E152" i="9"/>
  <c r="D151" i="9"/>
  <c r="E151" i="9"/>
  <c r="D150" i="9"/>
  <c r="E150" i="9"/>
  <c r="D149" i="9"/>
  <c r="E149" i="9"/>
  <c r="D148" i="9"/>
  <c r="E148" i="9"/>
  <c r="D147" i="9"/>
  <c r="E147" i="9"/>
  <c r="D146" i="9"/>
  <c r="E146" i="9"/>
  <c r="D145" i="9"/>
  <c r="E145" i="9"/>
  <c r="D144" i="9"/>
  <c r="E144" i="9"/>
  <c r="D143" i="9"/>
  <c r="E143" i="9"/>
  <c r="D142" i="9"/>
  <c r="E142" i="9"/>
  <c r="D141" i="9"/>
  <c r="E141" i="9"/>
  <c r="D140" i="9"/>
  <c r="E140" i="9"/>
  <c r="D139" i="9"/>
  <c r="E139" i="9"/>
  <c r="D138" i="9"/>
  <c r="E138" i="9"/>
  <c r="D137" i="9"/>
  <c r="E137" i="9"/>
  <c r="D136" i="9"/>
  <c r="E136" i="9"/>
  <c r="D135" i="9"/>
  <c r="E135" i="9"/>
  <c r="D134" i="9"/>
  <c r="E134" i="9"/>
  <c r="D133" i="9"/>
  <c r="E133" i="9"/>
  <c r="D132" i="9"/>
  <c r="E132" i="9"/>
  <c r="D131" i="9"/>
  <c r="E131" i="9"/>
  <c r="D130" i="9"/>
  <c r="E130" i="9"/>
  <c r="D129" i="9"/>
  <c r="E129" i="9"/>
  <c r="D128" i="9"/>
  <c r="E128" i="9"/>
  <c r="D127" i="9"/>
  <c r="E127" i="9"/>
  <c r="D126" i="9"/>
  <c r="E126" i="9"/>
  <c r="D125" i="9"/>
  <c r="E125" i="9"/>
  <c r="D124" i="9"/>
  <c r="E124" i="9"/>
  <c r="D123" i="9"/>
  <c r="E123" i="9"/>
  <c r="D122" i="9"/>
  <c r="E122" i="9"/>
  <c r="D121" i="9"/>
  <c r="E121" i="9"/>
  <c r="D120" i="9"/>
  <c r="E120" i="9"/>
  <c r="D119" i="9"/>
  <c r="E119" i="9"/>
  <c r="D118" i="9"/>
  <c r="E118" i="9"/>
  <c r="C113" i="9"/>
  <c r="E113" i="9" s="1"/>
  <c r="F113" i="9" s="1"/>
  <c r="C112" i="9"/>
  <c r="E112" i="9" s="1"/>
  <c r="F112" i="9" s="1"/>
  <c r="C111" i="9"/>
  <c r="E111" i="9" s="1"/>
  <c r="F111" i="9" s="1"/>
  <c r="C110" i="9"/>
  <c r="E110" i="9" s="1"/>
  <c r="F110" i="9" s="1"/>
  <c r="C109" i="9"/>
  <c r="E109" i="9" s="1"/>
  <c r="F109" i="9" s="1"/>
  <c r="C108" i="9"/>
  <c r="E108" i="9" s="1"/>
  <c r="F108" i="9" s="1"/>
  <c r="C107" i="9"/>
  <c r="E107" i="9" s="1"/>
  <c r="F107" i="9" s="1"/>
  <c r="C106" i="9"/>
  <c r="E106" i="9" s="1"/>
  <c r="F106" i="9" s="1"/>
  <c r="C105" i="9"/>
  <c r="E105" i="9" s="1"/>
  <c r="F105" i="9" s="1"/>
  <c r="C104" i="9"/>
  <c r="E104" i="9" s="1"/>
  <c r="F104" i="9" s="1"/>
  <c r="C103" i="9"/>
  <c r="E103" i="9" s="1"/>
  <c r="F103" i="9" s="1"/>
  <c r="C102" i="9"/>
  <c r="E102" i="9" s="1"/>
  <c r="F102" i="9" s="1"/>
  <c r="C101" i="9"/>
  <c r="E101" i="9" s="1"/>
  <c r="F101" i="9" s="1"/>
  <c r="C100" i="9"/>
  <c r="E100" i="9" s="1"/>
  <c r="F100" i="9" s="1"/>
  <c r="C99" i="9"/>
  <c r="E99" i="9" s="1"/>
  <c r="F99" i="9" s="1"/>
  <c r="C98" i="9"/>
  <c r="E98" i="9" s="1"/>
  <c r="F98" i="9" s="1"/>
  <c r="C97" i="9"/>
  <c r="E97" i="9" s="1"/>
  <c r="F97" i="9" s="1"/>
  <c r="C96" i="9"/>
  <c r="E96" i="9" s="1"/>
  <c r="F96" i="9" s="1"/>
  <c r="C95" i="9"/>
  <c r="E95" i="9" s="1"/>
  <c r="F95" i="9" s="1"/>
  <c r="C94" i="9"/>
  <c r="E94" i="9" s="1"/>
  <c r="F94" i="9" s="1"/>
  <c r="C93" i="9"/>
  <c r="E93" i="9" s="1"/>
  <c r="F93" i="9" s="1"/>
  <c r="C92" i="9"/>
  <c r="E92" i="9" s="1"/>
  <c r="F92" i="9" s="1"/>
  <c r="C91" i="9"/>
  <c r="E91" i="9" s="1"/>
  <c r="F91" i="9" s="1"/>
  <c r="C90" i="9"/>
  <c r="E90" i="9" s="1"/>
  <c r="F90" i="9" s="1"/>
  <c r="C89" i="9"/>
  <c r="E89" i="9" s="1"/>
  <c r="F89" i="9" s="1"/>
  <c r="C88" i="9"/>
  <c r="E88" i="9" s="1"/>
  <c r="F88" i="9" s="1"/>
  <c r="C87" i="9"/>
  <c r="E87" i="9" s="1"/>
  <c r="F87" i="9" s="1"/>
  <c r="C86" i="9"/>
  <c r="E86" i="9" s="1"/>
  <c r="F86" i="9" s="1"/>
  <c r="C85" i="9"/>
  <c r="E85" i="9" s="1"/>
  <c r="F85" i="9" s="1"/>
  <c r="C84" i="9"/>
  <c r="E84" i="9" s="1"/>
  <c r="F84" i="9" s="1"/>
  <c r="C83" i="9"/>
  <c r="E83" i="9" s="1"/>
  <c r="F83" i="9" s="1"/>
  <c r="C82" i="9"/>
  <c r="E82" i="9" s="1"/>
  <c r="F82" i="9" s="1"/>
  <c r="C81" i="9"/>
  <c r="E81" i="9" s="1"/>
  <c r="F81" i="9" s="1"/>
  <c r="C80" i="9"/>
  <c r="E80" i="9" s="1"/>
  <c r="F80" i="9" s="1"/>
  <c r="C79" i="9"/>
  <c r="E79" i="9" s="1"/>
  <c r="F79" i="9" s="1"/>
  <c r="C78" i="9"/>
  <c r="E78" i="9" s="1"/>
  <c r="F78" i="9" s="1"/>
  <c r="C77" i="9"/>
  <c r="E77" i="9" s="1"/>
  <c r="F77" i="9" s="1"/>
  <c r="C76" i="9"/>
  <c r="E76" i="9" s="1"/>
  <c r="F76" i="9" s="1"/>
  <c r="C75" i="9"/>
  <c r="E75" i="9" s="1"/>
  <c r="F75" i="9" s="1"/>
  <c r="C74" i="9"/>
  <c r="E74" i="9" s="1"/>
  <c r="F74" i="9" s="1"/>
  <c r="C73" i="9"/>
  <c r="E73" i="9" s="1"/>
  <c r="F73" i="9" s="1"/>
  <c r="C72" i="9"/>
  <c r="E72" i="9" s="1"/>
  <c r="F72" i="9" s="1"/>
  <c r="C71" i="9"/>
  <c r="E71" i="9" s="1"/>
  <c r="F71" i="9" s="1"/>
  <c r="C70" i="9"/>
  <c r="E70" i="9" s="1"/>
  <c r="F70" i="9" s="1"/>
  <c r="C69" i="9"/>
  <c r="E69" i="9" s="1"/>
  <c r="F69" i="9" s="1"/>
  <c r="C68" i="9"/>
  <c r="E68" i="9" s="1"/>
  <c r="F68" i="9" s="1"/>
  <c r="C67" i="9"/>
  <c r="E67" i="9" s="1"/>
  <c r="F67" i="9" s="1"/>
  <c r="C66" i="9"/>
  <c r="E66" i="9" s="1"/>
  <c r="F66" i="9" s="1"/>
  <c r="C65" i="9"/>
  <c r="E65" i="9" s="1"/>
  <c r="F65" i="9" s="1"/>
  <c r="C64" i="9"/>
  <c r="E64" i="9" s="1"/>
  <c r="F64" i="9" s="1"/>
  <c r="C63" i="9"/>
  <c r="E63" i="9" s="1"/>
  <c r="F63" i="9" s="1"/>
  <c r="C62" i="9"/>
  <c r="E62" i="9" s="1"/>
  <c r="F62" i="9" s="1"/>
  <c r="C61" i="9"/>
  <c r="E61" i="9" s="1"/>
  <c r="F61" i="9" s="1"/>
  <c r="C60" i="9"/>
  <c r="E60" i="9" s="1"/>
  <c r="F60" i="9" s="1"/>
  <c r="C59" i="9"/>
  <c r="E59" i="9" s="1"/>
  <c r="F59" i="9" s="1"/>
  <c r="C58" i="9"/>
  <c r="E58" i="9" s="1"/>
  <c r="F58" i="9" s="1"/>
  <c r="C57" i="9"/>
  <c r="E57" i="9" s="1"/>
  <c r="F57" i="9" s="1"/>
  <c r="C56" i="9"/>
  <c r="E56" i="9" s="1"/>
  <c r="F56" i="9" s="1"/>
  <c r="C55" i="9"/>
  <c r="E55" i="9" s="1"/>
  <c r="F55" i="9" s="1"/>
  <c r="C54" i="9"/>
  <c r="E54" i="9" s="1"/>
  <c r="F54" i="9" s="1"/>
  <c r="C53" i="9"/>
  <c r="E53" i="9" s="1"/>
  <c r="F53" i="9" s="1"/>
  <c r="C52" i="9"/>
  <c r="E52" i="9" s="1"/>
  <c r="F52" i="9" s="1"/>
  <c r="C51" i="9"/>
  <c r="F51" i="9" s="1"/>
  <c r="C50" i="9"/>
  <c r="F50" i="9" s="1"/>
  <c r="C49" i="9"/>
  <c r="E49" i="9" s="1"/>
  <c r="F49" i="9" s="1"/>
  <c r="C48" i="9"/>
  <c r="E48" i="9" s="1"/>
  <c r="F48" i="9" s="1"/>
  <c r="C47" i="9"/>
  <c r="E47" i="9" s="1"/>
  <c r="F47" i="9" s="1"/>
  <c r="C46" i="9"/>
  <c r="E46" i="9" s="1"/>
  <c r="F46" i="9" s="1"/>
  <c r="C45" i="9"/>
  <c r="E45" i="9" s="1"/>
  <c r="F45" i="9" s="1"/>
  <c r="C44" i="9"/>
  <c r="E44" i="9" s="1"/>
  <c r="F44" i="9" s="1"/>
  <c r="C43" i="9"/>
  <c r="E43" i="9" s="1"/>
  <c r="F43" i="9" s="1"/>
  <c r="C42" i="9"/>
  <c r="E42" i="9" s="1"/>
  <c r="F42" i="9" s="1"/>
  <c r="C41" i="9"/>
  <c r="E41" i="9" s="1"/>
  <c r="F41" i="9" s="1"/>
  <c r="C40" i="9"/>
  <c r="E40" i="9" s="1"/>
  <c r="F40" i="9" s="1"/>
  <c r="C39" i="9"/>
  <c r="E39" i="9" s="1"/>
  <c r="F39" i="9" s="1"/>
  <c r="C38" i="9"/>
  <c r="E38" i="9" s="1"/>
  <c r="F38" i="9" s="1"/>
  <c r="C37" i="9"/>
  <c r="E37" i="9" s="1"/>
  <c r="F37" i="9" s="1"/>
  <c r="C36" i="9"/>
  <c r="E36" i="9" s="1"/>
  <c r="F36" i="9" s="1"/>
  <c r="C35" i="9"/>
  <c r="E35" i="9" s="1"/>
  <c r="F35" i="9" s="1"/>
  <c r="C34" i="9"/>
  <c r="E34" i="9" s="1"/>
  <c r="F34" i="9" s="1"/>
  <c r="C33" i="9"/>
  <c r="E33" i="9" s="1"/>
  <c r="F33" i="9" s="1"/>
  <c r="C32" i="9"/>
  <c r="E32" i="9" s="1"/>
  <c r="F32" i="9" s="1"/>
  <c r="C31" i="9"/>
  <c r="E31" i="9" s="1"/>
  <c r="F31" i="9" s="1"/>
  <c r="C30" i="9"/>
  <c r="E30" i="9" s="1"/>
  <c r="F30" i="9" s="1"/>
  <c r="C29" i="9"/>
  <c r="E29" i="9" s="1"/>
  <c r="F29" i="9" s="1"/>
  <c r="C28" i="9"/>
  <c r="E28" i="9" s="1"/>
  <c r="F28" i="9" s="1"/>
  <c r="C27" i="9"/>
  <c r="E27" i="9" s="1"/>
  <c r="F27" i="9" s="1"/>
  <c r="C26" i="9"/>
  <c r="E26" i="9" s="1"/>
  <c r="F26" i="9" s="1"/>
  <c r="C25" i="9"/>
  <c r="E25" i="9" s="1"/>
  <c r="F25" i="9" s="1"/>
  <c r="C24" i="9"/>
  <c r="E24" i="9" s="1"/>
  <c r="F24" i="9" s="1"/>
  <c r="C23" i="9"/>
  <c r="E23" i="9" s="1"/>
  <c r="F23" i="9" s="1"/>
  <c r="C22" i="9"/>
  <c r="E22" i="9" s="1"/>
  <c r="F22" i="9" s="1"/>
  <c r="C21" i="9"/>
  <c r="E21" i="9" s="1"/>
  <c r="F21" i="9" s="1"/>
  <c r="C20" i="9"/>
  <c r="E20" i="9" s="1"/>
  <c r="F20" i="9" s="1"/>
  <c r="C19" i="9"/>
  <c r="E19" i="9" s="1"/>
  <c r="F19" i="9" s="1"/>
  <c r="C18" i="9"/>
  <c r="E18" i="9" s="1"/>
  <c r="F18" i="9" s="1"/>
  <c r="C17" i="9"/>
  <c r="E17" i="9" s="1"/>
  <c r="F17" i="9" s="1"/>
  <c r="C16" i="9"/>
  <c r="E16" i="9" s="1"/>
  <c r="F16" i="9" s="1"/>
  <c r="C15" i="9"/>
  <c r="E15" i="9" s="1"/>
  <c r="F15" i="9" s="1"/>
  <c r="C14" i="9"/>
  <c r="E14" i="9" s="1"/>
  <c r="F14" i="9" s="1"/>
  <c r="C13" i="9"/>
  <c r="E13" i="9" s="1"/>
  <c r="F13" i="9" s="1"/>
  <c r="C12" i="9"/>
  <c r="E12" i="9" s="1"/>
  <c r="F12" i="9" s="1"/>
  <c r="C11" i="9"/>
  <c r="E11" i="9" s="1"/>
  <c r="F11" i="9" s="1"/>
  <c r="C10" i="9"/>
  <c r="E10" i="9" s="1"/>
  <c r="F10" i="9" s="1"/>
  <c r="C9" i="9"/>
  <c r="E9" i="9" s="1"/>
  <c r="F9" i="9" s="1"/>
  <c r="C8" i="9"/>
  <c r="E8" i="9" s="1"/>
  <c r="F8" i="9" s="1"/>
  <c r="C7" i="9"/>
  <c r="E7" i="9" s="1"/>
  <c r="F7" i="9" s="1"/>
  <c r="C6" i="9"/>
  <c r="E6" i="9" s="1"/>
  <c r="F6" i="9" s="1"/>
  <c r="C5" i="9"/>
  <c r="E5" i="9" s="1"/>
  <c r="F5" i="9" s="1"/>
  <c r="D4" i="9"/>
  <c r="C4" i="9"/>
  <c r="F54" i="10" l="1"/>
  <c r="F58" i="10"/>
  <c r="F62" i="10"/>
  <c r="F110" i="10"/>
  <c r="F35" i="10"/>
  <c r="F51" i="10"/>
  <c r="F81" i="10"/>
  <c r="F107" i="10"/>
  <c r="F147" i="10"/>
  <c r="F151" i="10"/>
  <c r="F172" i="10"/>
  <c r="F70" i="10"/>
  <c r="F74" i="10"/>
  <c r="F158" i="10"/>
  <c r="F162" i="10"/>
  <c r="F173" i="10"/>
  <c r="F9" i="10"/>
  <c r="F86" i="10"/>
  <c r="F90" i="10"/>
  <c r="F112" i="10"/>
  <c r="F134" i="10"/>
  <c r="F141" i="10"/>
  <c r="F159" i="10"/>
  <c r="F17" i="10"/>
  <c r="F32" i="10"/>
  <c r="F100" i="10"/>
  <c r="F137" i="10"/>
  <c r="F140" i="10"/>
  <c r="F157" i="10"/>
  <c r="F171" i="10"/>
  <c r="F165" i="10"/>
  <c r="F4" i="10"/>
  <c r="F22" i="10"/>
  <c r="F26" i="10"/>
  <c r="F30" i="10"/>
  <c r="F41" i="10"/>
  <c r="F108" i="10"/>
  <c r="F125" i="10"/>
  <c r="F169" i="10"/>
  <c r="F16" i="10"/>
  <c r="F19" i="10"/>
  <c r="F38" i="10"/>
  <c r="F42" i="10"/>
  <c r="F46" i="10"/>
  <c r="F102" i="10"/>
  <c r="F105" i="10"/>
  <c r="F119" i="10"/>
  <c r="F153" i="10"/>
  <c r="F156" i="10"/>
  <c r="F170" i="10"/>
  <c r="F130" i="9"/>
  <c r="F134" i="9"/>
  <c r="F138" i="9"/>
  <c r="F146" i="9"/>
  <c r="F170" i="9"/>
  <c r="F122" i="9"/>
  <c r="F135" i="9"/>
  <c r="F139" i="9"/>
  <c r="F147" i="9"/>
  <c r="F155" i="9"/>
  <c r="F159" i="9"/>
  <c r="F163" i="9"/>
  <c r="F167" i="9"/>
  <c r="F171" i="9"/>
  <c r="F137" i="9"/>
  <c r="F161" i="9"/>
  <c r="F172" i="9"/>
  <c r="F131" i="9"/>
  <c r="F120" i="9"/>
  <c r="F128" i="9"/>
  <c r="F6" i="10"/>
  <c r="F127" i="10"/>
  <c r="F133" i="10"/>
  <c r="F136" i="10"/>
  <c r="F152" i="10"/>
  <c r="F168" i="10"/>
  <c r="F10" i="10"/>
  <c r="F48" i="10"/>
  <c r="F64" i="10"/>
  <c r="F80" i="10"/>
  <c r="F96" i="10"/>
  <c r="F118" i="10"/>
  <c r="F121" i="10"/>
  <c r="F124" i="10"/>
  <c r="F130" i="10"/>
  <c r="F160" i="10"/>
  <c r="F11" i="10"/>
  <c r="F20" i="10"/>
  <c r="F24" i="10"/>
  <c r="F27" i="10"/>
  <c r="F36" i="10"/>
  <c r="F40" i="10"/>
  <c r="F43" i="10"/>
  <c r="F52" i="10"/>
  <c r="F56" i="10"/>
  <c r="F59" i="10"/>
  <c r="F68" i="10"/>
  <c r="F72" i="10"/>
  <c r="F75" i="10"/>
  <c r="F78" i="10"/>
  <c r="F84" i="10"/>
  <c r="F88" i="10"/>
  <c r="F91" i="10"/>
  <c r="F94" i="10"/>
  <c r="F106" i="10"/>
  <c r="F113" i="10"/>
  <c r="F145" i="10"/>
  <c r="F148" i="10"/>
  <c r="F161" i="10"/>
  <c r="F164" i="10"/>
  <c r="F8" i="10"/>
  <c r="F18" i="10"/>
  <c r="F21" i="10"/>
  <c r="F34" i="10"/>
  <c r="F37" i="10"/>
  <c r="F50" i="10"/>
  <c r="F53" i="10"/>
  <c r="F66" i="10"/>
  <c r="F69" i="10"/>
  <c r="F82" i="10"/>
  <c r="F85" i="10"/>
  <c r="F98" i="10"/>
  <c r="F101" i="10"/>
  <c r="F104" i="10"/>
  <c r="F5" i="10"/>
  <c r="F12" i="10"/>
  <c r="F15" i="10"/>
  <c r="F28" i="10"/>
  <c r="F31" i="10"/>
  <c r="F44" i="10"/>
  <c r="F47" i="10"/>
  <c r="F60" i="10"/>
  <c r="F63" i="10"/>
  <c r="F76" i="10"/>
  <c r="F79" i="10"/>
  <c r="F92" i="10"/>
  <c r="F95" i="10"/>
  <c r="F114" i="10"/>
  <c r="F120" i="10"/>
  <c r="F123" i="10"/>
  <c r="F126" i="10"/>
  <c r="F129" i="10"/>
  <c r="F132" i="10"/>
  <c r="F45" i="10"/>
  <c r="F61" i="10"/>
  <c r="F77" i="10"/>
  <c r="F93" i="10"/>
  <c r="F109" i="10"/>
  <c r="F128" i="10"/>
  <c r="F144" i="10"/>
  <c r="F13" i="10"/>
  <c r="F29" i="10"/>
  <c r="F7" i="10"/>
  <c r="F23" i="10"/>
  <c r="F39" i="10"/>
  <c r="F55" i="10"/>
  <c r="F71" i="10"/>
  <c r="F87" i="10"/>
  <c r="F103" i="10"/>
  <c r="F122" i="10"/>
  <c r="F138" i="10"/>
  <c r="F154" i="10"/>
  <c r="F142" i="9"/>
  <c r="F153" i="9"/>
  <c r="F121" i="9"/>
  <c r="F125" i="9"/>
  <c r="F143" i="9"/>
  <c r="F150" i="9"/>
  <c r="F154" i="9"/>
  <c r="F129" i="9"/>
  <c r="F140" i="9"/>
  <c r="F158" i="9"/>
  <c r="F162" i="9"/>
  <c r="F169" i="9"/>
  <c r="F151" i="9"/>
  <c r="F119" i="9"/>
  <c r="F123" i="9"/>
  <c r="F145" i="9"/>
  <c r="F156" i="9"/>
  <c r="F118" i="9"/>
  <c r="F124" i="9"/>
  <c r="F136" i="9"/>
  <c r="F152" i="9"/>
  <c r="F168" i="9"/>
  <c r="F127" i="9"/>
  <c r="F133" i="9"/>
  <c r="F149" i="9"/>
  <c r="F165" i="9"/>
  <c r="F166" i="9"/>
  <c r="F144" i="9"/>
  <c r="F160" i="9"/>
  <c r="F126" i="9"/>
  <c r="F132" i="9"/>
  <c r="F141" i="9"/>
  <c r="F148" i="9"/>
  <c r="F157" i="9"/>
  <c r="F164" i="9"/>
  <c r="F173" i="9"/>
  <c r="D4" i="3"/>
  <c r="C4" i="3"/>
  <c r="B145" i="3"/>
  <c r="B132" i="3"/>
  <c r="D114" i="3" s="1"/>
  <c r="D5" i="8" l="1"/>
  <c r="D13" i="8"/>
  <c r="D21" i="8"/>
  <c r="D29" i="8"/>
  <c r="D37" i="8"/>
  <c r="D45" i="8"/>
  <c r="D53" i="8"/>
  <c r="D61" i="8"/>
  <c r="D69" i="8"/>
  <c r="D77" i="8"/>
  <c r="D85" i="8"/>
  <c r="D93" i="8"/>
  <c r="D101" i="8"/>
  <c r="D109" i="8"/>
  <c r="D125" i="8"/>
  <c r="D133" i="8"/>
  <c r="D141" i="8"/>
  <c r="D149" i="8"/>
  <c r="D157" i="8"/>
  <c r="D165" i="8"/>
  <c r="D173" i="8"/>
  <c r="C11" i="8"/>
  <c r="E11" i="8" s="1"/>
  <c r="C19" i="8"/>
  <c r="E19" i="8" s="1"/>
  <c r="C27" i="8"/>
  <c r="E27" i="8" s="1"/>
  <c r="C35" i="8"/>
  <c r="C43" i="8"/>
  <c r="C51" i="8"/>
  <c r="C59" i="8"/>
  <c r="C67" i="8"/>
  <c r="E67" i="8" s="1"/>
  <c r="C75" i="8"/>
  <c r="E75" i="8" s="1"/>
  <c r="C83" i="8"/>
  <c r="E83" i="8" s="1"/>
  <c r="C91" i="8"/>
  <c r="E91" i="8" s="1"/>
  <c r="C99" i="8"/>
  <c r="C107" i="8"/>
  <c r="E107" i="8" s="1"/>
  <c r="C123" i="8"/>
  <c r="C131" i="8"/>
  <c r="E131" i="8" s="1"/>
  <c r="C139" i="8"/>
  <c r="E139" i="8" s="1"/>
  <c r="C147" i="8"/>
  <c r="E147" i="8" s="1"/>
  <c r="C155" i="8"/>
  <c r="C163" i="8"/>
  <c r="E163" i="8" s="1"/>
  <c r="C171" i="8"/>
  <c r="E171" i="8" s="1"/>
  <c r="D20" i="8"/>
  <c r="D92" i="8"/>
  <c r="D148" i="8"/>
  <c r="C18" i="8"/>
  <c r="E18" i="8" s="1"/>
  <c r="C66" i="8"/>
  <c r="E66" i="8" s="1"/>
  <c r="C106" i="8"/>
  <c r="E106" i="8" s="1"/>
  <c r="C162" i="8"/>
  <c r="E162" i="8" s="1"/>
  <c r="D6" i="8"/>
  <c r="D14" i="8"/>
  <c r="D22" i="8"/>
  <c r="D30" i="8"/>
  <c r="D38" i="8"/>
  <c r="D46" i="8"/>
  <c r="D54" i="8"/>
  <c r="D62" i="8"/>
  <c r="D70" i="8"/>
  <c r="D78" i="8"/>
  <c r="D86" i="8"/>
  <c r="D94" i="8"/>
  <c r="D102" i="8"/>
  <c r="D110" i="8"/>
  <c r="D118" i="8"/>
  <c r="D126" i="8"/>
  <c r="D134" i="8"/>
  <c r="D142" i="8"/>
  <c r="D150" i="8"/>
  <c r="D158" i="8"/>
  <c r="D166" i="8"/>
  <c r="D4" i="8"/>
  <c r="C12" i="8"/>
  <c r="E12" i="8" s="1"/>
  <c r="C20" i="8"/>
  <c r="E20" i="8" s="1"/>
  <c r="F20" i="8" s="1"/>
  <c r="C28" i="8"/>
  <c r="C36" i="8"/>
  <c r="C44" i="8"/>
  <c r="C52" i="8"/>
  <c r="C60" i="8"/>
  <c r="E60" i="8" s="1"/>
  <c r="C68" i="8"/>
  <c r="E68" i="8" s="1"/>
  <c r="C76" i="8"/>
  <c r="E76" i="8" s="1"/>
  <c r="C84" i="8"/>
  <c r="E84" i="8" s="1"/>
  <c r="C92" i="8"/>
  <c r="E92" i="8" s="1"/>
  <c r="C100" i="8"/>
  <c r="C108" i="8"/>
  <c r="C124" i="8"/>
  <c r="E124" i="8" s="1"/>
  <c r="C132" i="8"/>
  <c r="E132" i="8" s="1"/>
  <c r="C140" i="8"/>
  <c r="E140" i="8" s="1"/>
  <c r="C148" i="8"/>
  <c r="E148" i="8" s="1"/>
  <c r="C156" i="8"/>
  <c r="E156" i="8" s="1"/>
  <c r="C164" i="8"/>
  <c r="C172" i="8"/>
  <c r="E172" i="8" s="1"/>
  <c r="D60" i="8"/>
  <c r="D108" i="8"/>
  <c r="D140" i="8"/>
  <c r="D172" i="8"/>
  <c r="C58" i="8"/>
  <c r="E58" i="8" s="1"/>
  <c r="C122" i="8"/>
  <c r="E122" i="8" s="1"/>
  <c r="D7" i="8"/>
  <c r="D15" i="8"/>
  <c r="D23" i="8"/>
  <c r="D31" i="8"/>
  <c r="D39" i="8"/>
  <c r="D47" i="8"/>
  <c r="D55" i="8"/>
  <c r="D63" i="8"/>
  <c r="D71" i="8"/>
  <c r="D79" i="8"/>
  <c r="D87" i="8"/>
  <c r="D95" i="8"/>
  <c r="D103" i="8"/>
  <c r="D111" i="8"/>
  <c r="D119" i="8"/>
  <c r="D127" i="8"/>
  <c r="D135" i="8"/>
  <c r="D143" i="8"/>
  <c r="D151" i="8"/>
  <c r="D159" i="8"/>
  <c r="D167" i="8"/>
  <c r="C5" i="8"/>
  <c r="E5" i="8" s="1"/>
  <c r="C13" i="8"/>
  <c r="E13" i="8" s="1"/>
  <c r="C21" i="8"/>
  <c r="E21" i="8" s="1"/>
  <c r="C29" i="8"/>
  <c r="C37" i="8"/>
  <c r="C45" i="8"/>
  <c r="C53" i="8"/>
  <c r="E53" i="8" s="1"/>
  <c r="C61" i="8"/>
  <c r="E61" i="8" s="1"/>
  <c r="C69" i="8"/>
  <c r="E69" i="8" s="1"/>
  <c r="C77" i="8"/>
  <c r="E77" i="8" s="1"/>
  <c r="C85" i="8"/>
  <c r="E85" i="8" s="1"/>
  <c r="C93" i="8"/>
  <c r="C101" i="8"/>
  <c r="C109" i="8"/>
  <c r="E109" i="8" s="1"/>
  <c r="C125" i="8"/>
  <c r="E125" i="8" s="1"/>
  <c r="C133" i="8"/>
  <c r="E133" i="8" s="1"/>
  <c r="C141" i="8"/>
  <c r="E141" i="8" s="1"/>
  <c r="C149" i="8"/>
  <c r="E149" i="8" s="1"/>
  <c r="C157" i="8"/>
  <c r="E157" i="8" s="1"/>
  <c r="C165" i="8"/>
  <c r="C173" i="8"/>
  <c r="E173" i="8" s="1"/>
  <c r="D36" i="8"/>
  <c r="C10" i="8"/>
  <c r="C74" i="8"/>
  <c r="C130" i="8"/>
  <c r="E130" i="8" s="1"/>
  <c r="D8" i="8"/>
  <c r="D16" i="8"/>
  <c r="D24" i="8"/>
  <c r="D32" i="8"/>
  <c r="D40" i="8"/>
  <c r="D48" i="8"/>
  <c r="D56" i="8"/>
  <c r="D64" i="8"/>
  <c r="D72" i="8"/>
  <c r="D80" i="8"/>
  <c r="D88" i="8"/>
  <c r="D96" i="8"/>
  <c r="D104" i="8"/>
  <c r="D112" i="8"/>
  <c r="D120" i="8"/>
  <c r="D128" i="8"/>
  <c r="D136" i="8"/>
  <c r="D144" i="8"/>
  <c r="D152" i="8"/>
  <c r="D160" i="8"/>
  <c r="D168" i="8"/>
  <c r="C6" i="8"/>
  <c r="E6" i="8" s="1"/>
  <c r="C14" i="8"/>
  <c r="E14" i="8" s="1"/>
  <c r="C22" i="8"/>
  <c r="E22" i="8" s="1"/>
  <c r="C30" i="8"/>
  <c r="E30" i="8" s="1"/>
  <c r="C38" i="8"/>
  <c r="E38" i="8" s="1"/>
  <c r="C46" i="8"/>
  <c r="E46" i="8" s="1"/>
  <c r="C54" i="8"/>
  <c r="E54" i="8" s="1"/>
  <c r="C62" i="8"/>
  <c r="E62" i="8" s="1"/>
  <c r="C70" i="8"/>
  <c r="C78" i="8"/>
  <c r="C86" i="8"/>
  <c r="E86" i="8" s="1"/>
  <c r="C94" i="8"/>
  <c r="E94" i="8" s="1"/>
  <c r="C102" i="8"/>
  <c r="E102" i="8" s="1"/>
  <c r="C110" i="8"/>
  <c r="E110" i="8" s="1"/>
  <c r="C118" i="8"/>
  <c r="E118" i="8" s="1"/>
  <c r="C126" i="8"/>
  <c r="E126" i="8" s="1"/>
  <c r="C134" i="8"/>
  <c r="E134" i="8" s="1"/>
  <c r="C142" i="8"/>
  <c r="C150" i="8"/>
  <c r="E150" i="8" s="1"/>
  <c r="C158" i="8"/>
  <c r="E158" i="8" s="1"/>
  <c r="C166" i="8"/>
  <c r="E166" i="8" s="1"/>
  <c r="C4" i="8"/>
  <c r="E4" i="8" s="1"/>
  <c r="D52" i="8"/>
  <c r="D68" i="8"/>
  <c r="D124" i="8"/>
  <c r="C26" i="8"/>
  <c r="C82" i="8"/>
  <c r="E82" i="8" s="1"/>
  <c r="C146" i="8"/>
  <c r="E146" i="8" s="1"/>
  <c r="D9" i="8"/>
  <c r="D17" i="8"/>
  <c r="D25" i="8"/>
  <c r="D33" i="8"/>
  <c r="D41" i="8"/>
  <c r="D49" i="8"/>
  <c r="D57" i="8"/>
  <c r="D65" i="8"/>
  <c r="D73" i="8"/>
  <c r="D81" i="8"/>
  <c r="D89" i="8"/>
  <c r="D97" i="8"/>
  <c r="D105" i="8"/>
  <c r="D113" i="8"/>
  <c r="D121" i="8"/>
  <c r="D129" i="8"/>
  <c r="D137" i="8"/>
  <c r="D145" i="8"/>
  <c r="D153" i="8"/>
  <c r="D161" i="8"/>
  <c r="D169" i="8"/>
  <c r="C7" i="8"/>
  <c r="E7" i="8" s="1"/>
  <c r="C15" i="8"/>
  <c r="E15" i="8" s="1"/>
  <c r="C23" i="8"/>
  <c r="E23" i="8" s="1"/>
  <c r="C31" i="8"/>
  <c r="E31" i="8" s="1"/>
  <c r="C39" i="8"/>
  <c r="E39" i="8" s="1"/>
  <c r="C47" i="8"/>
  <c r="C55" i="8"/>
  <c r="E55" i="8" s="1"/>
  <c r="C63" i="8"/>
  <c r="C71" i="8"/>
  <c r="C79" i="8"/>
  <c r="E79" i="8" s="1"/>
  <c r="C87" i="8"/>
  <c r="E87" i="8" s="1"/>
  <c r="C95" i="8"/>
  <c r="E95" i="8" s="1"/>
  <c r="C103" i="8"/>
  <c r="E103" i="8" s="1"/>
  <c r="C111" i="8"/>
  <c r="E111" i="8" s="1"/>
  <c r="C119" i="8"/>
  <c r="E119" i="8" s="1"/>
  <c r="C127" i="8"/>
  <c r="C135" i="8"/>
  <c r="C143" i="8"/>
  <c r="E143" i="8" s="1"/>
  <c r="C151" i="8"/>
  <c r="E151" i="8" s="1"/>
  <c r="C159" i="8"/>
  <c r="E159" i="8" s="1"/>
  <c r="C167" i="8"/>
  <c r="E167" i="8" s="1"/>
  <c r="D44" i="8"/>
  <c r="D84" i="8"/>
  <c r="D156" i="8"/>
  <c r="C42" i="8"/>
  <c r="C98" i="8"/>
  <c r="E98" i="8" s="1"/>
  <c r="C138" i="8"/>
  <c r="E138" i="8" s="1"/>
  <c r="D10" i="8"/>
  <c r="D18" i="8"/>
  <c r="D26" i="8"/>
  <c r="D34" i="8"/>
  <c r="D42" i="8"/>
  <c r="D50" i="8"/>
  <c r="D58" i="8"/>
  <c r="D66" i="8"/>
  <c r="D74" i="8"/>
  <c r="D82" i="8"/>
  <c r="D90" i="8"/>
  <c r="D98" i="8"/>
  <c r="D106" i="8"/>
  <c r="D114" i="8"/>
  <c r="D122" i="8"/>
  <c r="D130" i="8"/>
  <c r="D138" i="8"/>
  <c r="D146" i="8"/>
  <c r="D154" i="8"/>
  <c r="D162" i="8"/>
  <c r="D170" i="8"/>
  <c r="C8" i="8"/>
  <c r="C16" i="8"/>
  <c r="E16" i="8" s="1"/>
  <c r="C24" i="8"/>
  <c r="E24" i="8" s="1"/>
  <c r="C32" i="8"/>
  <c r="E32" i="8" s="1"/>
  <c r="C40" i="8"/>
  <c r="E40" i="8" s="1"/>
  <c r="C48" i="8"/>
  <c r="C56" i="8"/>
  <c r="E56" i="8" s="1"/>
  <c r="C64" i="8"/>
  <c r="E64" i="8" s="1"/>
  <c r="C72" i="8"/>
  <c r="E72" i="8" s="1"/>
  <c r="C80" i="8"/>
  <c r="E80" i="8" s="1"/>
  <c r="C88" i="8"/>
  <c r="E88" i="8" s="1"/>
  <c r="C96" i="8"/>
  <c r="E96" i="8" s="1"/>
  <c r="C104" i="8"/>
  <c r="E104" i="8" s="1"/>
  <c r="C112" i="8"/>
  <c r="E112" i="8" s="1"/>
  <c r="C120" i="8"/>
  <c r="E120" i="8" s="1"/>
  <c r="C128" i="8"/>
  <c r="E128" i="8" s="1"/>
  <c r="C136" i="8"/>
  <c r="E136" i="8" s="1"/>
  <c r="C144" i="8"/>
  <c r="E144" i="8" s="1"/>
  <c r="C152" i="8"/>
  <c r="E152" i="8" s="1"/>
  <c r="C160" i="8"/>
  <c r="E160" i="8" s="1"/>
  <c r="C168" i="8"/>
  <c r="E168" i="8" s="1"/>
  <c r="D12" i="8"/>
  <c r="D100" i="8"/>
  <c r="D164" i="8"/>
  <c r="C50" i="8"/>
  <c r="C114" i="8"/>
  <c r="E114" i="8" s="1"/>
  <c r="C170" i="8"/>
  <c r="E170" i="8" s="1"/>
  <c r="D11" i="8"/>
  <c r="D19" i="8"/>
  <c r="D27" i="8"/>
  <c r="D35" i="8"/>
  <c r="D43" i="8"/>
  <c r="D51" i="8"/>
  <c r="D59" i="8"/>
  <c r="D67" i="8"/>
  <c r="D75" i="8"/>
  <c r="D83" i="8"/>
  <c r="D91" i="8"/>
  <c r="D99" i="8"/>
  <c r="D107" i="8"/>
  <c r="D123" i="8"/>
  <c r="D131" i="8"/>
  <c r="D139" i="8"/>
  <c r="D147" i="8"/>
  <c r="D155" i="8"/>
  <c r="D163" i="8"/>
  <c r="D171" i="8"/>
  <c r="C9" i="8"/>
  <c r="E9" i="8" s="1"/>
  <c r="C17" i="8"/>
  <c r="E17" i="8" s="1"/>
  <c r="C25" i="8"/>
  <c r="E25" i="8" s="1"/>
  <c r="C33" i="8"/>
  <c r="E33" i="8" s="1"/>
  <c r="C41" i="8"/>
  <c r="E41" i="8" s="1"/>
  <c r="C49" i="8"/>
  <c r="E49" i="8" s="1"/>
  <c r="C57" i="8"/>
  <c r="E57" i="8" s="1"/>
  <c r="C65" i="8"/>
  <c r="E65" i="8" s="1"/>
  <c r="C73" i="8"/>
  <c r="E73" i="8" s="1"/>
  <c r="C81" i="8"/>
  <c r="E81" i="8" s="1"/>
  <c r="C89" i="8"/>
  <c r="E89" i="8" s="1"/>
  <c r="C97" i="8"/>
  <c r="E97" i="8" s="1"/>
  <c r="C105" i="8"/>
  <c r="E105" i="8" s="1"/>
  <c r="C113" i="8"/>
  <c r="E113" i="8" s="1"/>
  <c r="C121" i="8"/>
  <c r="E121" i="8" s="1"/>
  <c r="C129" i="8"/>
  <c r="E129" i="8" s="1"/>
  <c r="C137" i="8"/>
  <c r="C145" i="8"/>
  <c r="E145" i="8" s="1"/>
  <c r="C153" i="8"/>
  <c r="E153" i="8" s="1"/>
  <c r="C161" i="8"/>
  <c r="E161" i="8" s="1"/>
  <c r="C169" i="8"/>
  <c r="E169" i="8" s="1"/>
  <c r="D28" i="8"/>
  <c r="D76" i="8"/>
  <c r="D132" i="8"/>
  <c r="C34" i="8"/>
  <c r="E34" i="8" s="1"/>
  <c r="C90" i="8"/>
  <c r="E90" i="8" s="1"/>
  <c r="C154" i="8"/>
  <c r="E154" i="8" s="1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D113" i="7"/>
  <c r="D121" i="7"/>
  <c r="D129" i="7"/>
  <c r="D137" i="7"/>
  <c r="D145" i="7"/>
  <c r="D153" i="7"/>
  <c r="D161" i="7"/>
  <c r="D169" i="7"/>
  <c r="C6" i="7"/>
  <c r="E6" i="7" s="1"/>
  <c r="C14" i="7"/>
  <c r="C22" i="7"/>
  <c r="C30" i="7"/>
  <c r="C38" i="7"/>
  <c r="C46" i="7"/>
  <c r="C54" i="7"/>
  <c r="C62" i="7"/>
  <c r="C70" i="7"/>
  <c r="E70" i="7" s="1"/>
  <c r="C78" i="7"/>
  <c r="E78" i="7" s="1"/>
  <c r="C86" i="7"/>
  <c r="E86" i="7" s="1"/>
  <c r="F86" i="7" s="1"/>
  <c r="C94" i="7"/>
  <c r="C102" i="7"/>
  <c r="C110" i="7"/>
  <c r="E110" i="7" s="1"/>
  <c r="C118" i="7"/>
  <c r="C126" i="7"/>
  <c r="C134" i="7"/>
  <c r="E134" i="7" s="1"/>
  <c r="C142" i="7"/>
  <c r="E142" i="7" s="1"/>
  <c r="C150" i="7"/>
  <c r="E150" i="7" s="1"/>
  <c r="F150" i="7" s="1"/>
  <c r="C158" i="7"/>
  <c r="E158" i="7" s="1"/>
  <c r="C166" i="7"/>
  <c r="C174" i="7"/>
  <c r="E174" i="7" s="1"/>
  <c r="D14" i="7"/>
  <c r="D110" i="7"/>
  <c r="D150" i="7"/>
  <c r="C11" i="7"/>
  <c r="E11" i="7" s="1"/>
  <c r="C43" i="7"/>
  <c r="E43" i="7" s="1"/>
  <c r="F43" i="7" s="1"/>
  <c r="C83" i="7"/>
  <c r="C107" i="7"/>
  <c r="C139" i="7"/>
  <c r="C37" i="7"/>
  <c r="C101" i="7"/>
  <c r="E101" i="7" s="1"/>
  <c r="C125" i="7"/>
  <c r="E125" i="7" s="1"/>
  <c r="C165" i="7"/>
  <c r="E165" i="7" s="1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D114" i="7"/>
  <c r="D122" i="7"/>
  <c r="D130" i="7"/>
  <c r="D138" i="7"/>
  <c r="D146" i="7"/>
  <c r="D154" i="7"/>
  <c r="D162" i="7"/>
  <c r="D170" i="7"/>
  <c r="C7" i="7"/>
  <c r="E7" i="7" s="1"/>
  <c r="F7" i="7" s="1"/>
  <c r="C15" i="7"/>
  <c r="E15" i="7" s="1"/>
  <c r="C23" i="7"/>
  <c r="C31" i="7"/>
  <c r="E31" i="7" s="1"/>
  <c r="C39" i="7"/>
  <c r="C47" i="7"/>
  <c r="C55" i="7"/>
  <c r="E55" i="7" s="1"/>
  <c r="C63" i="7"/>
  <c r="C71" i="7"/>
  <c r="E71" i="7" s="1"/>
  <c r="C79" i="7"/>
  <c r="C87" i="7"/>
  <c r="C95" i="7"/>
  <c r="E95" i="7" s="1"/>
  <c r="C103" i="7"/>
  <c r="E103" i="7" s="1"/>
  <c r="C111" i="7"/>
  <c r="C119" i="7"/>
  <c r="E119" i="7" s="1"/>
  <c r="C127" i="7"/>
  <c r="C135" i="7"/>
  <c r="C143" i="7"/>
  <c r="E143" i="7" s="1"/>
  <c r="C151" i="7"/>
  <c r="E151" i="7" s="1"/>
  <c r="C159" i="7"/>
  <c r="E159" i="7" s="1"/>
  <c r="C167" i="7"/>
  <c r="E167" i="7" s="1"/>
  <c r="C4" i="7"/>
  <c r="D78" i="7"/>
  <c r="D142" i="7"/>
  <c r="C27" i="7"/>
  <c r="E27" i="7" s="1"/>
  <c r="F27" i="7" s="1"/>
  <c r="C67" i="7"/>
  <c r="E67" i="7" s="1"/>
  <c r="C123" i="7"/>
  <c r="E123" i="7" s="1"/>
  <c r="F123" i="7" s="1"/>
  <c r="C163" i="7"/>
  <c r="E163" i="7" s="1"/>
  <c r="C61" i="7"/>
  <c r="E61" i="7" s="1"/>
  <c r="C141" i="7"/>
  <c r="D11" i="7"/>
  <c r="D19" i="7"/>
  <c r="D27" i="7"/>
  <c r="D35" i="7"/>
  <c r="D43" i="7"/>
  <c r="D51" i="7"/>
  <c r="D59" i="7"/>
  <c r="D67" i="7"/>
  <c r="D75" i="7"/>
  <c r="D83" i="7"/>
  <c r="D91" i="7"/>
  <c r="D99" i="7"/>
  <c r="D107" i="7"/>
  <c r="D123" i="7"/>
  <c r="D131" i="7"/>
  <c r="D139" i="7"/>
  <c r="D147" i="7"/>
  <c r="D155" i="7"/>
  <c r="D163" i="7"/>
  <c r="D171" i="7"/>
  <c r="C8" i="7"/>
  <c r="E8" i="7" s="1"/>
  <c r="F8" i="7" s="1"/>
  <c r="C16" i="7"/>
  <c r="E16" i="7" s="1"/>
  <c r="C24" i="7"/>
  <c r="C32" i="7"/>
  <c r="E32" i="7" s="1"/>
  <c r="C40" i="7"/>
  <c r="C48" i="7"/>
  <c r="E48" i="7" s="1"/>
  <c r="C56" i="7"/>
  <c r="E56" i="7" s="1"/>
  <c r="C64" i="7"/>
  <c r="E64" i="7" s="1"/>
  <c r="C72" i="7"/>
  <c r="E72" i="7" s="1"/>
  <c r="C80" i="7"/>
  <c r="E80" i="7" s="1"/>
  <c r="C88" i="7"/>
  <c r="C96" i="7"/>
  <c r="E96" i="7" s="1"/>
  <c r="C104" i="7"/>
  <c r="C112" i="7"/>
  <c r="E112" i="7" s="1"/>
  <c r="C120" i="7"/>
  <c r="E120" i="7" s="1"/>
  <c r="C128" i="7"/>
  <c r="E128" i="7" s="1"/>
  <c r="C136" i="7"/>
  <c r="E136" i="7" s="1"/>
  <c r="C144" i="7"/>
  <c r="E144" i="7" s="1"/>
  <c r="C152" i="7"/>
  <c r="C160" i="7"/>
  <c r="E160" i="7" s="1"/>
  <c r="C168" i="7"/>
  <c r="E168" i="7" s="1"/>
  <c r="D6" i="7"/>
  <c r="D30" i="7"/>
  <c r="D46" i="7"/>
  <c r="D54" i="7"/>
  <c r="D62" i="7"/>
  <c r="D70" i="7"/>
  <c r="D86" i="7"/>
  <c r="D118" i="7"/>
  <c r="D126" i="7"/>
  <c r="D166" i="7"/>
  <c r="C35" i="7"/>
  <c r="E35" i="7" s="1"/>
  <c r="F35" i="7" s="1"/>
  <c r="C75" i="7"/>
  <c r="E75" i="7" s="1"/>
  <c r="F75" i="7" s="1"/>
  <c r="C131" i="7"/>
  <c r="E131" i="7" s="1"/>
  <c r="F131" i="7" s="1"/>
  <c r="C171" i="7"/>
  <c r="E171" i="7" s="1"/>
  <c r="C53" i="7"/>
  <c r="C133" i="7"/>
  <c r="D12" i="7"/>
  <c r="D20" i="7"/>
  <c r="D28" i="7"/>
  <c r="D36" i="7"/>
  <c r="D44" i="7"/>
  <c r="D52" i="7"/>
  <c r="D60" i="7"/>
  <c r="D68" i="7"/>
  <c r="D76" i="7"/>
  <c r="D84" i="7"/>
  <c r="D92" i="7"/>
  <c r="D100" i="7"/>
  <c r="D108" i="7"/>
  <c r="D124" i="7"/>
  <c r="D132" i="7"/>
  <c r="D140" i="7"/>
  <c r="D148" i="7"/>
  <c r="D156" i="7"/>
  <c r="D164" i="7"/>
  <c r="D172" i="7"/>
  <c r="C9" i="7"/>
  <c r="C17" i="7"/>
  <c r="E17" i="7" s="1"/>
  <c r="F17" i="7" s="1"/>
  <c r="C25" i="7"/>
  <c r="C33" i="7"/>
  <c r="E33" i="7" s="1"/>
  <c r="C41" i="7"/>
  <c r="E41" i="7" s="1"/>
  <c r="C49" i="7"/>
  <c r="E49" i="7" s="1"/>
  <c r="C57" i="7"/>
  <c r="E57" i="7" s="1"/>
  <c r="F57" i="7" s="1"/>
  <c r="C65" i="7"/>
  <c r="E65" i="7" s="1"/>
  <c r="C73" i="7"/>
  <c r="C81" i="7"/>
  <c r="E81" i="7" s="1"/>
  <c r="C89" i="7"/>
  <c r="C97" i="7"/>
  <c r="C105" i="7"/>
  <c r="E105" i="7" s="1"/>
  <c r="C113" i="7"/>
  <c r="E113" i="7" s="1"/>
  <c r="C121" i="7"/>
  <c r="E121" i="7" s="1"/>
  <c r="F121" i="7" s="1"/>
  <c r="C129" i="7"/>
  <c r="C137" i="7"/>
  <c r="C145" i="7"/>
  <c r="C153" i="7"/>
  <c r="C161" i="7"/>
  <c r="E161" i="7" s="1"/>
  <c r="F161" i="7" s="1"/>
  <c r="C169" i="7"/>
  <c r="E169" i="7" s="1"/>
  <c r="D22" i="7"/>
  <c r="D102" i="7"/>
  <c r="D158" i="7"/>
  <c r="C19" i="7"/>
  <c r="C51" i="7"/>
  <c r="E51" i="7" s="1"/>
  <c r="C91" i="7"/>
  <c r="C147" i="7"/>
  <c r="E147" i="7" s="1"/>
  <c r="C21" i="7"/>
  <c r="E21" i="7" s="1"/>
  <c r="C93" i="7"/>
  <c r="E93" i="7" s="1"/>
  <c r="C173" i="7"/>
  <c r="E173" i="7" s="1"/>
  <c r="D5" i="7"/>
  <c r="D13" i="7"/>
  <c r="D21" i="7"/>
  <c r="D29" i="7"/>
  <c r="D37" i="7"/>
  <c r="D45" i="7"/>
  <c r="D53" i="7"/>
  <c r="D61" i="7"/>
  <c r="D69" i="7"/>
  <c r="D77" i="7"/>
  <c r="D85" i="7"/>
  <c r="D93" i="7"/>
  <c r="D101" i="7"/>
  <c r="D109" i="7"/>
  <c r="D125" i="7"/>
  <c r="D133" i="7"/>
  <c r="D141" i="7"/>
  <c r="D149" i="7"/>
  <c r="D157" i="7"/>
  <c r="D165" i="7"/>
  <c r="D173" i="7"/>
  <c r="C10" i="7"/>
  <c r="E10" i="7" s="1"/>
  <c r="C18" i="7"/>
  <c r="C26" i="7"/>
  <c r="E26" i="7" s="1"/>
  <c r="F26" i="7" s="1"/>
  <c r="C34" i="7"/>
  <c r="C42" i="7"/>
  <c r="C50" i="7"/>
  <c r="E50" i="7" s="1"/>
  <c r="C58" i="7"/>
  <c r="E58" i="7" s="1"/>
  <c r="C66" i="7"/>
  <c r="E66" i="7" s="1"/>
  <c r="F66" i="7" s="1"/>
  <c r="C74" i="7"/>
  <c r="E74" i="7" s="1"/>
  <c r="C82" i="7"/>
  <c r="C90" i="7"/>
  <c r="E90" i="7" s="1"/>
  <c r="F90" i="7" s="1"/>
  <c r="C98" i="7"/>
  <c r="C106" i="7"/>
  <c r="C114" i="7"/>
  <c r="E114" i="7" s="1"/>
  <c r="C122" i="7"/>
  <c r="E122" i="7" s="1"/>
  <c r="C130" i="7"/>
  <c r="E130" i="7" s="1"/>
  <c r="F130" i="7" s="1"/>
  <c r="C138" i="7"/>
  <c r="E138" i="7" s="1"/>
  <c r="C146" i="7"/>
  <c r="C154" i="7"/>
  <c r="E154" i="7" s="1"/>
  <c r="F154" i="7" s="1"/>
  <c r="C162" i="7"/>
  <c r="C170" i="7"/>
  <c r="E170" i="7" s="1"/>
  <c r="F170" i="7" s="1"/>
  <c r="D38" i="7"/>
  <c r="D94" i="7"/>
  <c r="D134" i="7"/>
  <c r="D174" i="7"/>
  <c r="C59" i="7"/>
  <c r="C99" i="7"/>
  <c r="C155" i="7"/>
  <c r="C69" i="7"/>
  <c r="C157" i="7"/>
  <c r="E157" i="7" s="1"/>
  <c r="D7" i="7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D119" i="7"/>
  <c r="D127" i="7"/>
  <c r="D135" i="7"/>
  <c r="D143" i="7"/>
  <c r="D151" i="7"/>
  <c r="D159" i="7"/>
  <c r="D167" i="7"/>
  <c r="D4" i="7"/>
  <c r="C12" i="7"/>
  <c r="E12" i="7" s="1"/>
  <c r="F12" i="7" s="1"/>
  <c r="C20" i="7"/>
  <c r="E20" i="7" s="1"/>
  <c r="F20" i="7" s="1"/>
  <c r="C28" i="7"/>
  <c r="E28" i="7" s="1"/>
  <c r="F28" i="7" s="1"/>
  <c r="C36" i="7"/>
  <c r="E36" i="7" s="1"/>
  <c r="C44" i="7"/>
  <c r="C52" i="7"/>
  <c r="C60" i="7"/>
  <c r="C68" i="7"/>
  <c r="C76" i="7"/>
  <c r="C84" i="7"/>
  <c r="E84" i="7" s="1"/>
  <c r="F84" i="7" s="1"/>
  <c r="C92" i="7"/>
  <c r="E92" i="7" s="1"/>
  <c r="F92" i="7" s="1"/>
  <c r="C100" i="7"/>
  <c r="E100" i="7" s="1"/>
  <c r="C108" i="7"/>
  <c r="C124" i="7"/>
  <c r="C132" i="7"/>
  <c r="C140" i="7"/>
  <c r="E140" i="7" s="1"/>
  <c r="F140" i="7" s="1"/>
  <c r="C148" i="7"/>
  <c r="E148" i="7" s="1"/>
  <c r="F148" i="7" s="1"/>
  <c r="C156" i="7"/>
  <c r="E156" i="7" s="1"/>
  <c r="F156" i="7" s="1"/>
  <c r="C164" i="7"/>
  <c r="E164" i="7" s="1"/>
  <c r="F164" i="7" s="1"/>
  <c r="C172" i="7"/>
  <c r="E172" i="7" s="1"/>
  <c r="F172" i="7" s="1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D120" i="7"/>
  <c r="D128" i="7"/>
  <c r="D136" i="7"/>
  <c r="D144" i="7"/>
  <c r="D152" i="7"/>
  <c r="D160" i="7"/>
  <c r="D168" i="7"/>
  <c r="C5" i="7"/>
  <c r="E5" i="7" s="1"/>
  <c r="C13" i="7"/>
  <c r="E13" i="7" s="1"/>
  <c r="F13" i="7" s="1"/>
  <c r="C29" i="7"/>
  <c r="E29" i="7" s="1"/>
  <c r="C45" i="7"/>
  <c r="C77" i="7"/>
  <c r="C85" i="7"/>
  <c r="E85" i="7" s="1"/>
  <c r="F85" i="7" s="1"/>
  <c r="C109" i="7"/>
  <c r="E109" i="7" s="1"/>
  <c r="C149" i="7"/>
  <c r="E149" i="7" s="1"/>
  <c r="E87" i="7"/>
  <c r="F87" i="7" s="1"/>
  <c r="E23" i="7"/>
  <c r="F23" i="7" s="1"/>
  <c r="E47" i="8"/>
  <c r="E127" i="8"/>
  <c r="E135" i="8"/>
  <c r="E71" i="8"/>
  <c r="E142" i="8"/>
  <c r="E26" i="8"/>
  <c r="E70" i="8"/>
  <c r="E43" i="8"/>
  <c r="E51" i="8"/>
  <c r="E59" i="8"/>
  <c r="E36" i="8"/>
  <c r="E29" i="8"/>
  <c r="E37" i="8"/>
  <c r="E45" i="8"/>
  <c r="E93" i="8"/>
  <c r="E101" i="8"/>
  <c r="E42" i="8"/>
  <c r="E50" i="8"/>
  <c r="E74" i="8"/>
  <c r="E44" i="8"/>
  <c r="E100" i="8"/>
  <c r="E108" i="8"/>
  <c r="E10" i="8"/>
  <c r="E137" i="8"/>
  <c r="E155" i="8"/>
  <c r="E28" i="8"/>
  <c r="E164" i="8"/>
  <c r="E48" i="8"/>
  <c r="E35" i="8"/>
  <c r="E8" i="8"/>
  <c r="E123" i="8"/>
  <c r="E165" i="8"/>
  <c r="F165" i="8" s="1"/>
  <c r="E63" i="8"/>
  <c r="E52" i="8"/>
  <c r="E99" i="8"/>
  <c r="E78" i="8"/>
  <c r="E111" i="7"/>
  <c r="E129" i="7"/>
  <c r="E97" i="7"/>
  <c r="E63" i="7"/>
  <c r="E153" i="7"/>
  <c r="E89" i="7"/>
  <c r="E25" i="7"/>
  <c r="F25" i="7" s="1"/>
  <c r="E30" i="7"/>
  <c r="E62" i="7"/>
  <c r="E94" i="7"/>
  <c r="E118" i="7"/>
  <c r="F118" i="7" s="1"/>
  <c r="E22" i="7"/>
  <c r="F22" i="7" s="1"/>
  <c r="E54" i="7"/>
  <c r="E102" i="7"/>
  <c r="E166" i="7"/>
  <c r="E14" i="7"/>
  <c r="E46" i="7"/>
  <c r="F46" i="7" s="1"/>
  <c r="E38" i="7"/>
  <c r="E79" i="7"/>
  <c r="E47" i="7"/>
  <c r="E137" i="7"/>
  <c r="E73" i="7"/>
  <c r="E9" i="7"/>
  <c r="F9" i="7" s="1"/>
  <c r="E126" i="7"/>
  <c r="E145" i="7"/>
  <c r="F145" i="7" s="1"/>
  <c r="E19" i="7"/>
  <c r="F19" i="7" s="1"/>
  <c r="E135" i="7"/>
  <c r="E39" i="7"/>
  <c r="F39" i="7" s="1"/>
  <c r="E127" i="7"/>
  <c r="E152" i="7"/>
  <c r="E104" i="7"/>
  <c r="E88" i="7"/>
  <c r="E40" i="7"/>
  <c r="E24" i="7"/>
  <c r="F24" i="7" s="1"/>
  <c r="E141" i="7"/>
  <c r="F141" i="7" s="1"/>
  <c r="E133" i="7"/>
  <c r="E77" i="7"/>
  <c r="F77" i="7" s="1"/>
  <c r="E69" i="7"/>
  <c r="E53" i="7"/>
  <c r="F53" i="7" s="1"/>
  <c r="E45" i="7"/>
  <c r="E37" i="7"/>
  <c r="E132" i="7"/>
  <c r="F132" i="7" s="1"/>
  <c r="E124" i="7"/>
  <c r="F124" i="7" s="1"/>
  <c r="E108" i="7"/>
  <c r="F108" i="7" s="1"/>
  <c r="E76" i="7"/>
  <c r="F76" i="7" s="1"/>
  <c r="E68" i="7"/>
  <c r="F68" i="7" s="1"/>
  <c r="E60" i="7"/>
  <c r="F60" i="7" s="1"/>
  <c r="E52" i="7"/>
  <c r="F52" i="7" s="1"/>
  <c r="E44" i="7"/>
  <c r="F44" i="7" s="1"/>
  <c r="E155" i="7"/>
  <c r="F155" i="7" s="1"/>
  <c r="E139" i="7"/>
  <c r="F139" i="7" s="1"/>
  <c r="E107" i="7"/>
  <c r="E99" i="7"/>
  <c r="E91" i="7"/>
  <c r="E83" i="7"/>
  <c r="F83" i="7" s="1"/>
  <c r="E59" i="7"/>
  <c r="F59" i="7" s="1"/>
  <c r="E162" i="7"/>
  <c r="E146" i="7"/>
  <c r="F146" i="7" s="1"/>
  <c r="E106" i="7"/>
  <c r="F106" i="7" s="1"/>
  <c r="E98" i="7"/>
  <c r="F98" i="7" s="1"/>
  <c r="E82" i="7"/>
  <c r="F82" i="7" s="1"/>
  <c r="E42" i="7"/>
  <c r="F42" i="7" s="1"/>
  <c r="E34" i="7"/>
  <c r="E18" i="7"/>
  <c r="F18" i="7" s="1"/>
  <c r="F119" i="8" l="1"/>
  <c r="F123" i="8"/>
  <c r="F63" i="8"/>
  <c r="F10" i="8"/>
  <c r="F173" i="8"/>
  <c r="F138" i="8"/>
  <c r="F49" i="8"/>
  <c r="F81" i="8"/>
  <c r="F17" i="8"/>
  <c r="F15" i="8"/>
  <c r="F52" i="8"/>
  <c r="F95" i="8"/>
  <c r="F27" i="8"/>
  <c r="F159" i="8"/>
  <c r="F169" i="8"/>
  <c r="F168" i="8"/>
  <c r="F167" i="8"/>
  <c r="F89" i="8"/>
  <c r="F166" i="8"/>
  <c r="F172" i="8"/>
  <c r="F170" i="8"/>
  <c r="F171" i="8"/>
  <c r="F91" i="7"/>
  <c r="F149" i="7"/>
  <c r="F114" i="7"/>
  <c r="F50" i="7"/>
  <c r="F169" i="7"/>
  <c r="F41" i="7"/>
  <c r="F67" i="7"/>
  <c r="F125" i="7"/>
  <c r="F70" i="7"/>
  <c r="F122" i="7"/>
  <c r="F58" i="7"/>
  <c r="F21" i="7"/>
  <c r="F128" i="7"/>
  <c r="F64" i="7"/>
  <c r="F165" i="7"/>
  <c r="F11" i="7"/>
  <c r="F78" i="7"/>
  <c r="F109" i="7"/>
  <c r="F99" i="7"/>
  <c r="F30" i="7"/>
  <c r="F110" i="7"/>
  <c r="F166" i="7"/>
  <c r="F71" i="7"/>
  <c r="F120" i="7"/>
  <c r="F56" i="7"/>
  <c r="F143" i="7"/>
  <c r="F134" i="7"/>
  <c r="F6" i="7"/>
  <c r="F112" i="7"/>
  <c r="F79" i="7"/>
  <c r="F51" i="7"/>
  <c r="F160" i="7"/>
  <c r="F96" i="7"/>
  <c r="F32" i="7"/>
  <c r="F119" i="7"/>
  <c r="F55" i="7"/>
  <c r="F107" i="7"/>
  <c r="F48" i="7"/>
  <c r="F152" i="7"/>
  <c r="F171" i="7"/>
  <c r="F94" i="7"/>
  <c r="F138" i="7"/>
  <c r="F74" i="7"/>
  <c r="F10" i="7"/>
  <c r="F65" i="7"/>
  <c r="F144" i="7"/>
  <c r="F80" i="7"/>
  <c r="F16" i="7"/>
  <c r="F61" i="7"/>
  <c r="F103" i="7"/>
  <c r="F158" i="7"/>
  <c r="F45" i="7"/>
  <c r="F54" i="7"/>
  <c r="F133" i="7"/>
  <c r="F5" i="7"/>
  <c r="F69" i="7"/>
  <c r="F40" i="7"/>
  <c r="F104" i="7"/>
  <c r="F168" i="7"/>
  <c r="F174" i="7"/>
  <c r="F127" i="7"/>
  <c r="F73" i="7"/>
  <c r="F62" i="7"/>
  <c r="F153" i="7"/>
  <c r="F173" i="7"/>
  <c r="F15" i="7"/>
  <c r="F167" i="7"/>
  <c r="F47" i="8"/>
  <c r="F5" i="8"/>
  <c r="F146" i="8"/>
  <c r="F70" i="8"/>
  <c r="F16" i="8"/>
  <c r="F79" i="8"/>
  <c r="F87" i="8"/>
  <c r="F78" i="8"/>
  <c r="F99" i="8"/>
  <c r="F151" i="8"/>
  <c r="F60" i="8"/>
  <c r="F130" i="8"/>
  <c r="F158" i="8"/>
  <c r="F84" i="8"/>
  <c r="F122" i="8"/>
  <c r="F136" i="8"/>
  <c r="F104" i="8"/>
  <c r="F72" i="8"/>
  <c r="F40" i="8"/>
  <c r="F83" i="8"/>
  <c r="F51" i="8"/>
  <c r="F94" i="8"/>
  <c r="F62" i="8"/>
  <c r="F140" i="8"/>
  <c r="F108" i="8"/>
  <c r="F76" i="8"/>
  <c r="F44" i="8"/>
  <c r="F137" i="8"/>
  <c r="F105" i="8"/>
  <c r="F73" i="8"/>
  <c r="F41" i="8"/>
  <c r="F144" i="8"/>
  <c r="F23" i="8"/>
  <c r="F154" i="8"/>
  <c r="F97" i="8"/>
  <c r="F65" i="8"/>
  <c r="F163" i="8"/>
  <c r="F155" i="8"/>
  <c r="F9" i="8"/>
  <c r="F68" i="8"/>
  <c r="F128" i="8"/>
  <c r="F96" i="8"/>
  <c r="F64" i="8"/>
  <c r="F139" i="8"/>
  <c r="F107" i="8"/>
  <c r="F75" i="8"/>
  <c r="F43" i="8"/>
  <c r="F86" i="8"/>
  <c r="F54" i="8"/>
  <c r="F152" i="8"/>
  <c r="F4" i="8"/>
  <c r="F106" i="8"/>
  <c r="F18" i="8"/>
  <c r="F39" i="8"/>
  <c r="F149" i="8"/>
  <c r="F57" i="8"/>
  <c r="F32" i="8"/>
  <c r="F46" i="8"/>
  <c r="F110" i="8"/>
  <c r="F28" i="8"/>
  <c r="F132" i="8"/>
  <c r="F67" i="8"/>
  <c r="F111" i="8"/>
  <c r="F145" i="8"/>
  <c r="F80" i="8"/>
  <c r="F114" i="8"/>
  <c r="F36" i="8"/>
  <c r="F19" i="8"/>
  <c r="F26" i="8"/>
  <c r="F157" i="8"/>
  <c r="F35" i="8"/>
  <c r="F25" i="8"/>
  <c r="F148" i="8"/>
  <c r="F160" i="8"/>
  <c r="F112" i="8"/>
  <c r="F124" i="8"/>
  <c r="F92" i="8"/>
  <c r="F131" i="8"/>
  <c r="F48" i="8"/>
  <c r="F156" i="8"/>
  <c r="F147" i="8"/>
  <c r="F55" i="8"/>
  <c r="F24" i="8"/>
  <c r="F126" i="8"/>
  <c r="F143" i="8"/>
  <c r="F91" i="8"/>
  <c r="F59" i="8"/>
  <c r="F102" i="8"/>
  <c r="F33" i="8"/>
  <c r="F82" i="8"/>
  <c r="F50" i="8"/>
  <c r="F85" i="8"/>
  <c r="F53" i="8"/>
  <c r="F120" i="8"/>
  <c r="F162" i="8"/>
  <c r="F98" i="8"/>
  <c r="F129" i="8"/>
  <c r="F11" i="8"/>
  <c r="F21" i="8"/>
  <c r="F134" i="8"/>
  <c r="F103" i="8"/>
  <c r="F127" i="8"/>
  <c r="F71" i="8"/>
  <c r="F56" i="8"/>
  <c r="F74" i="8"/>
  <c r="F42" i="8"/>
  <c r="F141" i="8"/>
  <c r="F109" i="8"/>
  <c r="F77" i="8"/>
  <c r="F45" i="8"/>
  <c r="F22" i="8"/>
  <c r="F135" i="8"/>
  <c r="F121" i="8"/>
  <c r="F13" i="8"/>
  <c r="F31" i="8"/>
  <c r="F12" i="8"/>
  <c r="F100" i="8"/>
  <c r="F66" i="8"/>
  <c r="F30" i="8"/>
  <c r="F133" i="8"/>
  <c r="F101" i="8"/>
  <c r="F69" i="8"/>
  <c r="F37" i="8"/>
  <c r="F14" i="8"/>
  <c r="F153" i="8"/>
  <c r="F142" i="8"/>
  <c r="F113" i="8"/>
  <c r="F6" i="8"/>
  <c r="F38" i="8"/>
  <c r="F88" i="8"/>
  <c r="F8" i="8"/>
  <c r="F164" i="8"/>
  <c r="F90" i="8"/>
  <c r="F58" i="8"/>
  <c r="F125" i="8"/>
  <c r="F93" i="8"/>
  <c r="F61" i="8"/>
  <c r="F29" i="8"/>
  <c r="F34" i="8"/>
  <c r="F7" i="8"/>
  <c r="F118" i="8"/>
  <c r="F161" i="8"/>
  <c r="F150" i="8"/>
  <c r="F29" i="7"/>
  <c r="F113" i="7"/>
  <c r="F31" i="7"/>
  <c r="F37" i="7"/>
  <c r="F101" i="7"/>
  <c r="F157" i="7"/>
  <c r="F34" i="7"/>
  <c r="F162" i="7"/>
  <c r="F72" i="7"/>
  <c r="F136" i="7"/>
  <c r="F151" i="7"/>
  <c r="F105" i="7"/>
  <c r="F38" i="7"/>
  <c r="F47" i="7"/>
  <c r="F81" i="7"/>
  <c r="F93" i="7"/>
  <c r="F89" i="7"/>
  <c r="F147" i="7"/>
  <c r="F159" i="7"/>
  <c r="F126" i="7"/>
  <c r="F137" i="7"/>
  <c r="F111" i="7"/>
  <c r="F88" i="7"/>
  <c r="F95" i="7"/>
  <c r="F33" i="7"/>
  <c r="F14" i="7"/>
  <c r="F142" i="7"/>
  <c r="F163" i="7"/>
  <c r="F49" i="7"/>
  <c r="F97" i="7"/>
  <c r="F36" i="7"/>
  <c r="F100" i="7"/>
  <c r="F129" i="7"/>
  <c r="F63" i="7"/>
  <c r="F102" i="7"/>
  <c r="F135" i="7"/>
  <c r="C61" i="3" l="1"/>
  <c r="E61" i="3" s="1"/>
  <c r="C47" i="3"/>
  <c r="E47" i="3" s="1"/>
  <c r="C25" i="3"/>
  <c r="E25" i="3" s="1"/>
  <c r="C67" i="3"/>
  <c r="E67" i="3" s="1"/>
  <c r="C167" i="3"/>
  <c r="E167" i="3" s="1"/>
  <c r="C36" i="3"/>
  <c r="E36" i="3" s="1"/>
  <c r="D8" i="3"/>
  <c r="C46" i="3"/>
  <c r="E46" i="3" s="1"/>
  <c r="D39" i="3"/>
  <c r="D145" i="3"/>
  <c r="D70" i="3"/>
  <c r="C124" i="3"/>
  <c r="E124" i="3" s="1"/>
  <c r="C34" i="3"/>
  <c r="E34" i="3" s="1"/>
  <c r="C132" i="3"/>
  <c r="E132" i="3" s="1"/>
  <c r="C110" i="3"/>
  <c r="E110" i="3" s="1"/>
  <c r="C139" i="3"/>
  <c r="E139" i="3" s="1"/>
  <c r="C83" i="3"/>
  <c r="E83" i="3" s="1"/>
  <c r="D74" i="3"/>
  <c r="D155" i="3"/>
  <c r="D33" i="3"/>
  <c r="C118" i="3"/>
  <c r="E118" i="3" s="1"/>
  <c r="C35" i="3"/>
  <c r="E35" i="3" s="1"/>
  <c r="C8" i="3"/>
  <c r="E8" i="3" s="1"/>
  <c r="C120" i="3"/>
  <c r="E120" i="3" s="1"/>
  <c r="D45" i="3"/>
  <c r="C44" i="3"/>
  <c r="E44" i="3" s="1"/>
  <c r="C26" i="3"/>
  <c r="E26" i="3" s="1"/>
  <c r="C93" i="3"/>
  <c r="E93" i="3" s="1"/>
  <c r="D144" i="3"/>
  <c r="C73" i="3"/>
  <c r="E73" i="3" s="1"/>
  <c r="D158" i="3"/>
  <c r="C87" i="3"/>
  <c r="E87" i="3" s="1"/>
  <c r="D64" i="3"/>
  <c r="D166" i="3"/>
  <c r="C90" i="3"/>
  <c r="E90" i="3" s="1"/>
  <c r="D106" i="3"/>
  <c r="C66" i="3"/>
  <c r="E66" i="3" s="1"/>
  <c r="C40" i="3"/>
  <c r="E40" i="3" s="1"/>
  <c r="D125" i="3"/>
  <c r="C63" i="3"/>
  <c r="E63" i="3" s="1"/>
  <c r="D16" i="3"/>
  <c r="C13" i="3"/>
  <c r="E13" i="3" s="1"/>
  <c r="D66" i="3" l="1"/>
  <c r="F66" i="3" s="1"/>
  <c r="D25" i="3"/>
  <c r="F25" i="3" s="1"/>
  <c r="D137" i="3"/>
  <c r="D115" i="3"/>
  <c r="D162" i="3"/>
  <c r="D134" i="3"/>
  <c r="D152" i="3"/>
  <c r="C31" i="3"/>
  <c r="E31" i="3" s="1"/>
  <c r="D84" i="3"/>
  <c r="C161" i="3"/>
  <c r="E161" i="3" s="1"/>
  <c r="C133" i="3"/>
  <c r="E133" i="3" s="1"/>
  <c r="D59" i="3"/>
  <c r="D94" i="3"/>
  <c r="D23" i="3"/>
  <c r="D48" i="3"/>
  <c r="D105" i="3"/>
  <c r="D37" i="3"/>
  <c r="D19" i="3"/>
  <c r="D98" i="3"/>
  <c r="C101" i="3"/>
  <c r="E101" i="3" s="1"/>
  <c r="C68" i="3"/>
  <c r="E68" i="3" s="1"/>
  <c r="C85" i="3"/>
  <c r="E85" i="3" s="1"/>
  <c r="D77" i="3"/>
  <c r="C71" i="3"/>
  <c r="E71" i="3" s="1"/>
  <c r="D169" i="3"/>
  <c r="C158" i="3"/>
  <c r="E158" i="3" s="1"/>
  <c r="F158" i="3" s="1"/>
  <c r="C111" i="3"/>
  <c r="E111" i="3" s="1"/>
  <c r="D44" i="3"/>
  <c r="F44" i="3" s="1"/>
  <c r="D133" i="3"/>
  <c r="C169" i="3"/>
  <c r="E169" i="3" s="1"/>
  <c r="C170" i="3"/>
  <c r="E170" i="3" s="1"/>
  <c r="C62" i="3"/>
  <c r="E62" i="3" s="1"/>
  <c r="C37" i="3"/>
  <c r="E37" i="3" s="1"/>
  <c r="C48" i="3"/>
  <c r="E48" i="3" s="1"/>
  <c r="D28" i="3"/>
  <c r="C41" i="3"/>
  <c r="E41" i="3" s="1"/>
  <c r="C50" i="3"/>
  <c r="E50" i="3" s="1"/>
  <c r="C23" i="3"/>
  <c r="E23" i="3" s="1"/>
  <c r="C79" i="3"/>
  <c r="E79" i="3" s="1"/>
  <c r="D69" i="3"/>
  <c r="C106" i="3"/>
  <c r="E106" i="3" s="1"/>
  <c r="F106" i="3" s="1"/>
  <c r="C103" i="3"/>
  <c r="E103" i="3" s="1"/>
  <c r="C147" i="3"/>
  <c r="E147" i="3" s="1"/>
  <c r="D38" i="3"/>
  <c r="D104" i="3"/>
  <c r="C84" i="3"/>
  <c r="E84" i="3" s="1"/>
  <c r="C65" i="3"/>
  <c r="E65" i="3" s="1"/>
  <c r="D165" i="3"/>
  <c r="D75" i="3"/>
  <c r="D116" i="3"/>
  <c r="D56" i="3"/>
  <c r="C128" i="3"/>
  <c r="E128" i="3" s="1"/>
  <c r="D103" i="3"/>
  <c r="C166" i="3"/>
  <c r="E166" i="3" s="1"/>
  <c r="F166" i="3" s="1"/>
  <c r="D108" i="3"/>
  <c r="D7" i="3"/>
  <c r="D97" i="3"/>
  <c r="C81" i="3"/>
  <c r="E81" i="3" s="1"/>
  <c r="C107" i="3"/>
  <c r="E107" i="3" s="1"/>
  <c r="D54" i="3"/>
  <c r="C72" i="3"/>
  <c r="E72" i="3" s="1"/>
  <c r="C24" i="3"/>
  <c r="E24" i="3" s="1"/>
  <c r="C113" i="3"/>
  <c r="E113" i="3" s="1"/>
  <c r="C152" i="3"/>
  <c r="E152" i="3" s="1"/>
  <c r="C143" i="3"/>
  <c r="E143" i="3" s="1"/>
  <c r="C27" i="3"/>
  <c r="E27" i="3" s="1"/>
  <c r="D171" i="3"/>
  <c r="D20" i="3"/>
  <c r="D43" i="3"/>
  <c r="C136" i="3"/>
  <c r="E136" i="3" s="1"/>
  <c r="D138" i="3"/>
  <c r="C6" i="3"/>
  <c r="E6" i="3" s="1"/>
  <c r="D118" i="3"/>
  <c r="F118" i="3" s="1"/>
  <c r="C89" i="3"/>
  <c r="E89" i="3" s="1"/>
  <c r="C153" i="3"/>
  <c r="E153" i="3" s="1"/>
  <c r="C20" i="3"/>
  <c r="E20" i="3" s="1"/>
  <c r="D50" i="3"/>
  <c r="F50" i="3" s="1"/>
  <c r="C96" i="3"/>
  <c r="E96" i="3" s="1"/>
  <c r="C18" i="3"/>
  <c r="E18" i="3" s="1"/>
  <c r="C77" i="3"/>
  <c r="E77" i="3" s="1"/>
  <c r="C104" i="3"/>
  <c r="E104" i="3" s="1"/>
  <c r="D91" i="3"/>
  <c r="C127" i="3"/>
  <c r="E127" i="3" s="1"/>
  <c r="D80" i="3"/>
  <c r="D143" i="3"/>
  <c r="C116" i="3"/>
  <c r="E116" i="3" s="1"/>
  <c r="D167" i="3"/>
  <c r="F167" i="3" s="1"/>
  <c r="C121" i="3"/>
  <c r="E121" i="3" s="1"/>
  <c r="D78" i="3"/>
  <c r="D123" i="3"/>
  <c r="D170" i="3"/>
  <c r="C16" i="3"/>
  <c r="E16" i="3" s="1"/>
  <c r="F16" i="3" s="1"/>
  <c r="C97" i="3"/>
  <c r="E97" i="3" s="1"/>
  <c r="C171" i="3"/>
  <c r="E171" i="3" s="1"/>
  <c r="C57" i="3"/>
  <c r="E57" i="3" s="1"/>
  <c r="C135" i="3"/>
  <c r="E135" i="3" s="1"/>
  <c r="D26" i="3"/>
  <c r="F26" i="3" s="1"/>
  <c r="C140" i="3"/>
  <c r="E140" i="3" s="1"/>
  <c r="D129" i="3"/>
  <c r="D86" i="3"/>
  <c r="D52" i="3"/>
  <c r="D72" i="3"/>
  <c r="D10" i="3"/>
  <c r="D57" i="3"/>
  <c r="C100" i="3"/>
  <c r="E100" i="3" s="1"/>
  <c r="C17" i="3"/>
  <c r="E17" i="3" s="1"/>
  <c r="C64" i="3"/>
  <c r="E64" i="3" s="1"/>
  <c r="F64" i="3" s="1"/>
  <c r="C69" i="3"/>
  <c r="E69" i="3" s="1"/>
  <c r="D100" i="3"/>
  <c r="C10" i="3"/>
  <c r="E10" i="3" s="1"/>
  <c r="D82" i="3"/>
  <c r="C15" i="3"/>
  <c r="E15" i="3" s="1"/>
  <c r="C122" i="3"/>
  <c r="E122" i="3" s="1"/>
  <c r="D13" i="3"/>
  <c r="F13" i="3" s="1"/>
  <c r="D49" i="3"/>
  <c r="C99" i="3"/>
  <c r="E99" i="3" s="1"/>
  <c r="D159" i="3"/>
  <c r="C28" i="3"/>
  <c r="E28" i="3" s="1"/>
  <c r="D11" i="3"/>
  <c r="C43" i="3"/>
  <c r="E43" i="3" s="1"/>
  <c r="D121" i="3"/>
  <c r="D119" i="3"/>
  <c r="D96" i="3"/>
  <c r="C49" i="3"/>
  <c r="E49" i="3" s="1"/>
  <c r="D136" i="3"/>
  <c r="D12" i="3"/>
  <c r="D149" i="3"/>
  <c r="D124" i="3"/>
  <c r="F124" i="3" s="1"/>
  <c r="D58" i="3"/>
  <c r="D5" i="3"/>
  <c r="C146" i="3"/>
  <c r="E146" i="3" s="1"/>
  <c r="D87" i="3"/>
  <c r="F87" i="3" s="1"/>
  <c r="D112" i="3"/>
  <c r="D29" i="3"/>
  <c r="D81" i="3"/>
  <c r="C19" i="3"/>
  <c r="E19" i="3" s="1"/>
  <c r="D92" i="3"/>
  <c r="C151" i="3"/>
  <c r="E151" i="3" s="1"/>
  <c r="D142" i="3"/>
  <c r="C30" i="3"/>
  <c r="E30" i="3" s="1"/>
  <c r="C165" i="3"/>
  <c r="E165" i="3" s="1"/>
  <c r="C75" i="3"/>
  <c r="E75" i="3" s="1"/>
  <c r="C123" i="3"/>
  <c r="E123" i="3" s="1"/>
  <c r="C51" i="3"/>
  <c r="E51" i="3" s="1"/>
  <c r="D132" i="3"/>
  <c r="F132" i="3" s="1"/>
  <c r="C149" i="3"/>
  <c r="E149" i="3" s="1"/>
  <c r="C42" i="3"/>
  <c r="E42" i="3" s="1"/>
  <c r="D6" i="3"/>
  <c r="D95" i="3"/>
  <c r="C141" i="3"/>
  <c r="E141" i="3" s="1"/>
  <c r="C94" i="3"/>
  <c r="E94" i="3" s="1"/>
  <c r="D22" i="3"/>
  <c r="C150" i="3"/>
  <c r="E150" i="3" s="1"/>
  <c r="C7" i="3"/>
  <c r="E7" i="3" s="1"/>
  <c r="C60" i="3"/>
  <c r="E60" i="3" s="1"/>
  <c r="C78" i="3"/>
  <c r="E78" i="3" s="1"/>
  <c r="D31" i="3"/>
  <c r="D102" i="3"/>
  <c r="C137" i="3"/>
  <c r="E137" i="3" s="1"/>
  <c r="F137" i="3" s="1"/>
  <c r="D53" i="3"/>
  <c r="D27" i="3"/>
  <c r="C55" i="3"/>
  <c r="E55" i="3" s="1"/>
  <c r="C33" i="3"/>
  <c r="E33" i="3" s="1"/>
  <c r="F33" i="3" s="1"/>
  <c r="D111" i="3"/>
  <c r="C80" i="3"/>
  <c r="E80" i="3" s="1"/>
  <c r="D61" i="3"/>
  <c r="F61" i="3" s="1"/>
  <c r="C98" i="3"/>
  <c r="E98" i="3" s="1"/>
  <c r="C131" i="3"/>
  <c r="E131" i="3" s="1"/>
  <c r="D151" i="3"/>
  <c r="D30" i="3"/>
  <c r="C52" i="3"/>
  <c r="E52" i="3" s="1"/>
  <c r="D126" i="3"/>
  <c r="D107" i="3"/>
  <c r="D55" i="3"/>
  <c r="D120" i="3"/>
  <c r="F120" i="3" s="1"/>
  <c r="C156" i="3"/>
  <c r="E156" i="3" s="1"/>
  <c r="C45" i="3"/>
  <c r="E45" i="3" s="1"/>
  <c r="F45" i="3" s="1"/>
  <c r="D85" i="3"/>
  <c r="D88" i="3"/>
  <c r="D139" i="3"/>
  <c r="F139" i="3" s="1"/>
  <c r="C157" i="3"/>
  <c r="E157" i="3" s="1"/>
  <c r="C82" i="3"/>
  <c r="E82" i="3" s="1"/>
  <c r="C138" i="3"/>
  <c r="E138" i="3" s="1"/>
  <c r="C125" i="3"/>
  <c r="E125" i="3" s="1"/>
  <c r="F125" i="3" s="1"/>
  <c r="D160" i="3"/>
  <c r="E4" i="3"/>
  <c r="D42" i="3"/>
  <c r="D51" i="3"/>
  <c r="C145" i="3"/>
  <c r="E145" i="3" s="1"/>
  <c r="F145" i="3" s="1"/>
  <c r="D34" i="3"/>
  <c r="F34" i="3" s="1"/>
  <c r="C91" i="3"/>
  <c r="E91" i="3" s="1"/>
  <c r="D46" i="3"/>
  <c r="F46" i="3" s="1"/>
  <c r="D147" i="3"/>
  <c r="C126" i="3"/>
  <c r="E126" i="3" s="1"/>
  <c r="C21" i="3"/>
  <c r="E21" i="3" s="1"/>
  <c r="C115" i="3"/>
  <c r="E115" i="3" s="1"/>
  <c r="F8" i="3"/>
  <c r="C53" i="3"/>
  <c r="E53" i="3" s="1"/>
  <c r="D17" i="3"/>
  <c r="D101" i="3"/>
  <c r="C88" i="3"/>
  <c r="E88" i="3" s="1"/>
  <c r="C144" i="3"/>
  <c r="E144" i="3" s="1"/>
  <c r="F144" i="3" s="1"/>
  <c r="C12" i="3"/>
  <c r="E12" i="3" s="1"/>
  <c r="C86" i="3"/>
  <c r="E86" i="3" s="1"/>
  <c r="D9" i="3"/>
  <c r="C105" i="3"/>
  <c r="E105" i="3" s="1"/>
  <c r="D154" i="3"/>
  <c r="C76" i="3"/>
  <c r="E76" i="3" s="1"/>
  <c r="C9" i="3"/>
  <c r="E9" i="3" s="1"/>
  <c r="C29" i="3"/>
  <c r="E29" i="3" s="1"/>
  <c r="D135" i="3"/>
  <c r="D90" i="3"/>
  <c r="F90" i="3" s="1"/>
  <c r="D148" i="3"/>
  <c r="C164" i="3"/>
  <c r="E164" i="3" s="1"/>
  <c r="D68" i="3"/>
  <c r="C160" i="3"/>
  <c r="E160" i="3" s="1"/>
  <c r="C129" i="3"/>
  <c r="E129" i="3" s="1"/>
  <c r="C102" i="3"/>
  <c r="E102" i="3" s="1"/>
  <c r="D146" i="3"/>
  <c r="D79" i="3"/>
  <c r="D21" i="3"/>
  <c r="D76" i="3"/>
  <c r="D89" i="3"/>
  <c r="D161" i="3"/>
  <c r="C74" i="3"/>
  <c r="E74" i="3" s="1"/>
  <c r="F74" i="3" s="1"/>
  <c r="D35" i="3"/>
  <c r="F35" i="3" s="1"/>
  <c r="C59" i="3"/>
  <c r="E59" i="3" s="1"/>
  <c r="C39" i="3"/>
  <c r="E39" i="3" s="1"/>
  <c r="F39" i="3" s="1"/>
  <c r="C56" i="3"/>
  <c r="E56" i="3" s="1"/>
  <c r="D168" i="3"/>
  <c r="D150" i="3"/>
  <c r="D24" i="3"/>
  <c r="C168" i="3"/>
  <c r="E168" i="3" s="1"/>
  <c r="C38" i="3"/>
  <c r="E38" i="3" s="1"/>
  <c r="C32" i="3"/>
  <c r="E32" i="3" s="1"/>
  <c r="D122" i="3"/>
  <c r="D63" i="3"/>
  <c r="F63" i="3" s="1"/>
  <c r="C119" i="3"/>
  <c r="E119" i="3" s="1"/>
  <c r="D60" i="3"/>
  <c r="C148" i="3"/>
  <c r="E148" i="3" s="1"/>
  <c r="C130" i="3"/>
  <c r="E130" i="3" s="1"/>
  <c r="D163" i="3"/>
  <c r="D109" i="3"/>
  <c r="C58" i="3"/>
  <c r="E58" i="3" s="1"/>
  <c r="D128" i="3"/>
  <c r="D18" i="3"/>
  <c r="C22" i="3"/>
  <c r="E22" i="3" s="1"/>
  <c r="D164" i="3"/>
  <c r="C117" i="3"/>
  <c r="E117" i="3" s="1"/>
  <c r="C162" i="3"/>
  <c r="E162" i="3" s="1"/>
  <c r="D40" i="3"/>
  <c r="F40" i="3" s="1"/>
  <c r="D117" i="3"/>
  <c r="D71" i="3"/>
  <c r="C134" i="3"/>
  <c r="E134" i="3" s="1"/>
  <c r="C154" i="3"/>
  <c r="E154" i="3" s="1"/>
  <c r="C95" i="3"/>
  <c r="E95" i="3" s="1"/>
  <c r="D65" i="3"/>
  <c r="C108" i="3"/>
  <c r="E108" i="3" s="1"/>
  <c r="D73" i="3"/>
  <c r="F73" i="3" s="1"/>
  <c r="C159" i="3"/>
  <c r="E159" i="3" s="1"/>
  <c r="D131" i="3"/>
  <c r="C109" i="3"/>
  <c r="E109" i="3" s="1"/>
  <c r="D157" i="3"/>
  <c r="D32" i="3"/>
  <c r="D83" i="3"/>
  <c r="F83" i="3" s="1"/>
  <c r="D130" i="3"/>
  <c r="D41" i="3"/>
  <c r="D127" i="3"/>
  <c r="C14" i="3"/>
  <c r="E14" i="3" s="1"/>
  <c r="C70" i="3"/>
  <c r="E70" i="3" s="1"/>
  <c r="F70" i="3" s="1"/>
  <c r="C11" i="3"/>
  <c r="E11" i="3" s="1"/>
  <c r="F11" i="3" s="1"/>
  <c r="D93" i="3"/>
  <c r="F93" i="3" s="1"/>
  <c r="D156" i="3"/>
  <c r="C54" i="3"/>
  <c r="E54" i="3" s="1"/>
  <c r="D15" i="3"/>
  <c r="C5" i="3"/>
  <c r="E5" i="3" s="1"/>
  <c r="D14" i="3"/>
  <c r="C114" i="3"/>
  <c r="E114" i="3" s="1"/>
  <c r="F114" i="3" s="1"/>
  <c r="C163" i="3"/>
  <c r="E163" i="3" s="1"/>
  <c r="D67" i="3"/>
  <c r="F67" i="3" s="1"/>
  <c r="D153" i="3"/>
  <c r="D62" i="3"/>
  <c r="D141" i="3"/>
  <c r="D113" i="3"/>
  <c r="D47" i="3"/>
  <c r="F47" i="3" s="1"/>
  <c r="D99" i="3"/>
  <c r="C92" i="3"/>
  <c r="E92" i="3" s="1"/>
  <c r="C155" i="3"/>
  <c r="E155" i="3" s="1"/>
  <c r="F155" i="3" s="1"/>
  <c r="C112" i="3"/>
  <c r="E112" i="3" s="1"/>
  <c r="C142" i="3"/>
  <c r="E142" i="3" s="1"/>
  <c r="F142" i="3" s="1"/>
  <c r="D140" i="3"/>
  <c r="D110" i="3"/>
  <c r="F110" i="3" s="1"/>
  <c r="D36" i="3"/>
  <c r="F36" i="3" s="1"/>
  <c r="F31" i="3" l="1"/>
  <c r="F71" i="3"/>
  <c r="F105" i="3"/>
  <c r="F79" i="3"/>
  <c r="F108" i="3"/>
  <c r="F160" i="3"/>
  <c r="F77" i="3"/>
  <c r="F19" i="3"/>
  <c r="F112" i="3"/>
  <c r="F85" i="3"/>
  <c r="F48" i="3"/>
  <c r="F104" i="3"/>
  <c r="F23" i="3"/>
  <c r="F62" i="3"/>
  <c r="F54" i="3"/>
  <c r="F162" i="3"/>
  <c r="F115" i="3"/>
  <c r="F49" i="3"/>
  <c r="F119" i="3"/>
  <c r="F59" i="3"/>
  <c r="F12" i="3"/>
  <c r="F89" i="3"/>
  <c r="F58" i="3"/>
  <c r="F56" i="3"/>
  <c r="F53" i="3"/>
  <c r="F123" i="3"/>
  <c r="F109" i="3"/>
  <c r="F111" i="3"/>
  <c r="F116" i="3"/>
  <c r="F5" i="3"/>
  <c r="F78" i="3"/>
  <c r="F100" i="3"/>
  <c r="F92" i="3"/>
  <c r="F69" i="3"/>
  <c r="F91" i="3"/>
  <c r="F170" i="3"/>
  <c r="F7" i="3"/>
  <c r="F149" i="3"/>
  <c r="F95" i="3"/>
  <c r="F134" i="3"/>
  <c r="F99" i="3"/>
  <c r="F103" i="3"/>
  <c r="F41" i="3"/>
  <c r="F151" i="3"/>
  <c r="F138" i="3"/>
  <c r="F98" i="3"/>
  <c r="F94" i="3"/>
  <c r="F32" i="3"/>
  <c r="F82" i="3"/>
  <c r="F86" i="3"/>
  <c r="F38" i="3"/>
  <c r="F141" i="3"/>
  <c r="F27" i="3"/>
  <c r="F117" i="3"/>
  <c r="F80" i="3"/>
  <c r="F37" i="3"/>
  <c r="F133" i="3"/>
  <c r="F22" i="3"/>
  <c r="F161" i="3"/>
  <c r="F60" i="3"/>
  <c r="F75" i="3"/>
  <c r="F20" i="3"/>
  <c r="F152" i="3"/>
  <c r="F68" i="3"/>
  <c r="F101" i="3"/>
  <c r="F55" i="3"/>
  <c r="F28" i="3"/>
  <c r="F171" i="3"/>
  <c r="F169" i="3"/>
  <c r="F84" i="3"/>
  <c r="F147" i="3"/>
  <c r="F30" i="3"/>
  <c r="F97" i="3"/>
  <c r="F24" i="3"/>
  <c r="F163" i="3"/>
  <c r="F148" i="3"/>
  <c r="F168" i="3"/>
  <c r="F102" i="3"/>
  <c r="F29" i="3"/>
  <c r="F150" i="3"/>
  <c r="F17" i="3"/>
  <c r="F140" i="3"/>
  <c r="F72" i="3"/>
  <c r="F42" i="3"/>
  <c r="F130" i="3"/>
  <c r="F126" i="3"/>
  <c r="F146" i="3"/>
  <c r="F154" i="3"/>
  <c r="F129" i="3"/>
  <c r="F9" i="3"/>
  <c r="F88" i="3"/>
  <c r="F156" i="3"/>
  <c r="F131" i="3"/>
  <c r="F51" i="3"/>
  <c r="F122" i="3"/>
  <c r="F127" i="3"/>
  <c r="F153" i="3"/>
  <c r="F128" i="3"/>
  <c r="F21" i="3"/>
  <c r="F43" i="3"/>
  <c r="F15" i="3"/>
  <c r="F135" i="3"/>
  <c r="F107" i="3"/>
  <c r="F57" i="3"/>
  <c r="F143" i="3"/>
  <c r="F81" i="3"/>
  <c r="F14" i="3"/>
  <c r="F159" i="3"/>
  <c r="F76" i="3"/>
  <c r="F164" i="3"/>
  <c r="F157" i="3"/>
  <c r="F165" i="3"/>
  <c r="F10" i="3"/>
  <c r="F121" i="3"/>
  <c r="F6" i="3"/>
  <c r="F52" i="3"/>
  <c r="F18" i="3"/>
  <c r="F96" i="3"/>
  <c r="F136" i="3"/>
  <c r="F113" i="3"/>
  <c r="F6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<sst xmlns="http://schemas.openxmlformats.org/spreadsheetml/2006/main" count="49" uniqueCount="16">
  <si>
    <t>Tenbosch</t>
  </si>
  <si>
    <t>Date (Months)</t>
  </si>
  <si>
    <t>STDEV</t>
  </si>
  <si>
    <t>Lower Sabie</t>
  </si>
  <si>
    <t>Date</t>
  </si>
  <si>
    <t>GW Level</t>
  </si>
  <si>
    <t>Average GW Level</t>
  </si>
  <si>
    <t>Standardized GW Level</t>
  </si>
  <si>
    <t>GW levels</t>
  </si>
  <si>
    <t>Sands</t>
  </si>
  <si>
    <t>GW level</t>
  </si>
  <si>
    <t>Average GW level</t>
  </si>
  <si>
    <t>Standardized GW level</t>
  </si>
  <si>
    <t>Upper Komati</t>
  </si>
  <si>
    <t>Lower Komati</t>
  </si>
  <si>
    <t>Ngwempisi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</si>
</sst>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4" borderId="4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</cellStyleXfs>
  <cellXfs count="80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164" fontId="1" fillId="3" borderId="1" xfId="0" applyNumberFormat="1" applyFont="1" applyFill="1" applyBorder="1"/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6" borderId="9" xfId="0" applyFill="1" applyBorder="1"/>
    <xf numFmtId="166" fontId="0" fillId="5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11" xfId="0" applyFill="1" applyBorder="1"/>
    <xf numFmtId="0" fontId="0" fillId="3" borderId="11" xfId="0" applyFill="1" applyBorder="1"/>
    <xf numFmtId="0" fontId="6" fillId="0" borderId="0" xfId="1" applyFont="1" applyFill="1" applyBorder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6" fontId="0" fillId="2" borderId="1" xfId="0" applyNumberFormat="1" applyFill="1" applyBorder="1"/>
    <xf numFmtId="0" fontId="0" fillId="0" borderId="9" xfId="0" applyBorder="1"/>
    <xf numFmtId="0" fontId="0" fillId="2" borderId="12" xfId="0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5" borderId="2" xfId="0" applyNumberFormat="1" applyFon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" fontId="1" fillId="7" borderId="12" xfId="0" applyNumberFormat="1" applyFont="1" applyFill="1" applyBorder="1" applyAlignment="1">
      <alignment horizontal="center"/>
    </xf>
    <xf numFmtId="4" fontId="11" fillId="7" borderId="12" xfId="0" applyNumberFormat="1" applyFont="1" applyFill="1" applyBorder="1" applyAlignment="1">
      <alignment horizontal="center"/>
    </xf>
    <xf numFmtId="4" fontId="11" fillId="8" borderId="12" xfId="0" applyNumberFormat="1" applyFont="1" applyFill="1" applyBorder="1" applyAlignment="1">
      <alignment horizontal="center"/>
    </xf>
    <xf numFmtId="165" fontId="0" fillId="6" borderId="1" xfId="0" applyNumberFormat="1" applyFill="1" applyBorder="1"/>
    <xf numFmtId="164" fontId="1" fillId="6" borderId="2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right"/>
    </xf>
    <xf numFmtId="165" fontId="1" fillId="6" borderId="1" xfId="0" applyNumberFormat="1" applyFont="1" applyFill="1" applyBorder="1" applyAlignment="1">
      <alignment horizontal="center"/>
    </xf>
    <xf numFmtId="166" fontId="0" fillId="6" borderId="1" xfId="0" applyNumberFormat="1" applyFill="1" applyBorder="1"/>
    <xf numFmtId="2" fontId="0" fillId="5" borderId="1" xfId="0" applyNumberFormat="1" applyFill="1" applyBorder="1"/>
    <xf numFmtId="2" fontId="0" fillId="0" borderId="0" xfId="0" applyNumberFormat="1"/>
    <xf numFmtId="2" fontId="1" fillId="3" borderId="1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" fillId="6" borderId="1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6" borderId="1" xfId="0" applyNumberFormat="1" applyFill="1" applyBorder="1"/>
    <xf numFmtId="164" fontId="1" fillId="5" borderId="1" xfId="0" applyNumberFormat="1" applyFont="1" applyFill="1" applyBorder="1" applyAlignment="1">
      <alignment horizontal="right"/>
    </xf>
    <xf numFmtId="0" fontId="0" fillId="0" borderId="13" xfId="0" applyBorder="1"/>
    <xf numFmtId="0" fontId="13" fillId="0" borderId="14" xfId="0" applyFont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9" fillId="3" borderId="3" xfId="0" applyNumberFormat="1" applyFont="1" applyFill="1" applyBorder="1" applyAlignment="1">
      <alignment horizontal="center"/>
    </xf>
    <xf numFmtId="164" fontId="9" fillId="3" borderId="0" xfId="0" applyNumberFormat="1" applyFont="1" applyFill="1" applyAlignment="1">
      <alignment horizont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'Crocodile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'Crocodile workbook'!$A$4:$A$171</c:f>
              <c:numCache>
                <c:formatCode>yyyy/mm</c:formatCode>
                <c:ptCount val="168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44022</c:v>
                </c:pt>
                <c:pt idx="112">
                  <c:v>44053</c:v>
                </c:pt>
                <c:pt idx="113">
                  <c:v>44084</c:v>
                </c:pt>
                <c:pt idx="114">
                  <c:v>44114</c:v>
                </c:pt>
                <c:pt idx="115">
                  <c:v>44145</c:v>
                </c:pt>
                <c:pt idx="116">
                  <c:v>44175</c:v>
                </c:pt>
                <c:pt idx="117">
                  <c:v>44206</c:v>
                </c:pt>
                <c:pt idx="118">
                  <c:v>44237</c:v>
                </c:pt>
                <c:pt idx="119">
                  <c:v>44265</c:v>
                </c:pt>
                <c:pt idx="120">
                  <c:v>44296</c:v>
                </c:pt>
                <c:pt idx="121">
                  <c:v>44326</c:v>
                </c:pt>
                <c:pt idx="122">
                  <c:v>44357</c:v>
                </c:pt>
                <c:pt idx="123">
                  <c:v>44387</c:v>
                </c:pt>
                <c:pt idx="124">
                  <c:v>44418</c:v>
                </c:pt>
                <c:pt idx="125">
                  <c:v>44449</c:v>
                </c:pt>
                <c:pt idx="126">
                  <c:v>44479</c:v>
                </c:pt>
                <c:pt idx="127">
                  <c:v>44510</c:v>
                </c:pt>
                <c:pt idx="128">
                  <c:v>44540</c:v>
                </c:pt>
                <c:pt idx="129">
                  <c:v>44571</c:v>
                </c:pt>
                <c:pt idx="130">
                  <c:v>44602</c:v>
                </c:pt>
                <c:pt idx="131">
                  <c:v>44630</c:v>
                </c:pt>
                <c:pt idx="132">
                  <c:v>44661</c:v>
                </c:pt>
                <c:pt idx="133">
                  <c:v>44691</c:v>
                </c:pt>
                <c:pt idx="134">
                  <c:v>44722</c:v>
                </c:pt>
                <c:pt idx="135">
                  <c:v>44752</c:v>
                </c:pt>
                <c:pt idx="136">
                  <c:v>44783</c:v>
                </c:pt>
                <c:pt idx="137">
                  <c:v>44814</c:v>
                </c:pt>
                <c:pt idx="138">
                  <c:v>44844</c:v>
                </c:pt>
                <c:pt idx="139">
                  <c:v>44875</c:v>
                </c:pt>
                <c:pt idx="140">
                  <c:v>44905</c:v>
                </c:pt>
                <c:pt idx="141">
                  <c:v>44936</c:v>
                </c:pt>
                <c:pt idx="142">
                  <c:v>44967</c:v>
                </c:pt>
                <c:pt idx="143">
                  <c:v>44995</c:v>
                </c:pt>
                <c:pt idx="144">
                  <c:v>45026</c:v>
                </c:pt>
                <c:pt idx="145">
                  <c:v>45056</c:v>
                </c:pt>
                <c:pt idx="146">
                  <c:v>45087</c:v>
                </c:pt>
                <c:pt idx="147">
                  <c:v>45117</c:v>
                </c:pt>
                <c:pt idx="148">
                  <c:v>45148</c:v>
                </c:pt>
                <c:pt idx="149">
                  <c:v>45179</c:v>
                </c:pt>
                <c:pt idx="150">
                  <c:v>45209</c:v>
                </c:pt>
                <c:pt idx="151">
                  <c:v>45240</c:v>
                </c:pt>
                <c:pt idx="152">
                  <c:v>45270</c:v>
                </c:pt>
                <c:pt idx="153">
                  <c:v>45301</c:v>
                </c:pt>
                <c:pt idx="154">
                  <c:v>45332</c:v>
                </c:pt>
                <c:pt idx="155">
                  <c:v>45361</c:v>
                </c:pt>
                <c:pt idx="156">
                  <c:v>45392</c:v>
                </c:pt>
                <c:pt idx="157">
                  <c:v>45422</c:v>
                </c:pt>
                <c:pt idx="158">
                  <c:v>45453</c:v>
                </c:pt>
                <c:pt idx="159">
                  <c:v>45483</c:v>
                </c:pt>
                <c:pt idx="160">
                  <c:v>45514</c:v>
                </c:pt>
                <c:pt idx="161">
                  <c:v>45545</c:v>
                </c:pt>
                <c:pt idx="162">
                  <c:v>45575</c:v>
                </c:pt>
                <c:pt idx="163">
                  <c:v>45606</c:v>
                </c:pt>
                <c:pt idx="164">
                  <c:v>45636</c:v>
                </c:pt>
                <c:pt idx="165">
                  <c:v>45667</c:v>
                </c:pt>
                <c:pt idx="166">
                  <c:v>45698</c:v>
                </c:pt>
                <c:pt idx="167">
                  <c:v>45735</c:v>
                </c:pt>
              </c:numCache>
            </c:numRef>
          </c:cat>
          <c:val>
            <c:numRef>
              <c:f>'Crocodile workbook'!$F$4:$F$171</c:f>
              <c:numCache>
                <c:formatCode>0.00</c:formatCode>
                <c:ptCount val="168"/>
                <c:pt idx="0">
                  <c:v>-1.4665380791275375</c:v>
                </c:pt>
                <c:pt idx="1">
                  <c:v>-1.475096572377411</c:v>
                </c:pt>
                <c:pt idx="2">
                  <c:v>-1.4894189488364082</c:v>
                </c:pt>
                <c:pt idx="3">
                  <c:v>-1.4905833696867152</c:v>
                </c:pt>
                <c:pt idx="4">
                  <c:v>-1.5015289256797533</c:v>
                </c:pt>
                <c:pt idx="5">
                  <c:v>-1.5057790617834426</c:v>
                </c:pt>
                <c:pt idx="6">
                  <c:v>-1.5160550757875524</c:v>
                </c:pt>
                <c:pt idx="7">
                  <c:v>0.65533945958384832</c:v>
                </c:pt>
                <c:pt idx="8">
                  <c:v>-0.82325378036604357</c:v>
                </c:pt>
                <c:pt idx="9">
                  <c:v>-0.8268052639595338</c:v>
                </c:pt>
                <c:pt idx="10">
                  <c:v>0.6405319077705659</c:v>
                </c:pt>
                <c:pt idx="11">
                  <c:v>3.1229684813819265</c:v>
                </c:pt>
                <c:pt idx="12">
                  <c:v>3.2020908781614406</c:v>
                </c:pt>
                <c:pt idx="13">
                  <c:v>3.203779288394434</c:v>
                </c:pt>
                <c:pt idx="14">
                  <c:v>3.173504346286006</c:v>
                </c:pt>
                <c:pt idx="15">
                  <c:v>3.1617436956977234</c:v>
                </c:pt>
                <c:pt idx="16">
                  <c:v>3.1373490788834277</c:v>
                </c:pt>
                <c:pt idx="17">
                  <c:v>0.64441719200781744</c:v>
                </c:pt>
                <c:pt idx="18">
                  <c:v>-1.44779090343732</c:v>
                </c:pt>
                <c:pt idx="19">
                  <c:v>-1.4451127354815692</c:v>
                </c:pt>
                <c:pt idx="20">
                  <c:v>-1.4420270202282148</c:v>
                </c:pt>
                <c:pt idx="21">
                  <c:v>0.65283983615848662</c:v>
                </c:pt>
                <c:pt idx="22">
                  <c:v>0.65571983706163339</c:v>
                </c:pt>
                <c:pt idx="23">
                  <c:v>0.66267531094090126</c:v>
                </c:pt>
                <c:pt idx="24">
                  <c:v>0.71478702539571248</c:v>
                </c:pt>
                <c:pt idx="25">
                  <c:v>0.7198406118861288</c:v>
                </c:pt>
                <c:pt idx="26">
                  <c:v>0.69245343348651689</c:v>
                </c:pt>
                <c:pt idx="27">
                  <c:v>0.70554928664982652</c:v>
                </c:pt>
                <c:pt idx="28">
                  <c:v>0.69218173528809901</c:v>
                </c:pt>
                <c:pt idx="29">
                  <c:v>0.68701946951832471</c:v>
                </c:pt>
                <c:pt idx="30">
                  <c:v>0.66843531274716717</c:v>
                </c:pt>
                <c:pt idx="31">
                  <c:v>0.67180437040742924</c:v>
                </c:pt>
                <c:pt idx="32">
                  <c:v>0.67272814428203176</c:v>
                </c:pt>
                <c:pt idx="33">
                  <c:v>0.67435833347247465</c:v>
                </c:pt>
                <c:pt idx="34">
                  <c:v>0.67081538896523429</c:v>
                </c:pt>
                <c:pt idx="35">
                  <c:v>-0.75918152307695919</c:v>
                </c:pt>
                <c:pt idx="36">
                  <c:v>-1.0850505201443881</c:v>
                </c:pt>
                <c:pt idx="37">
                  <c:v>0.31229671050021546</c:v>
                </c:pt>
                <c:pt idx="38">
                  <c:v>-1.6970778818803383</c:v>
                </c:pt>
                <c:pt idx="39">
                  <c:v>-1.4123342885449499</c:v>
                </c:pt>
                <c:pt idx="40">
                  <c:v>-1.4250264758134856</c:v>
                </c:pt>
                <c:pt idx="41">
                  <c:v>-1.4626372692789571</c:v>
                </c:pt>
                <c:pt idx="42">
                  <c:v>-1.4604830907058464</c:v>
                </c:pt>
                <c:pt idx="43">
                  <c:v>-1.4751547934199245</c:v>
                </c:pt>
                <c:pt idx="44">
                  <c:v>-1.4838821276931122</c:v>
                </c:pt>
                <c:pt idx="45">
                  <c:v>-1.5034967969168245</c:v>
                </c:pt>
                <c:pt idx="46">
                  <c:v>-1.50662326689993</c:v>
                </c:pt>
                <c:pt idx="47">
                  <c:v>-1.5042420262610194</c:v>
                </c:pt>
                <c:pt idx="48">
                  <c:v>-1.5085212728859609</c:v>
                </c:pt>
                <c:pt idx="49">
                  <c:v>-1.5097322705703009</c:v>
                </c:pt>
                <c:pt idx="50">
                  <c:v>-1.3016428899520132</c:v>
                </c:pt>
                <c:pt idx="51">
                  <c:v>-1.310168779418095</c:v>
                </c:pt>
                <c:pt idx="52">
                  <c:v>-1.3172601023965487</c:v>
                </c:pt>
                <c:pt idx="53">
                  <c:v>0.71103589214394336</c:v>
                </c:pt>
                <c:pt idx="54">
                  <c:v>0.31819715630169676</c:v>
                </c:pt>
                <c:pt idx="55">
                  <c:v>0.30691528816892999</c:v>
                </c:pt>
                <c:pt idx="56">
                  <c:v>0.29563821471028423</c:v>
                </c:pt>
                <c:pt idx="57">
                  <c:v>0.28999967798093362</c:v>
                </c:pt>
                <c:pt idx="58">
                  <c:v>0.28177681191732967</c:v>
                </c:pt>
                <c:pt idx="59">
                  <c:v>0.27677596684191152</c:v>
                </c:pt>
                <c:pt idx="60">
                  <c:v>0.27626293671432067</c:v>
                </c:pt>
                <c:pt idx="61">
                  <c:v>0.27056206922182235</c:v>
                </c:pt>
                <c:pt idx="62">
                  <c:v>0.27879931930770607</c:v>
                </c:pt>
                <c:pt idx="63">
                  <c:v>0.27197170340415072</c:v>
                </c:pt>
                <c:pt idx="64">
                  <c:v>-1.5618299149398585</c:v>
                </c:pt>
                <c:pt idx="65">
                  <c:v>-1.5672451996568968</c:v>
                </c:pt>
                <c:pt idx="66">
                  <c:v>-1.5753757682442726</c:v>
                </c:pt>
                <c:pt idx="67">
                  <c:v>-1.5817335060870579</c:v>
                </c:pt>
                <c:pt idx="68">
                  <c:v>0.24678528041163622</c:v>
                </c:pt>
                <c:pt idx="69">
                  <c:v>-1.0497212637825388</c:v>
                </c:pt>
                <c:pt idx="70">
                  <c:v>-1.0458903191849709</c:v>
                </c:pt>
                <c:pt idx="71">
                  <c:v>-1.0414735253470662</c:v>
                </c:pt>
                <c:pt idx="72">
                  <c:v>0.94672219246750566</c:v>
                </c:pt>
                <c:pt idx="73">
                  <c:v>0.96667842514064839</c:v>
                </c:pt>
                <c:pt idx="74">
                  <c:v>0.31417442474053692</c:v>
                </c:pt>
                <c:pt idx="75">
                  <c:v>0.31595804350187179</c:v>
                </c:pt>
                <c:pt idx="76">
                  <c:v>0.32166370566845409</c:v>
                </c:pt>
                <c:pt idx="77">
                  <c:v>0.31872457045153962</c:v>
                </c:pt>
                <c:pt idx="78">
                  <c:v>0.31112501201957915</c:v>
                </c:pt>
                <c:pt idx="79">
                  <c:v>0.30501180255538379</c:v>
                </c:pt>
                <c:pt idx="80">
                  <c:v>0.30402889436702296</c:v>
                </c:pt>
                <c:pt idx="81">
                  <c:v>0.29331279777682673</c:v>
                </c:pt>
                <c:pt idx="82">
                  <c:v>0.29422378585385334</c:v>
                </c:pt>
                <c:pt idx="83">
                  <c:v>0.29091546073203495</c:v>
                </c:pt>
                <c:pt idx="84">
                  <c:v>0.30520358951894788</c:v>
                </c:pt>
                <c:pt idx="85">
                  <c:v>-0.99180369845045235</c:v>
                </c:pt>
                <c:pt idx="86">
                  <c:v>-0.99323011399209338</c:v>
                </c:pt>
                <c:pt idx="87">
                  <c:v>0.30486796233269686</c:v>
                </c:pt>
                <c:pt idx="88">
                  <c:v>0.29983355453864435</c:v>
                </c:pt>
                <c:pt idx="89">
                  <c:v>-1.6262529540100896</c:v>
                </c:pt>
                <c:pt idx="90">
                  <c:v>-1.6402114489533381</c:v>
                </c:pt>
                <c:pt idx="91">
                  <c:v>-1.6432680536854496</c:v>
                </c:pt>
                <c:pt idx="92">
                  <c:v>-1.6461463564748469</c:v>
                </c:pt>
                <c:pt idx="93">
                  <c:v>0.26732566421135673</c:v>
                </c:pt>
                <c:pt idx="94">
                  <c:v>0.26459269998030466</c:v>
                </c:pt>
                <c:pt idx="95">
                  <c:v>0.26262688360357372</c:v>
                </c:pt>
                <c:pt idx="96">
                  <c:v>0.27209636493047384</c:v>
                </c:pt>
                <c:pt idx="97">
                  <c:v>0.2815658462573925</c:v>
                </c:pt>
                <c:pt idx="98">
                  <c:v>0.28688793449680039</c:v>
                </c:pt>
                <c:pt idx="99">
                  <c:v>0.29352855811084788</c:v>
                </c:pt>
                <c:pt idx="100">
                  <c:v>0.2912031411774274</c:v>
                </c:pt>
                <c:pt idx="101">
                  <c:v>0.28645641382873949</c:v>
                </c:pt>
                <c:pt idx="102">
                  <c:v>0.28434675722934016</c:v>
                </c:pt>
                <c:pt idx="103">
                  <c:v>0.27274364593259293</c:v>
                </c:pt>
                <c:pt idx="104">
                  <c:v>0.26862022621554849</c:v>
                </c:pt>
                <c:pt idx="105">
                  <c:v>0.26948326755167024</c:v>
                </c:pt>
                <c:pt idx="106">
                  <c:v>0.26281867056715635</c:v>
                </c:pt>
                <c:pt idx="107">
                  <c:v>0.26866817295643491</c:v>
                </c:pt>
                <c:pt idx="108">
                  <c:v>0.25284574846085189</c:v>
                </c:pt>
                <c:pt idx="109">
                  <c:v>0.26032544004058256</c:v>
                </c:pt>
                <c:pt idx="110">
                  <c:v>1.0212354233811562</c:v>
                </c:pt>
                <c:pt idx="111" formatCode="0.000">
                  <c:v>0.2621474161946265</c:v>
                </c:pt>
                <c:pt idx="112" formatCode="0.000">
                  <c:v>0.22115295272880886</c:v>
                </c:pt>
                <c:pt idx="113" formatCode="0.000">
                  <c:v>0.21266637959026957</c:v>
                </c:pt>
                <c:pt idx="114" formatCode="0.000">
                  <c:v>-1.0863291997906419</c:v>
                </c:pt>
                <c:pt idx="115" formatCode="0.000">
                  <c:v>-1.0838584442988577</c:v>
                </c:pt>
                <c:pt idx="116" formatCode="0.000">
                  <c:v>0.21453630248519992</c:v>
                </c:pt>
                <c:pt idx="117" formatCode="0.000">
                  <c:v>0.22827304375182211</c:v>
                </c:pt>
                <c:pt idx="118" formatCode="0.000">
                  <c:v>0.33660870480563554</c:v>
                </c:pt>
                <c:pt idx="119" formatCode="0.000">
                  <c:v>0.35365377119405761</c:v>
                </c:pt>
                <c:pt idx="120" formatCode="0.000">
                  <c:v>0.34428018334895805</c:v>
                </c:pt>
                <c:pt idx="121" formatCode="0.000">
                  <c:v>0.31551213881154039</c:v>
                </c:pt>
                <c:pt idx="122" formatCode="0.000">
                  <c:v>0.31987529223304451</c:v>
                </c:pt>
                <c:pt idx="123" formatCode="0.000">
                  <c:v>-0.99491124659474817</c:v>
                </c:pt>
                <c:pt idx="124" formatCode="0.000">
                  <c:v>-0.99832445521226076</c:v>
                </c:pt>
                <c:pt idx="125" formatCode="0.000">
                  <c:v>0.29307306407235773</c:v>
                </c:pt>
                <c:pt idx="126" formatCode="0.000">
                  <c:v>0.28626462686516618</c:v>
                </c:pt>
                <c:pt idx="127" formatCode="0.000">
                  <c:v>0.2772985863176704</c:v>
                </c:pt>
                <c:pt idx="128" formatCode="0.000">
                  <c:v>0.2813740592938006</c:v>
                </c:pt>
                <c:pt idx="129" formatCode="0.000">
                  <c:v>0.28544953226993086</c:v>
                </c:pt>
                <c:pt idx="130" formatCode="0.000">
                  <c:v>0.30093632957924432</c:v>
                </c:pt>
                <c:pt idx="131" formatCode="0.000">
                  <c:v>0.29767595119834012</c:v>
                </c:pt>
                <c:pt idx="132" formatCode="0.000">
                  <c:v>0.29686085660311406</c:v>
                </c:pt>
                <c:pt idx="133" formatCode="0.000">
                  <c:v>0.30256651876969637</c:v>
                </c:pt>
                <c:pt idx="134" formatCode="0.000">
                  <c:v>0.31723822148378378</c:v>
                </c:pt>
                <c:pt idx="135" formatCode="0.000">
                  <c:v>0.3099023701267401</c:v>
                </c:pt>
                <c:pt idx="136" formatCode="0.000">
                  <c:v>0.29767595119834012</c:v>
                </c:pt>
                <c:pt idx="137" formatCode="0.000">
                  <c:v>0.30419670796014847</c:v>
                </c:pt>
                <c:pt idx="138" formatCode="0.000">
                  <c:v>0.29523066741265269</c:v>
                </c:pt>
                <c:pt idx="139" formatCode="0.000">
                  <c:v>0.30093632957924432</c:v>
                </c:pt>
                <c:pt idx="140" formatCode="0.000">
                  <c:v>0.32375897824559213</c:v>
                </c:pt>
                <c:pt idx="141" formatCode="0.000">
                  <c:v>0.33150237690024886</c:v>
                </c:pt>
                <c:pt idx="142" formatCode="0.000">
                  <c:v>0.33924577555490559</c:v>
                </c:pt>
                <c:pt idx="143" formatCode="0.000">
                  <c:v>0.39793258641123658</c:v>
                </c:pt>
                <c:pt idx="144" formatCode="0.000">
                  <c:v>0.39548730262554915</c:v>
                </c:pt>
                <c:pt idx="145" formatCode="0.000">
                  <c:v>0.38081559991147101</c:v>
                </c:pt>
                <c:pt idx="146" formatCode="0.000">
                  <c:v>0.37429484314965339</c:v>
                </c:pt>
                <c:pt idx="147" formatCode="0.000">
                  <c:v>0.34902691069762742</c:v>
                </c:pt>
                <c:pt idx="148" formatCode="0.000">
                  <c:v>0.33190992419786186</c:v>
                </c:pt>
                <c:pt idx="149" formatCode="0.000">
                  <c:v>0.31968350526946193</c:v>
                </c:pt>
                <c:pt idx="150" formatCode="0.000">
                  <c:v>0.3066419917458359</c:v>
                </c:pt>
                <c:pt idx="151" formatCode="0.000">
                  <c:v>0.29441557281742664</c:v>
                </c:pt>
                <c:pt idx="152" formatCode="0.000">
                  <c:v>0.29849104579356617</c:v>
                </c:pt>
                <c:pt idx="153" formatCode="0.000">
                  <c:v>0.31316274850764425</c:v>
                </c:pt>
                <c:pt idx="154" formatCode="0.000">
                  <c:v>0.32864954581695771</c:v>
                </c:pt>
                <c:pt idx="155" formatCode="0.000">
                  <c:v>0.31805331607900983</c:v>
                </c:pt>
                <c:pt idx="156" formatCode="0.000">
                  <c:v>0.31642312688855773</c:v>
                </c:pt>
                <c:pt idx="157" formatCode="0.000">
                  <c:v>0.30745708634106195</c:v>
                </c:pt>
                <c:pt idx="158" formatCode="0.000">
                  <c:v>0.30338161336492242</c:v>
                </c:pt>
                <c:pt idx="159" formatCode="0.000">
                  <c:v>0.28544953226993086</c:v>
                </c:pt>
                <c:pt idx="160" formatCode="0.000">
                  <c:v>0.27864109506273932</c:v>
                </c:pt>
                <c:pt idx="161" formatCode="0.000">
                  <c:v>0.26368171190328732</c:v>
                </c:pt>
                <c:pt idx="162" formatCode="0.000">
                  <c:v>0.27945618965797464</c:v>
                </c:pt>
                <c:pt idx="163" formatCode="0.000">
                  <c:v>0.28218915388902666</c:v>
                </c:pt>
                <c:pt idx="164" formatCode="0.000">
                  <c:v>0.27892877550812251</c:v>
                </c:pt>
                <c:pt idx="165" formatCode="0.000">
                  <c:v>0.27701090683122714</c:v>
                </c:pt>
                <c:pt idx="166" formatCode="0.000">
                  <c:v>0.28707972146039223</c:v>
                </c:pt>
                <c:pt idx="167" formatCode="0.000">
                  <c:v>0.28218915388902666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F9-4B0F-9D2B-DB8A9F46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43472"/>
        <c:axId val="2106742032"/>
      </c:areaChart>
      <c:scatterChart>
        <c:scatterStyle val="smoothMarker"/>
        <c:varyColors val="0"/>
        <c:ser>
          <c:idx val="5"/>
          <c:order val="1"/>
          <c:tx>
            <c:strRef>
              <c:f>'Crocodile workbook'!$G$3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'Crocodile workbook'!$A$4:$A$171</c:f>
              <c:numCache>
                <c:formatCode>yyyy/mm</c:formatCode>
                <c:ptCount val="168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44022</c:v>
                </c:pt>
                <c:pt idx="112">
                  <c:v>44053</c:v>
                </c:pt>
                <c:pt idx="113">
                  <c:v>44084</c:v>
                </c:pt>
                <c:pt idx="114">
                  <c:v>44114</c:v>
                </c:pt>
                <c:pt idx="115">
                  <c:v>44145</c:v>
                </c:pt>
                <c:pt idx="116">
                  <c:v>44175</c:v>
                </c:pt>
                <c:pt idx="117">
                  <c:v>44206</c:v>
                </c:pt>
                <c:pt idx="118">
                  <c:v>44237</c:v>
                </c:pt>
                <c:pt idx="119">
                  <c:v>44265</c:v>
                </c:pt>
                <c:pt idx="120">
                  <c:v>44296</c:v>
                </c:pt>
                <c:pt idx="121">
                  <c:v>44326</c:v>
                </c:pt>
                <c:pt idx="122">
                  <c:v>44357</c:v>
                </c:pt>
                <c:pt idx="123">
                  <c:v>44387</c:v>
                </c:pt>
                <c:pt idx="124">
                  <c:v>44418</c:v>
                </c:pt>
                <c:pt idx="125">
                  <c:v>44449</c:v>
                </c:pt>
                <c:pt idx="126">
                  <c:v>44479</c:v>
                </c:pt>
                <c:pt idx="127">
                  <c:v>44510</c:v>
                </c:pt>
                <c:pt idx="128">
                  <c:v>44540</c:v>
                </c:pt>
                <c:pt idx="129">
                  <c:v>44571</c:v>
                </c:pt>
                <c:pt idx="130">
                  <c:v>44602</c:v>
                </c:pt>
                <c:pt idx="131">
                  <c:v>44630</c:v>
                </c:pt>
                <c:pt idx="132">
                  <c:v>44661</c:v>
                </c:pt>
                <c:pt idx="133">
                  <c:v>44691</c:v>
                </c:pt>
                <c:pt idx="134">
                  <c:v>44722</c:v>
                </c:pt>
                <c:pt idx="135">
                  <c:v>44752</c:v>
                </c:pt>
                <c:pt idx="136">
                  <c:v>44783</c:v>
                </c:pt>
                <c:pt idx="137">
                  <c:v>44814</c:v>
                </c:pt>
                <c:pt idx="138">
                  <c:v>44844</c:v>
                </c:pt>
                <c:pt idx="139">
                  <c:v>44875</c:v>
                </c:pt>
                <c:pt idx="140">
                  <c:v>44905</c:v>
                </c:pt>
                <c:pt idx="141">
                  <c:v>44936</c:v>
                </c:pt>
                <c:pt idx="142">
                  <c:v>44967</c:v>
                </c:pt>
                <c:pt idx="143">
                  <c:v>44995</c:v>
                </c:pt>
                <c:pt idx="144">
                  <c:v>45026</c:v>
                </c:pt>
                <c:pt idx="145">
                  <c:v>45056</c:v>
                </c:pt>
                <c:pt idx="146">
                  <c:v>45087</c:v>
                </c:pt>
                <c:pt idx="147">
                  <c:v>45117</c:v>
                </c:pt>
                <c:pt idx="148">
                  <c:v>45148</c:v>
                </c:pt>
                <c:pt idx="149">
                  <c:v>45179</c:v>
                </c:pt>
                <c:pt idx="150">
                  <c:v>45209</c:v>
                </c:pt>
                <c:pt idx="151">
                  <c:v>45240</c:v>
                </c:pt>
                <c:pt idx="152">
                  <c:v>45270</c:v>
                </c:pt>
                <c:pt idx="153">
                  <c:v>45301</c:v>
                </c:pt>
                <c:pt idx="154">
                  <c:v>45332</c:v>
                </c:pt>
                <c:pt idx="155">
                  <c:v>45361</c:v>
                </c:pt>
                <c:pt idx="156">
                  <c:v>45392</c:v>
                </c:pt>
                <c:pt idx="157">
                  <c:v>45422</c:v>
                </c:pt>
                <c:pt idx="158">
                  <c:v>45453</c:v>
                </c:pt>
                <c:pt idx="159">
                  <c:v>45483</c:v>
                </c:pt>
                <c:pt idx="160">
                  <c:v>45514</c:v>
                </c:pt>
                <c:pt idx="161">
                  <c:v>45545</c:v>
                </c:pt>
                <c:pt idx="162">
                  <c:v>45575</c:v>
                </c:pt>
                <c:pt idx="163">
                  <c:v>45606</c:v>
                </c:pt>
                <c:pt idx="164">
                  <c:v>45636</c:v>
                </c:pt>
                <c:pt idx="165">
                  <c:v>45667</c:v>
                </c:pt>
                <c:pt idx="166">
                  <c:v>45698</c:v>
                </c:pt>
                <c:pt idx="167">
                  <c:v>45735</c:v>
                </c:pt>
              </c:numCache>
            </c:numRef>
          </c:xVal>
          <c:yVal>
            <c:numRef>
              <c:f>'Crocodile workbook'!$G$4:$G$171</c:f>
              <c:numCache>
                <c:formatCode>0.00</c:formatCode>
                <c:ptCount val="16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F9-4B0F-9D2B-DB8A9F46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43472"/>
        <c:axId val="2106742032"/>
      </c:scatterChart>
      <c:dateAx>
        <c:axId val="2106743472"/>
        <c:scaling>
          <c:orientation val="minMax"/>
        </c:scaling>
        <c:delete val="0"/>
        <c:axPos val="b"/>
        <c:numFmt formatCode="yyyy/mm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42032"/>
        <c:crosses val="autoZero"/>
        <c:auto val="1"/>
        <c:lblOffset val="100"/>
        <c:baseTimeUnit val="months"/>
        <c:majorUnit val="1"/>
        <c:majorTimeUnit val="years"/>
      </c:dateAx>
      <c:valAx>
        <c:axId val="2106742032"/>
        <c:scaling>
          <c:orientation val="minMax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4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4"/>
          <c:order val="0"/>
          <c:tx>
            <c:strRef>
              <c:f>'Sabie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numRef>
              <c:f>'Sabie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cat>
          <c:val>
            <c:numRef>
              <c:f>'Sabie workbook'!$F$4:$F$174</c:f>
              <c:numCache>
                <c:formatCode>0.00</c:formatCode>
                <c:ptCount val="171"/>
                <c:pt idx="0">
                  <c:v>2.6874949299104034</c:v>
                </c:pt>
                <c:pt idx="1">
                  <c:v>2.6802162892059465</c:v>
                </c:pt>
                <c:pt idx="2">
                  <c:v>2.6858936289554269</c:v>
                </c:pt>
                <c:pt idx="3">
                  <c:v>2.6873493570963092</c:v>
                </c:pt>
                <c:pt idx="4">
                  <c:v>2.684357835766773</c:v>
                </c:pt>
                <c:pt idx="5">
                  <c:v>2.6887905279557995</c:v>
                </c:pt>
                <c:pt idx="6">
                  <c:v>3.8251679505062294E-2</c:v>
                </c:pt>
                <c:pt idx="7">
                  <c:v>3.3920888285919125E-2</c:v>
                </c:pt>
                <c:pt idx="8">
                  <c:v>2.9335344642102763E-2</c:v>
                </c:pt>
                <c:pt idx="9">
                  <c:v>2.6799251435777585</c:v>
                </c:pt>
                <c:pt idx="10">
                  <c:v>2.6765769688537002</c:v>
                </c:pt>
                <c:pt idx="11">
                  <c:v>7.4426523806212064E-2</c:v>
                </c:pt>
                <c:pt idx="12">
                  <c:v>1.315180011491764</c:v>
                </c:pt>
                <c:pt idx="13">
                  <c:v>1.3058633513900721</c:v>
                </c:pt>
                <c:pt idx="14">
                  <c:v>1.298002419429239</c:v>
                </c:pt>
                <c:pt idx="15">
                  <c:v>1.3052810601336962</c:v>
                </c:pt>
                <c:pt idx="16">
                  <c:v>9.0794367090373196E-2</c:v>
                </c:pt>
                <c:pt idx="17">
                  <c:v>-1.5240721545034668</c:v>
                </c:pt>
                <c:pt idx="18">
                  <c:v>-1.5252367370161726</c:v>
                </c:pt>
                <c:pt idx="19">
                  <c:v>7.4299147593892848E-2</c:v>
                </c:pt>
                <c:pt idx="20">
                  <c:v>8.3470234881513991E-2</c:v>
                </c:pt>
                <c:pt idx="21">
                  <c:v>7.7483552902093508E-2</c:v>
                </c:pt>
                <c:pt idx="22">
                  <c:v>7.5063404867866099E-2</c:v>
                </c:pt>
                <c:pt idx="23">
                  <c:v>7.9394196087020863E-2</c:v>
                </c:pt>
                <c:pt idx="24">
                  <c:v>8.8820035799292027E-2</c:v>
                </c:pt>
                <c:pt idx="25">
                  <c:v>0.10728958658685354</c:v>
                </c:pt>
                <c:pt idx="26">
                  <c:v>0.1140405258402357</c:v>
                </c:pt>
                <c:pt idx="27">
                  <c:v>0.11633329766213231</c:v>
                </c:pt>
                <c:pt idx="28">
                  <c:v>0.12219260342923356</c:v>
                </c:pt>
                <c:pt idx="29">
                  <c:v>-1.4927739994742983</c:v>
                </c:pt>
                <c:pt idx="30">
                  <c:v>-1.5093693002804589</c:v>
                </c:pt>
                <c:pt idx="31">
                  <c:v>-2.5934500468025359</c:v>
                </c:pt>
                <c:pt idx="32">
                  <c:v>-2.6040186331054134</c:v>
                </c:pt>
                <c:pt idx="33">
                  <c:v>8.1814344121248259E-2</c:v>
                </c:pt>
                <c:pt idx="34">
                  <c:v>0.10576107203891862</c:v>
                </c:pt>
                <c:pt idx="35">
                  <c:v>0.11760705978542879</c:v>
                </c:pt>
                <c:pt idx="36">
                  <c:v>0.1249948801004534</c:v>
                </c:pt>
                <c:pt idx="37">
                  <c:v>0.13429334360040535</c:v>
                </c:pt>
                <c:pt idx="38">
                  <c:v>0.15854577442764414</c:v>
                </c:pt>
                <c:pt idx="39">
                  <c:v>0.14779522210716967</c:v>
                </c:pt>
                <c:pt idx="40">
                  <c:v>0.14736214298524725</c:v>
                </c:pt>
                <c:pt idx="41">
                  <c:v>0.14053477800446429</c:v>
                </c:pt>
                <c:pt idx="42">
                  <c:v>0.1409169066414567</c:v>
                </c:pt>
                <c:pt idx="43">
                  <c:v>0.14601195513457313</c:v>
                </c:pt>
                <c:pt idx="44">
                  <c:v>0.14295492603869167</c:v>
                </c:pt>
                <c:pt idx="45">
                  <c:v>0.13900626345654093</c:v>
                </c:pt>
                <c:pt idx="46">
                  <c:v>0.13887888724419856</c:v>
                </c:pt>
                <c:pt idx="47">
                  <c:v>0.13900626345654093</c:v>
                </c:pt>
                <c:pt idx="48">
                  <c:v>0.15212601332632442</c:v>
                </c:pt>
                <c:pt idx="49">
                  <c:v>0.1480499745318197</c:v>
                </c:pt>
                <c:pt idx="50">
                  <c:v>0.1299625523812506</c:v>
                </c:pt>
                <c:pt idx="51">
                  <c:v>0.12461275146347256</c:v>
                </c:pt>
                <c:pt idx="52">
                  <c:v>0.11837131705939045</c:v>
                </c:pt>
                <c:pt idx="53">
                  <c:v>0.11365839720325487</c:v>
                </c:pt>
                <c:pt idx="54">
                  <c:v>-1.4852042131416534</c:v>
                </c:pt>
                <c:pt idx="55">
                  <c:v>9.0985431408869402E-2</c:v>
                </c:pt>
                <c:pt idx="56">
                  <c:v>0.10499681476494536</c:v>
                </c:pt>
                <c:pt idx="57">
                  <c:v>8.6145135340403009E-2</c:v>
                </c:pt>
                <c:pt idx="58">
                  <c:v>8.028582957331333E-2</c:v>
                </c:pt>
                <c:pt idx="59">
                  <c:v>7.2898009258300311E-2</c:v>
                </c:pt>
                <c:pt idx="60">
                  <c:v>6.665657485421822E-2</c:v>
                </c:pt>
                <c:pt idx="61">
                  <c:v>5.939613075151283E-2</c:v>
                </c:pt>
                <c:pt idx="62">
                  <c:v>5.7103358929604643E-2</c:v>
                </c:pt>
                <c:pt idx="63">
                  <c:v>5.3409448772103928E-2</c:v>
                </c:pt>
                <c:pt idx="64">
                  <c:v>4.0162322689989642E-2</c:v>
                </c:pt>
                <c:pt idx="65">
                  <c:v>-1.5630856686793628</c:v>
                </c:pt>
                <c:pt idx="66">
                  <c:v>-1.5719656103388076</c:v>
                </c:pt>
                <c:pt idx="67">
                  <c:v>1.8763119018877495E-2</c:v>
                </c:pt>
                <c:pt idx="68">
                  <c:v>1.8380990381885072E-2</c:v>
                </c:pt>
                <c:pt idx="69">
                  <c:v>1.124792249152208E-2</c:v>
                </c:pt>
                <c:pt idx="70">
                  <c:v>1.2139555977826143E-2</c:v>
                </c:pt>
                <c:pt idx="71">
                  <c:v>-4.1995334261596677E-2</c:v>
                </c:pt>
                <c:pt idx="72">
                  <c:v>-2.0341378165822915E-2</c:v>
                </c:pt>
                <c:pt idx="73">
                  <c:v>4.1053956176282116E-2</c:v>
                </c:pt>
                <c:pt idx="74">
                  <c:v>4.3856232847490358E-2</c:v>
                </c:pt>
                <c:pt idx="75">
                  <c:v>3.6468412532465751E-2</c:v>
                </c:pt>
                <c:pt idx="76">
                  <c:v>2.6596756077048339E-2</c:v>
                </c:pt>
                <c:pt idx="77">
                  <c:v>2.5131929635278816E-2</c:v>
                </c:pt>
                <c:pt idx="78">
                  <c:v>1.5897154241492264E-2</c:v>
                </c:pt>
                <c:pt idx="79">
                  <c:v>0.63928543567573592</c:v>
                </c:pt>
                <c:pt idx="80">
                  <c:v>0.63637397939394846</c:v>
                </c:pt>
                <c:pt idx="81">
                  <c:v>0.63113335808674964</c:v>
                </c:pt>
                <c:pt idx="82">
                  <c:v>0.62283570768366936</c:v>
                </c:pt>
                <c:pt idx="83">
                  <c:v>0.61963310577370545</c:v>
                </c:pt>
                <c:pt idx="84">
                  <c:v>0.6164305038637532</c:v>
                </c:pt>
                <c:pt idx="85">
                  <c:v>0.61686722230600044</c:v>
                </c:pt>
                <c:pt idx="86">
                  <c:v>0.61715836793418855</c:v>
                </c:pt>
                <c:pt idx="87">
                  <c:v>0.6167216494919181</c:v>
                </c:pt>
                <c:pt idx="88">
                  <c:v>0.60842399908882616</c:v>
                </c:pt>
                <c:pt idx="89">
                  <c:v>-1.7725285549501597</c:v>
                </c:pt>
                <c:pt idx="90">
                  <c:v>-1.7786426131419109</c:v>
                </c:pt>
                <c:pt idx="91">
                  <c:v>0.5884805235586078</c:v>
                </c:pt>
                <c:pt idx="92">
                  <c:v>0.5886260963727018</c:v>
                </c:pt>
                <c:pt idx="93">
                  <c:v>0.58455005757820866</c:v>
                </c:pt>
                <c:pt idx="94">
                  <c:v>0.58338547506549132</c:v>
                </c:pt>
                <c:pt idx="95">
                  <c:v>0.57945500908508063</c:v>
                </c:pt>
                <c:pt idx="96">
                  <c:v>0.58018287315551587</c:v>
                </c:pt>
                <c:pt idx="97">
                  <c:v>0.58658807697546678</c:v>
                </c:pt>
                <c:pt idx="98">
                  <c:v>0.57799928094418696</c:v>
                </c:pt>
                <c:pt idx="99">
                  <c:v>0.58411333913593821</c:v>
                </c:pt>
                <c:pt idx="100">
                  <c:v>0.5708662130538239</c:v>
                </c:pt>
                <c:pt idx="101">
                  <c:v>-1.2057044100904419</c:v>
                </c:pt>
                <c:pt idx="102">
                  <c:v>-1.2140263226291987</c:v>
                </c:pt>
                <c:pt idx="103">
                  <c:v>0.55019487345315865</c:v>
                </c:pt>
                <c:pt idx="104">
                  <c:v>0.54626440747275951</c:v>
                </c:pt>
                <c:pt idx="105">
                  <c:v>0.54437196088959539</c:v>
                </c:pt>
                <c:pt idx="106">
                  <c:v>0.54160607742191347</c:v>
                </c:pt>
                <c:pt idx="107">
                  <c:v>0.54146050460781947</c:v>
                </c:pt>
                <c:pt idx="108">
                  <c:v>0.5536886209912989</c:v>
                </c:pt>
                <c:pt idx="109">
                  <c:v>0.56147676654507916</c:v>
                </c:pt>
                <c:pt idx="110">
                  <c:v>0.79053558951439151</c:v>
                </c:pt>
                <c:pt idx="114">
                  <c:v>-2.7265035988800435</c:v>
                </c:pt>
                <c:pt idx="115">
                  <c:v>-2.7455736375257094</c:v>
                </c:pt>
                <c:pt idx="116">
                  <c:v>-0.18992157551187094</c:v>
                </c:pt>
                <c:pt idx="117">
                  <c:v>-0.18533603186806616</c:v>
                </c:pt>
                <c:pt idx="118">
                  <c:v>-0.15051986716508076</c:v>
                </c:pt>
                <c:pt idx="119">
                  <c:v>-2.7428077540580276</c:v>
                </c:pt>
                <c:pt idx="120">
                  <c:v>-2.7281048998350195</c:v>
                </c:pt>
                <c:pt idx="121">
                  <c:v>-2.6979713273185566</c:v>
                </c:pt>
                <c:pt idx="122">
                  <c:v>-2.7017562204848735</c:v>
                </c:pt>
                <c:pt idx="123">
                  <c:v>-2.7096171524456949</c:v>
                </c:pt>
                <c:pt idx="124">
                  <c:v>-0.11319863695295372</c:v>
                </c:pt>
                <c:pt idx="125">
                  <c:v>-0.11510928013788106</c:v>
                </c:pt>
                <c:pt idx="126">
                  <c:v>-0.11880319029539337</c:v>
                </c:pt>
                <c:pt idx="127">
                  <c:v>-0.10721195497354483</c:v>
                </c:pt>
                <c:pt idx="128">
                  <c:v>-0.11938912087209423</c:v>
                </c:pt>
                <c:pt idx="129">
                  <c:v>-0.1790521387265559</c:v>
                </c:pt>
                <c:pt idx="130">
                  <c:v>-0.18293711320256442</c:v>
                </c:pt>
                <c:pt idx="131">
                  <c:v>-0.17204644704851213</c:v>
                </c:pt>
                <c:pt idx="132">
                  <c:v>-0.17790575281560181</c:v>
                </c:pt>
                <c:pt idx="133">
                  <c:v>-0.17204644704851213</c:v>
                </c:pt>
                <c:pt idx="134">
                  <c:v>-0.17230119947317374</c:v>
                </c:pt>
                <c:pt idx="135">
                  <c:v>-0.17956164357585597</c:v>
                </c:pt>
                <c:pt idx="136">
                  <c:v>-0.17726887175395936</c:v>
                </c:pt>
                <c:pt idx="137">
                  <c:v>-0.18752265684636921</c:v>
                </c:pt>
                <c:pt idx="138">
                  <c:v>-0.19064337404839288</c:v>
                </c:pt>
                <c:pt idx="139">
                  <c:v>-0.18338292994569907</c:v>
                </c:pt>
                <c:pt idx="140">
                  <c:v>-0.18682208767857292</c:v>
                </c:pt>
                <c:pt idx="141">
                  <c:v>-0.19051599783607365</c:v>
                </c:pt>
                <c:pt idx="142">
                  <c:v>-0.19038862162374284</c:v>
                </c:pt>
                <c:pt idx="143">
                  <c:v>-0.19599317496617091</c:v>
                </c:pt>
                <c:pt idx="144">
                  <c:v>-0.16898941795264227</c:v>
                </c:pt>
                <c:pt idx="145">
                  <c:v>-0.14835447155549181</c:v>
                </c:pt>
                <c:pt idx="146">
                  <c:v>-0.13625373138433161</c:v>
                </c:pt>
                <c:pt idx="147">
                  <c:v>-0.13676323623364325</c:v>
                </c:pt>
                <c:pt idx="148">
                  <c:v>-0.13701798865829326</c:v>
                </c:pt>
                <c:pt idx="149">
                  <c:v>-0.14389630412401783</c:v>
                </c:pt>
                <c:pt idx="150">
                  <c:v>-0.14491531382264111</c:v>
                </c:pt>
                <c:pt idx="151">
                  <c:v>-0.13982026532952468</c:v>
                </c:pt>
                <c:pt idx="152">
                  <c:v>-0.14797234291851097</c:v>
                </c:pt>
                <c:pt idx="153">
                  <c:v>-0.14491531382264111</c:v>
                </c:pt>
                <c:pt idx="154">
                  <c:v>-0.14083927502814797</c:v>
                </c:pt>
                <c:pt idx="155">
                  <c:v>-0.14185828472677126</c:v>
                </c:pt>
                <c:pt idx="156">
                  <c:v>-0.1153640325625311</c:v>
                </c:pt>
                <c:pt idx="157">
                  <c:v>-0.10517393557629826</c:v>
                </c:pt>
                <c:pt idx="158">
                  <c:v>-0.11026898406941467</c:v>
                </c:pt>
                <c:pt idx="159">
                  <c:v>-0.10721195497354483</c:v>
                </c:pt>
                <c:pt idx="160">
                  <c:v>-0.11740205195978926</c:v>
                </c:pt>
                <c:pt idx="161">
                  <c:v>-0.12453511985015224</c:v>
                </c:pt>
                <c:pt idx="162">
                  <c:v>-0.11481206897577971</c:v>
                </c:pt>
                <c:pt idx="163">
                  <c:v>-0.12861115864465697</c:v>
                </c:pt>
                <c:pt idx="164">
                  <c:v>-0.12963016834328026</c:v>
                </c:pt>
                <c:pt idx="165">
                  <c:v>-0.13166818774052683</c:v>
                </c:pt>
                <c:pt idx="166">
                  <c:v>-0.12861115864465697</c:v>
                </c:pt>
                <c:pt idx="167">
                  <c:v>-0.13982026532952468</c:v>
                </c:pt>
                <c:pt idx="168">
                  <c:v>-0.1265731392474104</c:v>
                </c:pt>
                <c:pt idx="169">
                  <c:v>-0.11026898406941467</c:v>
                </c:pt>
                <c:pt idx="170">
                  <c:v>-0.11842106165841254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08-4998-A966-CA33A1A95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245424"/>
        <c:axId val="2064251184"/>
        <c:extLst>
          <c:ext xmlns:c15="http://schemas.microsoft.com/office/drawing/2012/chart" uri="{02D57815-91ED-43cb-92C2-25804820EDAC}">
            <c15:filteredAreaSeries>
              <c15:ser>
                <c:idx val="5"/>
                <c:order val="1"/>
                <c:tx>
                  <c:strRef>
                    <c:extLst>
                      <c:ext uri="{02D57815-91ED-43cb-92C2-25804820EDAC}">
                        <c15:formulaRef>
                          <c15:sqref>'Sabie workbook'!$G$3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'Sabie workbook'!$A$4:$A$174</c15:sqref>
                        </c15:formulaRef>
                      </c:ext>
                    </c:extLst>
                    <c:numCache>
                      <c:formatCode>yyyy/mm</c:formatCode>
                      <c:ptCount val="171"/>
                      <c:pt idx="0">
                        <c:v>40553</c:v>
                      </c:pt>
                      <c:pt idx="1">
                        <c:v>40584</c:v>
                      </c:pt>
                      <c:pt idx="2">
                        <c:v>40612</c:v>
                      </c:pt>
                      <c:pt idx="3">
                        <c:v>40643</c:v>
                      </c:pt>
                      <c:pt idx="4">
                        <c:v>40673</c:v>
                      </c:pt>
                      <c:pt idx="5">
                        <c:v>40704</c:v>
                      </c:pt>
                      <c:pt idx="6">
                        <c:v>40734</c:v>
                      </c:pt>
                      <c:pt idx="7">
                        <c:v>40765</c:v>
                      </c:pt>
                      <c:pt idx="8">
                        <c:v>40796</c:v>
                      </c:pt>
                      <c:pt idx="9">
                        <c:v>40826</c:v>
                      </c:pt>
                      <c:pt idx="10">
                        <c:v>40857</c:v>
                      </c:pt>
                      <c:pt idx="11">
                        <c:v>40887</c:v>
                      </c:pt>
                      <c:pt idx="12">
                        <c:v>40918</c:v>
                      </c:pt>
                      <c:pt idx="13">
                        <c:v>40949</c:v>
                      </c:pt>
                      <c:pt idx="14">
                        <c:v>40978</c:v>
                      </c:pt>
                      <c:pt idx="15">
                        <c:v>41009</c:v>
                      </c:pt>
                      <c:pt idx="16">
                        <c:v>41039</c:v>
                      </c:pt>
                      <c:pt idx="17">
                        <c:v>41070</c:v>
                      </c:pt>
                      <c:pt idx="18">
                        <c:v>41100</c:v>
                      </c:pt>
                      <c:pt idx="19">
                        <c:v>41131</c:v>
                      </c:pt>
                      <c:pt idx="20">
                        <c:v>41162</c:v>
                      </c:pt>
                      <c:pt idx="21">
                        <c:v>41192</c:v>
                      </c:pt>
                      <c:pt idx="22">
                        <c:v>41223</c:v>
                      </c:pt>
                      <c:pt idx="23">
                        <c:v>41253</c:v>
                      </c:pt>
                      <c:pt idx="24">
                        <c:v>41284</c:v>
                      </c:pt>
                      <c:pt idx="25">
                        <c:v>41315</c:v>
                      </c:pt>
                      <c:pt idx="26">
                        <c:v>41343</c:v>
                      </c:pt>
                      <c:pt idx="27">
                        <c:v>41374</c:v>
                      </c:pt>
                      <c:pt idx="28">
                        <c:v>41404</c:v>
                      </c:pt>
                      <c:pt idx="29">
                        <c:v>41435</c:v>
                      </c:pt>
                      <c:pt idx="30">
                        <c:v>41465</c:v>
                      </c:pt>
                      <c:pt idx="31">
                        <c:v>41496</c:v>
                      </c:pt>
                      <c:pt idx="32">
                        <c:v>41527</c:v>
                      </c:pt>
                      <c:pt idx="33">
                        <c:v>41557</c:v>
                      </c:pt>
                      <c:pt idx="34">
                        <c:v>41588</c:v>
                      </c:pt>
                      <c:pt idx="35">
                        <c:v>41618</c:v>
                      </c:pt>
                      <c:pt idx="36">
                        <c:v>41649</c:v>
                      </c:pt>
                      <c:pt idx="37">
                        <c:v>41680</c:v>
                      </c:pt>
                      <c:pt idx="38">
                        <c:v>41708</c:v>
                      </c:pt>
                      <c:pt idx="39">
                        <c:v>41739</c:v>
                      </c:pt>
                      <c:pt idx="40">
                        <c:v>41769</c:v>
                      </c:pt>
                      <c:pt idx="41">
                        <c:v>41800</c:v>
                      </c:pt>
                      <c:pt idx="42">
                        <c:v>41830</c:v>
                      </c:pt>
                      <c:pt idx="43">
                        <c:v>41861</c:v>
                      </c:pt>
                      <c:pt idx="44">
                        <c:v>41892</c:v>
                      </c:pt>
                      <c:pt idx="45">
                        <c:v>41922</c:v>
                      </c:pt>
                      <c:pt idx="46">
                        <c:v>41953</c:v>
                      </c:pt>
                      <c:pt idx="47">
                        <c:v>41983</c:v>
                      </c:pt>
                      <c:pt idx="48">
                        <c:v>42014</c:v>
                      </c:pt>
                      <c:pt idx="49">
                        <c:v>42045</c:v>
                      </c:pt>
                      <c:pt idx="50">
                        <c:v>42073</c:v>
                      </c:pt>
                      <c:pt idx="51">
                        <c:v>42104</c:v>
                      </c:pt>
                      <c:pt idx="52">
                        <c:v>42134</c:v>
                      </c:pt>
                      <c:pt idx="53">
                        <c:v>42165</c:v>
                      </c:pt>
                      <c:pt idx="54">
                        <c:v>42195</c:v>
                      </c:pt>
                      <c:pt idx="55">
                        <c:v>42226</c:v>
                      </c:pt>
                      <c:pt idx="56">
                        <c:v>42257</c:v>
                      </c:pt>
                      <c:pt idx="57">
                        <c:v>42287</c:v>
                      </c:pt>
                      <c:pt idx="58">
                        <c:v>42318</c:v>
                      </c:pt>
                      <c:pt idx="59">
                        <c:v>42348</c:v>
                      </c:pt>
                      <c:pt idx="60">
                        <c:v>42379</c:v>
                      </c:pt>
                      <c:pt idx="61">
                        <c:v>42410</c:v>
                      </c:pt>
                      <c:pt idx="62">
                        <c:v>42439</c:v>
                      </c:pt>
                      <c:pt idx="63">
                        <c:v>42470</c:v>
                      </c:pt>
                      <c:pt idx="64">
                        <c:v>42500</c:v>
                      </c:pt>
                      <c:pt idx="65">
                        <c:v>42531</c:v>
                      </c:pt>
                      <c:pt idx="66">
                        <c:v>42561</c:v>
                      </c:pt>
                      <c:pt idx="67">
                        <c:v>42592</c:v>
                      </c:pt>
                      <c:pt idx="68">
                        <c:v>42623</c:v>
                      </c:pt>
                      <c:pt idx="69">
                        <c:v>42653</c:v>
                      </c:pt>
                      <c:pt idx="70">
                        <c:v>42684</c:v>
                      </c:pt>
                      <c:pt idx="71">
                        <c:v>42714</c:v>
                      </c:pt>
                      <c:pt idx="72">
                        <c:v>42745</c:v>
                      </c:pt>
                      <c:pt idx="73">
                        <c:v>42776</c:v>
                      </c:pt>
                      <c:pt idx="74">
                        <c:v>42804</c:v>
                      </c:pt>
                      <c:pt idx="75">
                        <c:v>42835</c:v>
                      </c:pt>
                      <c:pt idx="76">
                        <c:v>42865</c:v>
                      </c:pt>
                      <c:pt idx="77">
                        <c:v>42896</c:v>
                      </c:pt>
                      <c:pt idx="78">
                        <c:v>42926</c:v>
                      </c:pt>
                      <c:pt idx="79">
                        <c:v>42957</c:v>
                      </c:pt>
                      <c:pt idx="80">
                        <c:v>42988</c:v>
                      </c:pt>
                      <c:pt idx="81">
                        <c:v>43018</c:v>
                      </c:pt>
                      <c:pt idx="82">
                        <c:v>43049</c:v>
                      </c:pt>
                      <c:pt idx="83">
                        <c:v>43079</c:v>
                      </c:pt>
                      <c:pt idx="84">
                        <c:v>43110</c:v>
                      </c:pt>
                      <c:pt idx="85">
                        <c:v>43141</c:v>
                      </c:pt>
                      <c:pt idx="86">
                        <c:v>43169</c:v>
                      </c:pt>
                      <c:pt idx="87">
                        <c:v>43200</c:v>
                      </c:pt>
                      <c:pt idx="88">
                        <c:v>43230</c:v>
                      </c:pt>
                      <c:pt idx="89">
                        <c:v>43261</c:v>
                      </c:pt>
                      <c:pt idx="90">
                        <c:v>43291</c:v>
                      </c:pt>
                      <c:pt idx="91">
                        <c:v>43322</c:v>
                      </c:pt>
                      <c:pt idx="92">
                        <c:v>43353</c:v>
                      </c:pt>
                      <c:pt idx="93">
                        <c:v>43383</c:v>
                      </c:pt>
                      <c:pt idx="94">
                        <c:v>43414</c:v>
                      </c:pt>
                      <c:pt idx="95">
                        <c:v>43444</c:v>
                      </c:pt>
                      <c:pt idx="96">
                        <c:v>43475</c:v>
                      </c:pt>
                      <c:pt idx="97">
                        <c:v>43506</c:v>
                      </c:pt>
                      <c:pt idx="98">
                        <c:v>43534</c:v>
                      </c:pt>
                      <c:pt idx="99">
                        <c:v>43565</c:v>
                      </c:pt>
                      <c:pt idx="100">
                        <c:v>43595</c:v>
                      </c:pt>
                      <c:pt idx="101">
                        <c:v>43626</c:v>
                      </c:pt>
                      <c:pt idx="102">
                        <c:v>43656</c:v>
                      </c:pt>
                      <c:pt idx="103">
                        <c:v>43687</c:v>
                      </c:pt>
                      <c:pt idx="104">
                        <c:v>43718</c:v>
                      </c:pt>
                      <c:pt idx="105">
                        <c:v>43748</c:v>
                      </c:pt>
                      <c:pt idx="106">
                        <c:v>43779</c:v>
                      </c:pt>
                      <c:pt idx="107">
                        <c:v>43809</c:v>
                      </c:pt>
                      <c:pt idx="108">
                        <c:v>43840</c:v>
                      </c:pt>
                      <c:pt idx="109">
                        <c:v>43871</c:v>
                      </c:pt>
                      <c:pt idx="110">
                        <c:v>43900</c:v>
                      </c:pt>
                      <c:pt idx="111">
                        <c:v>43931</c:v>
                      </c:pt>
                      <c:pt idx="112">
                        <c:v>43961</c:v>
                      </c:pt>
                      <c:pt idx="113">
                        <c:v>43992</c:v>
                      </c:pt>
                      <c:pt idx="114">
                        <c:v>44022</c:v>
                      </c:pt>
                      <c:pt idx="115">
                        <c:v>44053</c:v>
                      </c:pt>
                      <c:pt idx="116">
                        <c:v>44084</c:v>
                      </c:pt>
                      <c:pt idx="117">
                        <c:v>44114</c:v>
                      </c:pt>
                      <c:pt idx="118">
                        <c:v>44145</c:v>
                      </c:pt>
                      <c:pt idx="119">
                        <c:v>44175</c:v>
                      </c:pt>
                      <c:pt idx="120">
                        <c:v>44206</c:v>
                      </c:pt>
                      <c:pt idx="121">
                        <c:v>44237</c:v>
                      </c:pt>
                      <c:pt idx="122">
                        <c:v>44265</c:v>
                      </c:pt>
                      <c:pt idx="123">
                        <c:v>44296</c:v>
                      </c:pt>
                      <c:pt idx="124">
                        <c:v>44326</c:v>
                      </c:pt>
                      <c:pt idx="125">
                        <c:v>44357</c:v>
                      </c:pt>
                      <c:pt idx="126">
                        <c:v>44387</c:v>
                      </c:pt>
                      <c:pt idx="127">
                        <c:v>44418</c:v>
                      </c:pt>
                      <c:pt idx="128">
                        <c:v>44449</c:v>
                      </c:pt>
                      <c:pt idx="129">
                        <c:v>44479</c:v>
                      </c:pt>
                      <c:pt idx="130">
                        <c:v>44510</c:v>
                      </c:pt>
                      <c:pt idx="131">
                        <c:v>44540</c:v>
                      </c:pt>
                      <c:pt idx="132">
                        <c:v>44571</c:v>
                      </c:pt>
                      <c:pt idx="133">
                        <c:v>44602</c:v>
                      </c:pt>
                      <c:pt idx="134">
                        <c:v>44630</c:v>
                      </c:pt>
                      <c:pt idx="135">
                        <c:v>44661</c:v>
                      </c:pt>
                      <c:pt idx="136">
                        <c:v>44691</c:v>
                      </c:pt>
                      <c:pt idx="137">
                        <c:v>44722</c:v>
                      </c:pt>
                      <c:pt idx="138">
                        <c:v>44752</c:v>
                      </c:pt>
                      <c:pt idx="139">
                        <c:v>44783</c:v>
                      </c:pt>
                      <c:pt idx="140">
                        <c:v>44814</c:v>
                      </c:pt>
                      <c:pt idx="141">
                        <c:v>44844</c:v>
                      </c:pt>
                      <c:pt idx="142">
                        <c:v>44875</c:v>
                      </c:pt>
                      <c:pt idx="143">
                        <c:v>44905</c:v>
                      </c:pt>
                      <c:pt idx="144">
                        <c:v>44936</c:v>
                      </c:pt>
                      <c:pt idx="145">
                        <c:v>44967</c:v>
                      </c:pt>
                      <c:pt idx="146">
                        <c:v>44995</c:v>
                      </c:pt>
                      <c:pt idx="147">
                        <c:v>45026</c:v>
                      </c:pt>
                      <c:pt idx="148">
                        <c:v>45056</c:v>
                      </c:pt>
                      <c:pt idx="149">
                        <c:v>45087</c:v>
                      </c:pt>
                      <c:pt idx="150">
                        <c:v>45117</c:v>
                      </c:pt>
                      <c:pt idx="151">
                        <c:v>45148</c:v>
                      </c:pt>
                      <c:pt idx="152">
                        <c:v>45179</c:v>
                      </c:pt>
                      <c:pt idx="153">
                        <c:v>45209</c:v>
                      </c:pt>
                      <c:pt idx="154">
                        <c:v>45240</c:v>
                      </c:pt>
                      <c:pt idx="155">
                        <c:v>45270</c:v>
                      </c:pt>
                      <c:pt idx="156">
                        <c:v>45301</c:v>
                      </c:pt>
                      <c:pt idx="157">
                        <c:v>45332</c:v>
                      </c:pt>
                      <c:pt idx="158">
                        <c:v>45361</c:v>
                      </c:pt>
                      <c:pt idx="159">
                        <c:v>45392</c:v>
                      </c:pt>
                      <c:pt idx="160">
                        <c:v>45422</c:v>
                      </c:pt>
                      <c:pt idx="161">
                        <c:v>45453</c:v>
                      </c:pt>
                      <c:pt idx="162">
                        <c:v>45483</c:v>
                      </c:pt>
                      <c:pt idx="163">
                        <c:v>45514</c:v>
                      </c:pt>
                      <c:pt idx="164">
                        <c:v>45545</c:v>
                      </c:pt>
                      <c:pt idx="165">
                        <c:v>45575</c:v>
                      </c:pt>
                      <c:pt idx="166">
                        <c:v>45606</c:v>
                      </c:pt>
                      <c:pt idx="167">
                        <c:v>45636</c:v>
                      </c:pt>
                      <c:pt idx="168">
                        <c:v>45667</c:v>
                      </c:pt>
                      <c:pt idx="169">
                        <c:v>45698</c:v>
                      </c:pt>
                      <c:pt idx="170">
                        <c:v>45720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'Sabie workbook'!$G$4:$G$174</c15:sqref>
                        </c15:formulaRef>
                      </c:ext>
                    </c:extLst>
                    <c:numCache>
                      <c:formatCode>0.00</c:formatCode>
                      <c:ptCount val="17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008-4998-A966-CA33A1A9573F}"/>
                  </c:ext>
                </c:extLst>
              </c15:ser>
            </c15:filteredAreaSeries>
          </c:ext>
        </c:extLst>
      </c:areaChart>
      <c:lineChart>
        <c:grouping val="percentStacked"/>
        <c:varyColors val="0"/>
        <c:ser>
          <c:idx val="0"/>
          <c:order val="2"/>
          <c:tx>
            <c:strRef>
              <c:f>'Sabie workbook'!$G$3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'Sabie workbook'!$G$4:$G$174</c:f>
              <c:numCache>
                <c:formatCode>0.00</c:formatCode>
                <c:ptCount val="1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B-49AC-9DB2-016AA5654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245424"/>
        <c:axId val="2064251184"/>
      </c:lineChart>
      <c:catAx>
        <c:axId val="206424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51184"/>
        <c:crosses val="autoZero"/>
        <c:auto val="1"/>
        <c:lblAlgn val="ctr"/>
        <c:lblOffset val="100"/>
        <c:noMultiLvlLbl val="1"/>
      </c:catAx>
      <c:valAx>
        <c:axId val="2064251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4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'Sand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'Sand workbook'!$A$4:$A$173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'Sand workbook'!$F$4:$F$173</c:f>
              <c:numCache>
                <c:formatCode>0.00</c:formatCode>
                <c:ptCount val="170"/>
                <c:pt idx="0">
                  <c:v>2.5450743469451229</c:v>
                </c:pt>
                <c:pt idx="1">
                  <c:v>2.5624732559743002</c:v>
                </c:pt>
                <c:pt idx="2">
                  <c:v>2.5639477397903239</c:v>
                </c:pt>
                <c:pt idx="3">
                  <c:v>2.5636528430271244</c:v>
                </c:pt>
                <c:pt idx="4">
                  <c:v>2.5592293915790267</c:v>
                </c:pt>
                <c:pt idx="5">
                  <c:v>2.5533314563149059</c:v>
                </c:pt>
                <c:pt idx="6">
                  <c:v>2.5394713084442144</c:v>
                </c:pt>
                <c:pt idx="7">
                  <c:v>2.531509095837631</c:v>
                </c:pt>
                <c:pt idx="8">
                  <c:v>2.5264958508631348</c:v>
                </c:pt>
                <c:pt idx="9">
                  <c:v>2.5244315735206988</c:v>
                </c:pt>
                <c:pt idx="10">
                  <c:v>2.5197132253093888</c:v>
                </c:pt>
                <c:pt idx="11">
                  <c:v>6.7174804427689749E-2</c:v>
                </c:pt>
                <c:pt idx="12">
                  <c:v>-0.27030505138563871</c:v>
                </c:pt>
                <c:pt idx="13">
                  <c:v>-0.27030505138563871</c:v>
                </c:pt>
                <c:pt idx="14">
                  <c:v>-0.27826726399220891</c:v>
                </c:pt>
                <c:pt idx="15">
                  <c:v>-0.26558670317434185</c:v>
                </c:pt>
                <c:pt idx="16">
                  <c:v>9.6782439453588387E-2</c:v>
                </c:pt>
                <c:pt idx="17">
                  <c:v>8.3924940577788307E-2</c:v>
                </c:pt>
                <c:pt idx="18">
                  <c:v>8.274535352496408E-2</c:v>
                </c:pt>
                <c:pt idx="19">
                  <c:v>7.9206592366491427E-2</c:v>
                </c:pt>
                <c:pt idx="20">
                  <c:v>9.6664480748308648E-2</c:v>
                </c:pt>
                <c:pt idx="21">
                  <c:v>8.7463701736274366E-2</c:v>
                </c:pt>
                <c:pt idx="22">
                  <c:v>8.8171453967966218E-2</c:v>
                </c:pt>
                <c:pt idx="23">
                  <c:v>9.5720811106043913E-2</c:v>
                </c:pt>
                <c:pt idx="24">
                  <c:v>0.10327016824413501</c:v>
                </c:pt>
                <c:pt idx="25">
                  <c:v>0.13535493608098867</c:v>
                </c:pt>
                <c:pt idx="26">
                  <c:v>0.15116140258882246</c:v>
                </c:pt>
                <c:pt idx="27">
                  <c:v>0.15281282446279248</c:v>
                </c:pt>
                <c:pt idx="28">
                  <c:v>0.16177768606426729</c:v>
                </c:pt>
                <c:pt idx="29">
                  <c:v>0.15139731999940878</c:v>
                </c:pt>
                <c:pt idx="30">
                  <c:v>0.125682322247822</c:v>
                </c:pt>
                <c:pt idx="31">
                  <c:v>0.12473865260554386</c:v>
                </c:pt>
                <c:pt idx="32">
                  <c:v>0.11341461689842063</c:v>
                </c:pt>
                <c:pt idx="33">
                  <c:v>0.10256241601244316</c:v>
                </c:pt>
                <c:pt idx="34">
                  <c:v>0.12119989144708461</c:v>
                </c:pt>
                <c:pt idx="35">
                  <c:v>0.14007328429228555</c:v>
                </c:pt>
                <c:pt idx="36">
                  <c:v>0.15375649410505721</c:v>
                </c:pt>
                <c:pt idx="37">
                  <c:v>0.19339061907998856</c:v>
                </c:pt>
                <c:pt idx="38">
                  <c:v>0.21556685567308925</c:v>
                </c:pt>
                <c:pt idx="39">
                  <c:v>0.19976038916522862</c:v>
                </c:pt>
                <c:pt idx="40">
                  <c:v>0.19457020613281278</c:v>
                </c:pt>
                <c:pt idx="41">
                  <c:v>0.17899965703551163</c:v>
                </c:pt>
                <c:pt idx="42">
                  <c:v>0.16932704320234496</c:v>
                </c:pt>
                <c:pt idx="43">
                  <c:v>0.1702707128445963</c:v>
                </c:pt>
                <c:pt idx="44">
                  <c:v>0.16295727311709149</c:v>
                </c:pt>
                <c:pt idx="45">
                  <c:v>0.15304874187335196</c:v>
                </c:pt>
                <c:pt idx="46">
                  <c:v>0.15352057669448432</c:v>
                </c:pt>
                <c:pt idx="47">
                  <c:v>0.15587975080013278</c:v>
                </c:pt>
                <c:pt idx="48">
                  <c:v>0.17569681328759842</c:v>
                </c:pt>
                <c:pt idx="49">
                  <c:v>0.17121438248686102</c:v>
                </c:pt>
                <c:pt idx="50">
                  <c:v>0.14549938473528767</c:v>
                </c:pt>
                <c:pt idx="51">
                  <c:v>0.1405451191134045</c:v>
                </c:pt>
                <c:pt idx="52">
                  <c:v>0.1421965409873745</c:v>
                </c:pt>
                <c:pt idx="53">
                  <c:v>0.12945700081685416</c:v>
                </c:pt>
                <c:pt idx="54">
                  <c:v>0.13511901867040235</c:v>
                </c:pt>
                <c:pt idx="55">
                  <c:v>0.1197843869836875</c:v>
                </c:pt>
                <c:pt idx="56">
                  <c:v>0.11766113028859854</c:v>
                </c:pt>
                <c:pt idx="57">
                  <c:v>0.10633709458147531</c:v>
                </c:pt>
                <c:pt idx="58">
                  <c:v>0.10091099413848657</c:v>
                </c:pt>
                <c:pt idx="59">
                  <c:v>9.3597554410968356E-2</c:v>
                </c:pt>
                <c:pt idx="60">
                  <c:v>9.1002462894733627E-2</c:v>
                </c:pt>
                <c:pt idx="61">
                  <c:v>8.55763624517583E-2</c:v>
                </c:pt>
                <c:pt idx="62">
                  <c:v>8.9351041020790445E-2</c:v>
                </c:pt>
                <c:pt idx="63">
                  <c:v>9.0530628073614658E-2</c:v>
                </c:pt>
                <c:pt idx="64">
                  <c:v>8.2981270935550383E-2</c:v>
                </c:pt>
                <c:pt idx="65">
                  <c:v>8.1093931651020898E-2</c:v>
                </c:pt>
                <c:pt idx="66">
                  <c:v>7.0477648175576099E-2</c:v>
                </c:pt>
                <c:pt idx="67">
                  <c:v>6.3636043269190257E-2</c:v>
                </c:pt>
                <c:pt idx="68">
                  <c:v>6.7646639248808704E-2</c:v>
                </c:pt>
                <c:pt idx="69">
                  <c:v>5.9625447289598642E-2</c:v>
                </c:pt>
                <c:pt idx="70">
                  <c:v>6.859030889107344E-2</c:v>
                </c:pt>
                <c:pt idx="71">
                  <c:v>2.5070326644915082</c:v>
                </c:pt>
                <c:pt idx="72">
                  <c:v>2.5263484024815281</c:v>
                </c:pt>
                <c:pt idx="73">
                  <c:v>9.73722329800005E-2</c:v>
                </c:pt>
                <c:pt idx="74">
                  <c:v>0.10963993832938848</c:v>
                </c:pt>
                <c:pt idx="75">
                  <c:v>0.10114691154904605</c:v>
                </c:pt>
                <c:pt idx="76">
                  <c:v>9.2064091242291507E-2</c:v>
                </c:pt>
                <c:pt idx="77">
                  <c:v>9.1474297715879407E-2</c:v>
                </c:pt>
                <c:pt idx="78">
                  <c:v>8.0622096829888537E-2</c:v>
                </c:pt>
                <c:pt idx="79">
                  <c:v>-1.4475329301052831</c:v>
                </c:pt>
                <c:pt idx="80">
                  <c:v>-1.4504818977373435</c:v>
                </c:pt>
                <c:pt idx="81">
                  <c:v>-1.4563798330014646</c:v>
                </c:pt>
                <c:pt idx="82">
                  <c:v>-1.466406322950484</c:v>
                </c:pt>
                <c:pt idx="83">
                  <c:v>-1.4678808067665075</c:v>
                </c:pt>
                <c:pt idx="84">
                  <c:v>-1.4678808067665075</c:v>
                </c:pt>
                <c:pt idx="85">
                  <c:v>-1.4646369423712475</c:v>
                </c:pt>
                <c:pt idx="86">
                  <c:v>-1.4634573553184234</c:v>
                </c:pt>
                <c:pt idx="87">
                  <c:v>-1.4584441103439136</c:v>
                </c:pt>
                <c:pt idx="88">
                  <c:v>-1.467880806766521</c:v>
                </c:pt>
                <c:pt idx="89">
                  <c:v>1.3058198490310913</c:v>
                </c:pt>
                <c:pt idx="90">
                  <c:v>1.2991355223984073</c:v>
                </c:pt>
                <c:pt idx="91">
                  <c:v>-1.4920623413494307</c:v>
                </c:pt>
                <c:pt idx="92">
                  <c:v>-1.488818476954171</c:v>
                </c:pt>
                <c:pt idx="93">
                  <c:v>-1.4929470316390556</c:v>
                </c:pt>
                <c:pt idx="94">
                  <c:v>-1.490292960770208</c:v>
                </c:pt>
                <c:pt idx="95">
                  <c:v>-1.4935368251654677</c:v>
                </c:pt>
                <c:pt idx="96">
                  <c:v>-1.488818476954171</c:v>
                </c:pt>
                <c:pt idx="97">
                  <c:v>-1.4725991549778179</c:v>
                </c:pt>
                <c:pt idx="98">
                  <c:v>-1.4882286834277587</c:v>
                </c:pt>
                <c:pt idx="99">
                  <c:v>-1.4838052319796613</c:v>
                </c:pt>
                <c:pt idx="100">
                  <c:v>-1.5014990377720381</c:v>
                </c:pt>
                <c:pt idx="101">
                  <c:v>-1.5076918697993718</c:v>
                </c:pt>
                <c:pt idx="102">
                  <c:v>-1.5180132565115771</c:v>
                </c:pt>
                <c:pt idx="103">
                  <c:v>-1.5227316047228874</c:v>
                </c:pt>
                <c:pt idx="104">
                  <c:v>-1.5262703658813734</c:v>
                </c:pt>
                <c:pt idx="105">
                  <c:v>-1.5259754691181606</c:v>
                </c:pt>
                <c:pt idx="106">
                  <c:v>-1.5271550561709848</c:v>
                </c:pt>
                <c:pt idx="107">
                  <c:v>-1.5218469144332758</c:v>
                </c:pt>
                <c:pt idx="108">
                  <c:v>-1.4944215154550926</c:v>
                </c:pt>
                <c:pt idx="109">
                  <c:v>-1.478939435386758</c:v>
                </c:pt>
                <c:pt idx="110">
                  <c:v>1.3069994360839154</c:v>
                </c:pt>
                <c:pt idx="114" formatCode="0.0000">
                  <c:v>-8.357642092338502E-2</c:v>
                </c:pt>
                <c:pt idx="115" formatCode="0.0000">
                  <c:v>-8.735109949244399E-2</c:v>
                </c:pt>
                <c:pt idx="116" formatCode="0.0000">
                  <c:v>2.3516220702817763</c:v>
                </c:pt>
                <c:pt idx="117" formatCode="0.0000">
                  <c:v>2.3548659346770497</c:v>
                </c:pt>
                <c:pt idx="118" formatCode="0.0000">
                  <c:v>-8.9474356187519533E-2</c:v>
                </c:pt>
                <c:pt idx="119" formatCode="0.0000">
                  <c:v>-5.8569175403503516E-2</c:v>
                </c:pt>
                <c:pt idx="120" formatCode="0.0000">
                  <c:v>-3.8752112916037848E-2</c:v>
                </c:pt>
                <c:pt idx="121" formatCode="0.0000">
                  <c:v>-1.4924454448953741E-2</c:v>
                </c:pt>
                <c:pt idx="122" formatCode="0.0000">
                  <c:v>-1.7283628554615592E-2</c:v>
                </c:pt>
                <c:pt idx="123" formatCode="0.0000">
                  <c:v>-2.60125727455175E-2</c:v>
                </c:pt>
                <c:pt idx="124" formatCode="0.0000">
                  <c:v>-3.3797847294168078E-2</c:v>
                </c:pt>
                <c:pt idx="125" formatCode="0.0000">
                  <c:v>-3.568518657868415E-2</c:v>
                </c:pt>
                <c:pt idx="126" formatCode="0.0000">
                  <c:v>-4.7009222285820801E-2</c:v>
                </c:pt>
                <c:pt idx="127" formatCode="0.0000">
                  <c:v>-3.7100691042067847E-2</c:v>
                </c:pt>
                <c:pt idx="128" formatCode="0.0000">
                  <c:v>-5.5643799512493555E-2</c:v>
                </c:pt>
                <c:pt idx="129" formatCode="0.0000">
                  <c:v>-0.12804685281491981</c:v>
                </c:pt>
                <c:pt idx="130" formatCode="0.0000">
                  <c:v>-0.11377384947572261</c:v>
                </c:pt>
                <c:pt idx="131" formatCode="0.0000">
                  <c:v>-0.1227387110771974</c:v>
                </c:pt>
                <c:pt idx="132" formatCode="0.0000">
                  <c:v>-0.11070692313838232</c:v>
                </c:pt>
                <c:pt idx="133" formatCode="0.0000">
                  <c:v>-0.11070692313838232</c:v>
                </c:pt>
                <c:pt idx="134" formatCode="0.0000">
                  <c:v>-0.1196717847398437</c:v>
                </c:pt>
                <c:pt idx="135" formatCode="0.0000">
                  <c:v>-0.11400976688628209</c:v>
                </c:pt>
                <c:pt idx="136" formatCode="0.0000">
                  <c:v>-0.13418070548960037</c:v>
                </c:pt>
                <c:pt idx="137" formatCode="0.0000">
                  <c:v>-0.11141467537007417</c:v>
                </c:pt>
                <c:pt idx="138" formatCode="0.0000">
                  <c:v>-0.11943586732928423</c:v>
                </c:pt>
                <c:pt idx="139" formatCode="0.0000">
                  <c:v>-0.12439013295115399</c:v>
                </c:pt>
                <c:pt idx="140" formatCode="0.0000">
                  <c:v>-0.12792889410962666</c:v>
                </c:pt>
                <c:pt idx="141" formatCode="0.0000">
                  <c:v>-0.12509788518284584</c:v>
                </c:pt>
                <c:pt idx="142" formatCode="0.0000">
                  <c:v>-0.13500641642657196</c:v>
                </c:pt>
                <c:pt idx="143" formatCode="0.0000">
                  <c:v>-0.12958031598358324</c:v>
                </c:pt>
                <c:pt idx="144" formatCode="0.0000">
                  <c:v>-9.9383865980755617E-2</c:v>
                </c:pt>
                <c:pt idx="145" formatCode="0.0000">
                  <c:v>-6.8477706647229644E-2</c:v>
                </c:pt>
                <c:pt idx="146" formatCode="0.0000">
                  <c:v>-6.6118532541581204E-2</c:v>
                </c:pt>
                <c:pt idx="147" formatCode="0.0000">
                  <c:v>-6.5646697720448843E-2</c:v>
                </c:pt>
                <c:pt idx="148" formatCode="0.0000">
                  <c:v>-8.1453164228309477E-2</c:v>
                </c:pt>
                <c:pt idx="149" formatCode="0.0000">
                  <c:v>-8.9946191008665313E-2</c:v>
                </c:pt>
                <c:pt idx="150" formatCode="0.0000">
                  <c:v>-8.6171512439606357E-2</c:v>
                </c:pt>
                <c:pt idx="151" formatCode="0.0000">
                  <c:v>-0.10174206153690751</c:v>
                </c:pt>
                <c:pt idx="152" formatCode="0.0000">
                  <c:v>-0.1033934834108641</c:v>
                </c:pt>
                <c:pt idx="153" formatCode="0.0000">
                  <c:v>-0.10221389635803989</c:v>
                </c:pt>
                <c:pt idx="154" formatCode="0.0000">
                  <c:v>-0.10693224456933677</c:v>
                </c:pt>
                <c:pt idx="155" formatCode="0.0000">
                  <c:v>-7.1544632984583342E-2</c:v>
                </c:pt>
                <c:pt idx="156" formatCode="0.0000">
                  <c:v>-6.9185458878934902E-2</c:v>
                </c:pt>
                <c:pt idx="157" formatCode="0.0000">
                  <c:v>-7.9801742354352889E-2</c:v>
                </c:pt>
                <c:pt idx="158" formatCode="0.0000">
                  <c:v>-7.5083394143056009E-2</c:v>
                </c:pt>
                <c:pt idx="159" formatCode="0.0000">
                  <c:v>-9.3956786988256935E-2</c:v>
                </c:pt>
                <c:pt idx="160" formatCode="0.0000">
                  <c:v>-0.10929141867498521</c:v>
                </c:pt>
                <c:pt idx="161" formatCode="0.0000">
                  <c:v>-9.4349982672531668E-2</c:v>
                </c:pt>
                <c:pt idx="162" formatCode="0.0000">
                  <c:v>-0.11165059278063365</c:v>
                </c:pt>
                <c:pt idx="163" formatCode="0.0000">
                  <c:v>-0.11518935393911971</c:v>
                </c:pt>
                <c:pt idx="164" formatCode="0.0000">
                  <c:v>-0.11636894099194393</c:v>
                </c:pt>
                <c:pt idx="165" formatCode="0.0000">
                  <c:v>-0.11165059278063365</c:v>
                </c:pt>
                <c:pt idx="166" formatCode="0.0000">
                  <c:v>-0.12580563741453768</c:v>
                </c:pt>
                <c:pt idx="167" formatCode="0.0000">
                  <c:v>-0.1033934834108641</c:v>
                </c:pt>
                <c:pt idx="168" formatCode="0.0000">
                  <c:v>-9.3956786988256935E-2</c:v>
                </c:pt>
                <c:pt idx="169" formatCode="0.0000">
                  <c:v>-9.8675135199567221E-2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1A-490A-8337-83BAD70F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46671"/>
        <c:axId val="848847151"/>
      </c:areaChart>
      <c:scatterChart>
        <c:scatterStyle val="smoothMarker"/>
        <c:varyColors val="0"/>
        <c:ser>
          <c:idx val="6"/>
          <c:order val="1"/>
          <c:tx>
            <c:strRef>
              <c:f>'Sand workbook'!$H$3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'Sand workbook'!$A$4:$A$173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'Sand workbook'!$H$4:$H$173</c:f>
              <c:numCache>
                <c:formatCode>General</c:formatCode>
                <c:ptCount val="17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1A-490A-8337-83BAD70F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46671"/>
        <c:axId val="848847151"/>
      </c:scatterChart>
      <c:dateAx>
        <c:axId val="8488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7151"/>
        <c:crosses val="autoZero"/>
        <c:auto val="1"/>
        <c:lblOffset val="100"/>
        <c:baseTimeUnit val="days"/>
      </c:dateAx>
      <c:valAx>
        <c:axId val="848847151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standardised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'Lower Komati '!$B$3</c:f>
              <c:strCache>
                <c:ptCount val="1"/>
                <c:pt idx="0">
                  <c:v>GW 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'!$B$4:$B$173</c:f>
              <c:numCache>
                <c:formatCode>0.00</c:formatCode>
                <c:ptCount val="170"/>
                <c:pt idx="0">
                  <c:v>232.05000000000004</c:v>
                </c:pt>
                <c:pt idx="1">
                  <c:v>231.53333333333333</c:v>
                </c:pt>
                <c:pt idx="2">
                  <c:v>231.50333333333333</c:v>
                </c:pt>
                <c:pt idx="3">
                  <c:v>231.47333333333336</c:v>
                </c:pt>
                <c:pt idx="4">
                  <c:v>231.15</c:v>
                </c:pt>
                <c:pt idx="5">
                  <c:v>231.03</c:v>
                </c:pt>
                <c:pt idx="6">
                  <c:v>230.96666666666667</c:v>
                </c:pt>
                <c:pt idx="7">
                  <c:v>230.71666666666667</c:v>
                </c:pt>
                <c:pt idx="8">
                  <c:v>230.67333333333332</c:v>
                </c:pt>
                <c:pt idx="9">
                  <c:v>230.38</c:v>
                </c:pt>
                <c:pt idx="10">
                  <c:v>232.07600000000002</c:v>
                </c:pt>
                <c:pt idx="11">
                  <c:v>232.07333333333335</c:v>
                </c:pt>
                <c:pt idx="12">
                  <c:v>232.23666666666668</c:v>
                </c:pt>
                <c:pt idx="13">
                  <c:v>233.30333333333337</c:v>
                </c:pt>
                <c:pt idx="14">
                  <c:v>232.61333333333334</c:v>
                </c:pt>
                <c:pt idx="15">
                  <c:v>232.33666666666667</c:v>
                </c:pt>
                <c:pt idx="16">
                  <c:v>232.35333333333332</c:v>
                </c:pt>
                <c:pt idx="17">
                  <c:v>232.23666666666668</c:v>
                </c:pt>
                <c:pt idx="18">
                  <c:v>232.22333333333336</c:v>
                </c:pt>
                <c:pt idx="19">
                  <c:v>232.14333333333335</c:v>
                </c:pt>
                <c:pt idx="20">
                  <c:v>232.19666666666669</c:v>
                </c:pt>
                <c:pt idx="21">
                  <c:v>232.79666666666671</c:v>
                </c:pt>
                <c:pt idx="22">
                  <c:v>233.25833333333335</c:v>
                </c:pt>
                <c:pt idx="23">
                  <c:v>229.92999999999998</c:v>
                </c:pt>
                <c:pt idx="24">
                  <c:v>230.37333333333333</c:v>
                </c:pt>
                <c:pt idx="25">
                  <c:v>232.84</c:v>
                </c:pt>
                <c:pt idx="26">
                  <c:v>232.82666666666668</c:v>
                </c:pt>
                <c:pt idx="27">
                  <c:v>232.8366666666667</c:v>
                </c:pt>
                <c:pt idx="28">
                  <c:v>232.44333333333336</c:v>
                </c:pt>
                <c:pt idx="29">
                  <c:v>233.41333333333333</c:v>
                </c:pt>
                <c:pt idx="30">
                  <c:v>231.81333333333336</c:v>
                </c:pt>
                <c:pt idx="31">
                  <c:v>231.64000000000001</c:v>
                </c:pt>
                <c:pt idx="32">
                  <c:v>231.62</c:v>
                </c:pt>
                <c:pt idx="33">
                  <c:v>231.41333333333333</c:v>
                </c:pt>
                <c:pt idx="34">
                  <c:v>232.75666666666666</c:v>
                </c:pt>
                <c:pt idx="35">
                  <c:v>232.96333333333334</c:v>
                </c:pt>
                <c:pt idx="36">
                  <c:v>233.03333333333333</c:v>
                </c:pt>
                <c:pt idx="37">
                  <c:v>233.13333333333333</c:v>
                </c:pt>
                <c:pt idx="38">
                  <c:v>234.19666666666669</c:v>
                </c:pt>
                <c:pt idx="39">
                  <c:v>233.81000000000003</c:v>
                </c:pt>
                <c:pt idx="40">
                  <c:v>233.36666666666667</c:v>
                </c:pt>
                <c:pt idx="41">
                  <c:v>233.57333333333335</c:v>
                </c:pt>
                <c:pt idx="42">
                  <c:v>233.05333333333331</c:v>
                </c:pt>
                <c:pt idx="43">
                  <c:v>232.95666666666668</c:v>
                </c:pt>
                <c:pt idx="44">
                  <c:v>232.90666666666667</c:v>
                </c:pt>
                <c:pt idx="45">
                  <c:v>232.94000000000003</c:v>
                </c:pt>
                <c:pt idx="46">
                  <c:v>231.00333333333333</c:v>
                </c:pt>
                <c:pt idx="47">
                  <c:v>231.821</c:v>
                </c:pt>
                <c:pt idx="48">
                  <c:v>231.50733333333332</c:v>
                </c:pt>
                <c:pt idx="49">
                  <c:v>231.29833333333332</c:v>
                </c:pt>
                <c:pt idx="50">
                  <c:v>231.64333333333332</c:v>
                </c:pt>
                <c:pt idx="51">
                  <c:v>231.30566666666667</c:v>
                </c:pt>
                <c:pt idx="52">
                  <c:v>230.99733333333333</c:v>
                </c:pt>
                <c:pt idx="53">
                  <c:v>230.78133333333335</c:v>
                </c:pt>
                <c:pt idx="54">
                  <c:v>230.4606666666667</c:v>
                </c:pt>
                <c:pt idx="55">
                  <c:v>230.48966666666669</c:v>
                </c:pt>
                <c:pt idx="56">
                  <c:v>230.45166666666668</c:v>
                </c:pt>
                <c:pt idx="57">
                  <c:v>229.77166666666668</c:v>
                </c:pt>
                <c:pt idx="58">
                  <c:v>230.32000000000002</c:v>
                </c:pt>
                <c:pt idx="59">
                  <c:v>230.24333333333334</c:v>
                </c:pt>
                <c:pt idx="60">
                  <c:v>230.22</c:v>
                </c:pt>
                <c:pt idx="61">
                  <c:v>230.13666666666666</c:v>
                </c:pt>
                <c:pt idx="62">
                  <c:v>230.1866666666667</c:v>
                </c:pt>
                <c:pt idx="63">
                  <c:v>230.01333333333332</c:v>
                </c:pt>
                <c:pt idx="64">
                  <c:v>229.93333333333331</c:v>
                </c:pt>
                <c:pt idx="65">
                  <c:v>229.79666666666671</c:v>
                </c:pt>
                <c:pt idx="66">
                  <c:v>229.76</c:v>
                </c:pt>
                <c:pt idx="67">
                  <c:v>229.72333333333336</c:v>
                </c:pt>
                <c:pt idx="68">
                  <c:v>229.59333333333333</c:v>
                </c:pt>
                <c:pt idx="69">
                  <c:v>229.58666666666667</c:v>
                </c:pt>
                <c:pt idx="70">
                  <c:v>229.85333333333335</c:v>
                </c:pt>
                <c:pt idx="71">
                  <c:v>229.92</c:v>
                </c:pt>
                <c:pt idx="72">
                  <c:v>230.31166666666664</c:v>
                </c:pt>
                <c:pt idx="73">
                  <c:v>230.70333333333335</c:v>
                </c:pt>
                <c:pt idx="74">
                  <c:v>230.91666666666666</c:v>
                </c:pt>
                <c:pt idx="75">
                  <c:v>230.89333333333335</c:v>
                </c:pt>
                <c:pt idx="76">
                  <c:v>230.70500000000001</c:v>
                </c:pt>
                <c:pt idx="77">
                  <c:v>230.58333333333334</c:v>
                </c:pt>
                <c:pt idx="78">
                  <c:v>230.48333333333335</c:v>
                </c:pt>
                <c:pt idx="79">
                  <c:v>230.37</c:v>
                </c:pt>
                <c:pt idx="80">
                  <c:v>230.29</c:v>
                </c:pt>
                <c:pt idx="81">
                  <c:v>230.16</c:v>
                </c:pt>
                <c:pt idx="82">
                  <c:v>230.54666666666665</c:v>
                </c:pt>
                <c:pt idx="83">
                  <c:v>230.61333333333334</c:v>
                </c:pt>
                <c:pt idx="84">
                  <c:v>227.94</c:v>
                </c:pt>
                <c:pt idx="85">
                  <c:v>228.04000000000002</c:v>
                </c:pt>
                <c:pt idx="86">
                  <c:v>228.05500000000001</c:v>
                </c:pt>
                <c:pt idx="87">
                  <c:v>228.3725</c:v>
                </c:pt>
                <c:pt idx="88">
                  <c:v>228.405</c:v>
                </c:pt>
                <c:pt idx="89">
                  <c:v>230.99333333333334</c:v>
                </c:pt>
                <c:pt idx="90">
                  <c:v>230.97333333333336</c:v>
                </c:pt>
                <c:pt idx="91">
                  <c:v>231.03333333333333</c:v>
                </c:pt>
                <c:pt idx="92">
                  <c:v>230.94333333333336</c:v>
                </c:pt>
                <c:pt idx="93">
                  <c:v>230.93000000000004</c:v>
                </c:pt>
                <c:pt idx="94">
                  <c:v>230.77666666666667</c:v>
                </c:pt>
                <c:pt idx="95">
                  <c:v>230.93999999999997</c:v>
                </c:pt>
                <c:pt idx="96">
                  <c:v>231.14833333333331</c:v>
                </c:pt>
                <c:pt idx="97">
                  <c:v>231.35666666666665</c:v>
                </c:pt>
                <c:pt idx="98">
                  <c:v>231.46666666666667</c:v>
                </c:pt>
                <c:pt idx="99">
                  <c:v>231.69000000000003</c:v>
                </c:pt>
                <c:pt idx="100">
                  <c:v>231.22</c:v>
                </c:pt>
                <c:pt idx="101">
                  <c:v>231.13333333333333</c:v>
                </c:pt>
                <c:pt idx="102">
                  <c:v>228.41499999999999</c:v>
                </c:pt>
                <c:pt idx="103">
                  <c:v>228.39499999999998</c:v>
                </c:pt>
                <c:pt idx="104">
                  <c:v>230.82000000000002</c:v>
                </c:pt>
                <c:pt idx="105">
                  <c:v>230.63666666666668</c:v>
                </c:pt>
                <c:pt idx="106">
                  <c:v>230.58666666666667</c:v>
                </c:pt>
                <c:pt idx="107">
                  <c:v>230.99</c:v>
                </c:pt>
                <c:pt idx="108">
                  <c:v>231.32000000000002</c:v>
                </c:pt>
                <c:pt idx="109">
                  <c:v>231.66333333333333</c:v>
                </c:pt>
                <c:pt idx="110">
                  <c:v>231.52333333333331</c:v>
                </c:pt>
                <c:pt idx="114" formatCode="0.000">
                  <c:v>231.61</c:v>
                </c:pt>
                <c:pt idx="115" formatCode="0.000">
                  <c:v>231.09</c:v>
                </c:pt>
                <c:pt idx="116" formatCode="0.000">
                  <c:v>230.64000000000001</c:v>
                </c:pt>
                <c:pt idx="117" formatCode="0.000">
                  <c:v>230.81666666666669</c:v>
                </c:pt>
                <c:pt idx="118" formatCode="0.000">
                  <c:v>230.99333333333334</c:v>
                </c:pt>
                <c:pt idx="119" formatCode="0.000">
                  <c:v>231</c:v>
                </c:pt>
                <c:pt idx="120" formatCode="0.000">
                  <c:v>231.29666666666665</c:v>
                </c:pt>
                <c:pt idx="121" formatCode="0.000">
                  <c:v>233.99666666666667</c:v>
                </c:pt>
                <c:pt idx="122" formatCode="0.000">
                  <c:v>233.48333333333335</c:v>
                </c:pt>
                <c:pt idx="123" formatCode="0.000">
                  <c:v>232.81666666666669</c:v>
                </c:pt>
                <c:pt idx="124" formatCode="0.000">
                  <c:v>232.44000000000003</c:v>
                </c:pt>
                <c:pt idx="125" formatCode="0.000">
                  <c:v>232.11333333333332</c:v>
                </c:pt>
                <c:pt idx="126" formatCode="0.000">
                  <c:v>231.87666666666667</c:v>
                </c:pt>
                <c:pt idx="127" formatCode="0.000">
                  <c:v>231.70666666666668</c:v>
                </c:pt>
                <c:pt idx="128" formatCode="0.000">
                  <c:v>231.75</c:v>
                </c:pt>
                <c:pt idx="129" formatCode="0.000">
                  <c:v>231.92</c:v>
                </c:pt>
                <c:pt idx="130" formatCode="0.000">
                  <c:v>231.41333333333333</c:v>
                </c:pt>
                <c:pt idx="131" formatCode="0.000">
                  <c:v>231.42666666666665</c:v>
                </c:pt>
                <c:pt idx="132" formatCode="0.000">
                  <c:v>232.75</c:v>
                </c:pt>
                <c:pt idx="133" formatCode="0.000">
                  <c:v>232.47666666666666</c:v>
                </c:pt>
                <c:pt idx="134" formatCode="0.000">
                  <c:v>232.01333333333332</c:v>
                </c:pt>
                <c:pt idx="135" formatCode="0.000">
                  <c:v>231.97</c:v>
                </c:pt>
                <c:pt idx="136" formatCode="0.000">
                  <c:v>231.99</c:v>
                </c:pt>
                <c:pt idx="137" formatCode="0.000">
                  <c:v>232.18000000000004</c:v>
                </c:pt>
                <c:pt idx="138" formatCode="0.000">
                  <c:v>231.79399999999998</c:v>
                </c:pt>
                <c:pt idx="139" formatCode="0.000">
                  <c:v>231.62666666666667</c:v>
                </c:pt>
                <c:pt idx="140" formatCode="0.000">
                  <c:v>231.36333333333334</c:v>
                </c:pt>
                <c:pt idx="141" formatCode="0.000">
                  <c:v>231.05666666666664</c:v>
                </c:pt>
                <c:pt idx="142" formatCode="0.000">
                  <c:v>231.21333333333334</c:v>
                </c:pt>
                <c:pt idx="143" formatCode="0.000">
                  <c:v>231.56666666666663</c:v>
                </c:pt>
                <c:pt idx="144" formatCode="0.000">
                  <c:v>231.70666666666668</c:v>
                </c:pt>
                <c:pt idx="145" formatCode="0.000">
                  <c:v>232.86666666666665</c:v>
                </c:pt>
                <c:pt idx="146" formatCode="0.000">
                  <c:v>233.61666666666667</c:v>
                </c:pt>
                <c:pt idx="147" formatCode="0.000">
                  <c:v>232.47333333333333</c:v>
                </c:pt>
                <c:pt idx="148" formatCode="0.000">
                  <c:v>232.17333333333332</c:v>
                </c:pt>
                <c:pt idx="149" formatCode="0.000">
                  <c:v>231.89666666666668</c:v>
                </c:pt>
                <c:pt idx="150" formatCode="0.000">
                  <c:v>231.49333333333334</c:v>
                </c:pt>
                <c:pt idx="151" formatCode="0.000">
                  <c:v>231.12666666666667</c:v>
                </c:pt>
                <c:pt idx="152" formatCode="0.000">
                  <c:v>231.02666666666667</c:v>
                </c:pt>
                <c:pt idx="153" formatCode="0.000">
                  <c:v>230.99</c:v>
                </c:pt>
                <c:pt idx="154" formatCode="0.000">
                  <c:v>231.00666666666666</c:v>
                </c:pt>
                <c:pt idx="155" formatCode="0.000">
                  <c:v>231.25</c:v>
                </c:pt>
                <c:pt idx="156" formatCode="0.000">
                  <c:v>231.99</c:v>
                </c:pt>
                <c:pt idx="157" formatCode="0.000">
                  <c:v>231.95000000000002</c:v>
                </c:pt>
                <c:pt idx="158" formatCode="0.000">
                  <c:v>231.86666666666667</c:v>
                </c:pt>
                <c:pt idx="159" formatCode="0.000">
                  <c:v>231.96</c:v>
                </c:pt>
                <c:pt idx="160" formatCode="0.000">
                  <c:v>231.71333333333334</c:v>
                </c:pt>
                <c:pt idx="161" formatCode="General">
                  <c:v>231.65333333333334</c:v>
                </c:pt>
                <c:pt idx="162" formatCode="General">
                  <c:v>231.37833333333333</c:v>
                </c:pt>
                <c:pt idx="163" formatCode="General">
                  <c:v>231.15666666666667</c:v>
                </c:pt>
                <c:pt idx="164" formatCode="General">
                  <c:v>231.04333333333332</c:v>
                </c:pt>
                <c:pt idx="165" formatCode="General">
                  <c:v>230.6933333333333</c:v>
                </c:pt>
                <c:pt idx="166" formatCode="General">
                  <c:v>230.89333333333332</c:v>
                </c:pt>
                <c:pt idx="167" formatCode="General">
                  <c:v>230.84666666666666</c:v>
                </c:pt>
                <c:pt idx="168" formatCode="General">
                  <c:v>232.58666666666667</c:v>
                </c:pt>
                <c:pt idx="169" formatCode="General">
                  <c:v>231.95000000000002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B1-4A37-97D9-4E684C814C74}"/>
            </c:ext>
          </c:extLst>
        </c:ser>
        <c:ser>
          <c:idx val="1"/>
          <c:order val="1"/>
          <c:tx>
            <c:strRef>
              <c:f>'Lower Komati '!$C$3</c:f>
              <c:strCache>
                <c:ptCount val="1"/>
                <c:pt idx="0">
                  <c:v>Average GW 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'!$C$4:$C$173</c:f>
              <c:numCache>
                <c:formatCode>0.00</c:formatCode>
                <c:ptCount val="170"/>
                <c:pt idx="0">
                  <c:v>231.36542215568863</c:v>
                </c:pt>
                <c:pt idx="1">
                  <c:v>231.36542215568863</c:v>
                </c:pt>
                <c:pt idx="2">
                  <c:v>231.36542215568863</c:v>
                </c:pt>
                <c:pt idx="3">
                  <c:v>231.36542215568863</c:v>
                </c:pt>
                <c:pt idx="4">
                  <c:v>231.36542215568863</c:v>
                </c:pt>
                <c:pt idx="5">
                  <c:v>231.36542215568863</c:v>
                </c:pt>
                <c:pt idx="6">
                  <c:v>231.36542215568863</c:v>
                </c:pt>
                <c:pt idx="7">
                  <c:v>231.36542215568863</c:v>
                </c:pt>
                <c:pt idx="8">
                  <c:v>231.36542215568863</c:v>
                </c:pt>
                <c:pt idx="9">
                  <c:v>231.36542215568863</c:v>
                </c:pt>
                <c:pt idx="10">
                  <c:v>231.36542215568863</c:v>
                </c:pt>
                <c:pt idx="11">
                  <c:v>231.36542215568863</c:v>
                </c:pt>
                <c:pt idx="12">
                  <c:v>231.36542215568863</c:v>
                </c:pt>
                <c:pt idx="13">
                  <c:v>231.36542215568863</c:v>
                </c:pt>
                <c:pt idx="14">
                  <c:v>231.36542215568863</c:v>
                </c:pt>
                <c:pt idx="15">
                  <c:v>231.36542215568863</c:v>
                </c:pt>
                <c:pt idx="16">
                  <c:v>231.36542215568863</c:v>
                </c:pt>
                <c:pt idx="17">
                  <c:v>231.36542215568863</c:v>
                </c:pt>
                <c:pt idx="18">
                  <c:v>231.36542215568863</c:v>
                </c:pt>
                <c:pt idx="19">
                  <c:v>231.36542215568863</c:v>
                </c:pt>
                <c:pt idx="20">
                  <c:v>231.36542215568863</c:v>
                </c:pt>
                <c:pt idx="21">
                  <c:v>231.36542215568863</c:v>
                </c:pt>
                <c:pt idx="22">
                  <c:v>231.36542215568863</c:v>
                </c:pt>
                <c:pt idx="23">
                  <c:v>231.36542215568863</c:v>
                </c:pt>
                <c:pt idx="24">
                  <c:v>231.36542215568863</c:v>
                </c:pt>
                <c:pt idx="25">
                  <c:v>231.36542215568863</c:v>
                </c:pt>
                <c:pt idx="26">
                  <c:v>231.36542215568863</c:v>
                </c:pt>
                <c:pt idx="27">
                  <c:v>231.36542215568863</c:v>
                </c:pt>
                <c:pt idx="28">
                  <c:v>231.36542215568863</c:v>
                </c:pt>
                <c:pt idx="29">
                  <c:v>231.36542215568863</c:v>
                </c:pt>
                <c:pt idx="30">
                  <c:v>231.36542215568863</c:v>
                </c:pt>
                <c:pt idx="31">
                  <c:v>231.36542215568863</c:v>
                </c:pt>
                <c:pt idx="32">
                  <c:v>231.36542215568863</c:v>
                </c:pt>
                <c:pt idx="33">
                  <c:v>231.36542215568863</c:v>
                </c:pt>
                <c:pt idx="34">
                  <c:v>231.36542215568863</c:v>
                </c:pt>
                <c:pt idx="35">
                  <c:v>231.36542215568863</c:v>
                </c:pt>
                <c:pt idx="36">
                  <c:v>231.36542215568863</c:v>
                </c:pt>
                <c:pt idx="37">
                  <c:v>231.36542215568863</c:v>
                </c:pt>
                <c:pt idx="38">
                  <c:v>231.36542215568863</c:v>
                </c:pt>
                <c:pt idx="39">
                  <c:v>231.36542215568863</c:v>
                </c:pt>
                <c:pt idx="40">
                  <c:v>231.36542215568863</c:v>
                </c:pt>
                <c:pt idx="41">
                  <c:v>231.36542215568863</c:v>
                </c:pt>
                <c:pt idx="42">
                  <c:v>231.36542215568863</c:v>
                </c:pt>
                <c:pt idx="43">
                  <c:v>231.36542215568863</c:v>
                </c:pt>
                <c:pt idx="44">
                  <c:v>231.36542215568863</c:v>
                </c:pt>
                <c:pt idx="45">
                  <c:v>231.36542215568863</c:v>
                </c:pt>
                <c:pt idx="46">
                  <c:v>231.36542215568863</c:v>
                </c:pt>
                <c:pt idx="47">
                  <c:v>231.36542215568863</c:v>
                </c:pt>
                <c:pt idx="48">
                  <c:v>231.36542215568863</c:v>
                </c:pt>
                <c:pt idx="49">
                  <c:v>231.36542215568863</c:v>
                </c:pt>
                <c:pt idx="50">
                  <c:v>231.36542215568863</c:v>
                </c:pt>
                <c:pt idx="51">
                  <c:v>231.36542215568863</c:v>
                </c:pt>
                <c:pt idx="52">
                  <c:v>231.36542215568863</c:v>
                </c:pt>
                <c:pt idx="53">
                  <c:v>231.36542215568863</c:v>
                </c:pt>
                <c:pt idx="54">
                  <c:v>231.36542215568863</c:v>
                </c:pt>
                <c:pt idx="55">
                  <c:v>231.36542215568863</c:v>
                </c:pt>
                <c:pt idx="56">
                  <c:v>231.36542215568863</c:v>
                </c:pt>
                <c:pt idx="57">
                  <c:v>231.36542215568863</c:v>
                </c:pt>
                <c:pt idx="58">
                  <c:v>231.36542215568863</c:v>
                </c:pt>
                <c:pt idx="59">
                  <c:v>231.36542215568863</c:v>
                </c:pt>
                <c:pt idx="60">
                  <c:v>231.36542215568863</c:v>
                </c:pt>
                <c:pt idx="61">
                  <c:v>231.36542215568863</c:v>
                </c:pt>
                <c:pt idx="62">
                  <c:v>231.36542215568863</c:v>
                </c:pt>
                <c:pt idx="63">
                  <c:v>231.36542215568863</c:v>
                </c:pt>
                <c:pt idx="64">
                  <c:v>231.36542215568863</c:v>
                </c:pt>
                <c:pt idx="65">
                  <c:v>231.36542215568863</c:v>
                </c:pt>
                <c:pt idx="66">
                  <c:v>231.36542215568863</c:v>
                </c:pt>
                <c:pt idx="67">
                  <c:v>231.36542215568863</c:v>
                </c:pt>
                <c:pt idx="68">
                  <c:v>231.36542215568863</c:v>
                </c:pt>
                <c:pt idx="69">
                  <c:v>231.36542215568863</c:v>
                </c:pt>
                <c:pt idx="70">
                  <c:v>231.36542215568863</c:v>
                </c:pt>
                <c:pt idx="71">
                  <c:v>231.36542215568863</c:v>
                </c:pt>
                <c:pt idx="72">
                  <c:v>231.36542215568863</c:v>
                </c:pt>
                <c:pt idx="73">
                  <c:v>231.36542215568863</c:v>
                </c:pt>
                <c:pt idx="74">
                  <c:v>231.36542215568863</c:v>
                </c:pt>
                <c:pt idx="75">
                  <c:v>231.36542215568863</c:v>
                </c:pt>
                <c:pt idx="76">
                  <c:v>231.36542215568863</c:v>
                </c:pt>
                <c:pt idx="77">
                  <c:v>231.36542215568863</c:v>
                </c:pt>
                <c:pt idx="78">
                  <c:v>231.36542215568863</c:v>
                </c:pt>
                <c:pt idx="79">
                  <c:v>231.36542215568863</c:v>
                </c:pt>
                <c:pt idx="80">
                  <c:v>231.36542215568863</c:v>
                </c:pt>
                <c:pt idx="81">
                  <c:v>231.36542215568863</c:v>
                </c:pt>
                <c:pt idx="82">
                  <c:v>231.36542215568863</c:v>
                </c:pt>
                <c:pt idx="83">
                  <c:v>231.36542215568863</c:v>
                </c:pt>
                <c:pt idx="84">
                  <c:v>231.36542215568863</c:v>
                </c:pt>
                <c:pt idx="85">
                  <c:v>231.36542215568863</c:v>
                </c:pt>
                <c:pt idx="86">
                  <c:v>231.36542215568863</c:v>
                </c:pt>
                <c:pt idx="87">
                  <c:v>231.36542215568863</c:v>
                </c:pt>
                <c:pt idx="88">
                  <c:v>231.36542215568863</c:v>
                </c:pt>
                <c:pt idx="89">
                  <c:v>231.36542215568863</c:v>
                </c:pt>
                <c:pt idx="90">
                  <c:v>231.36542215568863</c:v>
                </c:pt>
                <c:pt idx="91">
                  <c:v>231.36542215568863</c:v>
                </c:pt>
                <c:pt idx="92">
                  <c:v>231.36542215568863</c:v>
                </c:pt>
                <c:pt idx="93">
                  <c:v>231.36542215568863</c:v>
                </c:pt>
                <c:pt idx="94">
                  <c:v>231.36542215568863</c:v>
                </c:pt>
                <c:pt idx="95">
                  <c:v>231.36542215568863</c:v>
                </c:pt>
                <c:pt idx="96">
                  <c:v>231.36542215568863</c:v>
                </c:pt>
                <c:pt idx="97">
                  <c:v>231.36542215568863</c:v>
                </c:pt>
                <c:pt idx="98">
                  <c:v>231.36542215568863</c:v>
                </c:pt>
                <c:pt idx="99">
                  <c:v>231.36542215568863</c:v>
                </c:pt>
                <c:pt idx="100">
                  <c:v>231.36542215568863</c:v>
                </c:pt>
                <c:pt idx="101">
                  <c:v>231.36542215568863</c:v>
                </c:pt>
                <c:pt idx="102">
                  <c:v>231.36542215568863</c:v>
                </c:pt>
                <c:pt idx="103">
                  <c:v>231.36542215568863</c:v>
                </c:pt>
                <c:pt idx="104">
                  <c:v>231.36542215568863</c:v>
                </c:pt>
                <c:pt idx="105">
                  <c:v>231.36542215568863</c:v>
                </c:pt>
                <c:pt idx="106">
                  <c:v>231.36542215568863</c:v>
                </c:pt>
                <c:pt idx="107">
                  <c:v>231.36542215568863</c:v>
                </c:pt>
                <c:pt idx="108">
                  <c:v>231.36542215568863</c:v>
                </c:pt>
                <c:pt idx="109">
                  <c:v>231.36542215568863</c:v>
                </c:pt>
                <c:pt idx="110">
                  <c:v>231.36542215568863</c:v>
                </c:pt>
                <c:pt idx="111">
                  <c:v>231.36542215568863</c:v>
                </c:pt>
                <c:pt idx="112">
                  <c:v>231.36542215568863</c:v>
                </c:pt>
                <c:pt idx="113">
                  <c:v>231.36542215568863</c:v>
                </c:pt>
                <c:pt idx="114">
                  <c:v>231.36542215568863</c:v>
                </c:pt>
                <c:pt idx="115">
                  <c:v>231.36542215568863</c:v>
                </c:pt>
                <c:pt idx="116">
                  <c:v>231.36542215568863</c:v>
                </c:pt>
                <c:pt idx="117">
                  <c:v>231.36542215568863</c:v>
                </c:pt>
                <c:pt idx="118">
                  <c:v>231.36542215568863</c:v>
                </c:pt>
                <c:pt idx="119">
                  <c:v>231.36542215568863</c:v>
                </c:pt>
                <c:pt idx="120">
                  <c:v>231.36542215568863</c:v>
                </c:pt>
                <c:pt idx="121">
                  <c:v>231.36542215568863</c:v>
                </c:pt>
                <c:pt idx="122">
                  <c:v>231.36542215568863</c:v>
                </c:pt>
                <c:pt idx="123">
                  <c:v>231.36542215568863</c:v>
                </c:pt>
                <c:pt idx="124">
                  <c:v>231.36542215568863</c:v>
                </c:pt>
                <c:pt idx="125">
                  <c:v>231.36542215568863</c:v>
                </c:pt>
                <c:pt idx="126">
                  <c:v>231.36542215568863</c:v>
                </c:pt>
                <c:pt idx="127">
                  <c:v>231.36542215568863</c:v>
                </c:pt>
                <c:pt idx="128">
                  <c:v>231.36542215568863</c:v>
                </c:pt>
                <c:pt idx="129">
                  <c:v>231.36542215568863</c:v>
                </c:pt>
                <c:pt idx="130">
                  <c:v>231.36542215568863</c:v>
                </c:pt>
                <c:pt idx="131">
                  <c:v>231.36542215568863</c:v>
                </c:pt>
                <c:pt idx="132">
                  <c:v>231.36542215568863</c:v>
                </c:pt>
                <c:pt idx="133">
                  <c:v>231.36542215568863</c:v>
                </c:pt>
                <c:pt idx="134">
                  <c:v>231.36542215568863</c:v>
                </c:pt>
                <c:pt idx="135">
                  <c:v>231.36542215568863</c:v>
                </c:pt>
                <c:pt idx="136">
                  <c:v>231.36542215568863</c:v>
                </c:pt>
                <c:pt idx="137">
                  <c:v>231.36542215568863</c:v>
                </c:pt>
                <c:pt idx="138">
                  <c:v>231.36542215568863</c:v>
                </c:pt>
                <c:pt idx="139">
                  <c:v>231.36542215568863</c:v>
                </c:pt>
                <c:pt idx="140">
                  <c:v>231.36542215568863</c:v>
                </c:pt>
                <c:pt idx="141">
                  <c:v>231.36542215568863</c:v>
                </c:pt>
                <c:pt idx="142">
                  <c:v>231.36542215568863</c:v>
                </c:pt>
                <c:pt idx="143">
                  <c:v>231.36542215568863</c:v>
                </c:pt>
                <c:pt idx="144">
                  <c:v>231.36542215568863</c:v>
                </c:pt>
                <c:pt idx="145">
                  <c:v>231.36542215568863</c:v>
                </c:pt>
                <c:pt idx="146">
                  <c:v>231.36542215568863</c:v>
                </c:pt>
                <c:pt idx="147">
                  <c:v>231.36542215568863</c:v>
                </c:pt>
                <c:pt idx="148">
                  <c:v>231.36542215568863</c:v>
                </c:pt>
                <c:pt idx="149">
                  <c:v>231.36542215568863</c:v>
                </c:pt>
                <c:pt idx="150">
                  <c:v>231.36542215568863</c:v>
                </c:pt>
                <c:pt idx="151">
                  <c:v>231.36542215568863</c:v>
                </c:pt>
                <c:pt idx="152">
                  <c:v>231.36542215568863</c:v>
                </c:pt>
                <c:pt idx="153">
                  <c:v>231.36542215568863</c:v>
                </c:pt>
                <c:pt idx="154">
                  <c:v>231.36542215568863</c:v>
                </c:pt>
                <c:pt idx="155">
                  <c:v>231.36542215568863</c:v>
                </c:pt>
                <c:pt idx="156" formatCode="0.000">
                  <c:v>231.36542215568863</c:v>
                </c:pt>
                <c:pt idx="157" formatCode="0.000">
                  <c:v>231.36542215568863</c:v>
                </c:pt>
                <c:pt idx="158" formatCode="0.000">
                  <c:v>231.36542215568863</c:v>
                </c:pt>
                <c:pt idx="159" formatCode="0.000">
                  <c:v>231.36542215568863</c:v>
                </c:pt>
                <c:pt idx="160" formatCode="0.000">
                  <c:v>231.36542215568863</c:v>
                </c:pt>
                <c:pt idx="161" formatCode="0.000">
                  <c:v>231.36542215568863</c:v>
                </c:pt>
                <c:pt idx="162" formatCode="0.000">
                  <c:v>231.36542215568863</c:v>
                </c:pt>
                <c:pt idx="163" formatCode="0.000">
                  <c:v>231.36542215568863</c:v>
                </c:pt>
                <c:pt idx="164" formatCode="0.000">
                  <c:v>231.36542215568863</c:v>
                </c:pt>
                <c:pt idx="165" formatCode="0.000">
                  <c:v>231.36542215568863</c:v>
                </c:pt>
                <c:pt idx="166" formatCode="0.000">
                  <c:v>231.36542215568863</c:v>
                </c:pt>
                <c:pt idx="167" formatCode="0.000">
                  <c:v>231.36542215568863</c:v>
                </c:pt>
                <c:pt idx="168" formatCode="0.000">
                  <c:v>231.36542215568863</c:v>
                </c:pt>
                <c:pt idx="169" formatCode="0.000">
                  <c:v>231.36542215568863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B1-4A37-97D9-4E684C814C74}"/>
            </c:ext>
          </c:extLst>
        </c:ser>
        <c:ser>
          <c:idx val="2"/>
          <c:order val="2"/>
          <c:tx>
            <c:strRef>
              <c:f>'Lower Komati '!$D$3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'!$D$4:$D$173</c:f>
              <c:numCache>
                <c:formatCode>0.00</c:formatCode>
                <c:ptCount val="170"/>
                <c:pt idx="0">
                  <c:v>1.1814497745881174</c:v>
                </c:pt>
                <c:pt idx="1">
                  <c:v>1.1814497745881174</c:v>
                </c:pt>
                <c:pt idx="2">
                  <c:v>1.1814497745881174</c:v>
                </c:pt>
                <c:pt idx="3">
                  <c:v>1.1814497745881174</c:v>
                </c:pt>
                <c:pt idx="4">
                  <c:v>1.1814497745881174</c:v>
                </c:pt>
                <c:pt idx="5">
                  <c:v>1.1814497745881174</c:v>
                </c:pt>
                <c:pt idx="6">
                  <c:v>1.1814497745881174</c:v>
                </c:pt>
                <c:pt idx="7">
                  <c:v>1.1814497745881174</c:v>
                </c:pt>
                <c:pt idx="8">
                  <c:v>1.1814497745881174</c:v>
                </c:pt>
                <c:pt idx="9">
                  <c:v>1.1814497745881174</c:v>
                </c:pt>
                <c:pt idx="10">
                  <c:v>1.1814497745881174</c:v>
                </c:pt>
                <c:pt idx="11">
                  <c:v>1.1814497745881174</c:v>
                </c:pt>
                <c:pt idx="12">
                  <c:v>1.1814497745881174</c:v>
                </c:pt>
                <c:pt idx="13">
                  <c:v>1.1814497745881174</c:v>
                </c:pt>
                <c:pt idx="14">
                  <c:v>1.1814497745881174</c:v>
                </c:pt>
                <c:pt idx="15">
                  <c:v>1.1814497745881174</c:v>
                </c:pt>
                <c:pt idx="16">
                  <c:v>1.1814497745881174</c:v>
                </c:pt>
                <c:pt idx="17">
                  <c:v>1.1814497745881174</c:v>
                </c:pt>
                <c:pt idx="18">
                  <c:v>1.1814497745881174</c:v>
                </c:pt>
                <c:pt idx="19">
                  <c:v>1.1814497745881174</c:v>
                </c:pt>
                <c:pt idx="20">
                  <c:v>1.1814497745881174</c:v>
                </c:pt>
                <c:pt idx="21">
                  <c:v>1.1814497745881174</c:v>
                </c:pt>
                <c:pt idx="22">
                  <c:v>1.1814497745881174</c:v>
                </c:pt>
                <c:pt idx="23">
                  <c:v>1.1814497745881174</c:v>
                </c:pt>
                <c:pt idx="24">
                  <c:v>1.1814497745881174</c:v>
                </c:pt>
                <c:pt idx="25">
                  <c:v>1.1814497745881174</c:v>
                </c:pt>
                <c:pt idx="26">
                  <c:v>1.1814497745881174</c:v>
                </c:pt>
                <c:pt idx="27">
                  <c:v>1.1814497745881174</c:v>
                </c:pt>
                <c:pt idx="28">
                  <c:v>1.1814497745881174</c:v>
                </c:pt>
                <c:pt idx="29">
                  <c:v>1.1814497745881174</c:v>
                </c:pt>
                <c:pt idx="30">
                  <c:v>1.1814497745881174</c:v>
                </c:pt>
                <c:pt idx="31">
                  <c:v>1.1814497745881174</c:v>
                </c:pt>
                <c:pt idx="32">
                  <c:v>1.1814497745881174</c:v>
                </c:pt>
                <c:pt idx="33">
                  <c:v>1.1814497745881174</c:v>
                </c:pt>
                <c:pt idx="34">
                  <c:v>1.1814497745881174</c:v>
                </c:pt>
                <c:pt idx="35">
                  <c:v>1.1814497745881174</c:v>
                </c:pt>
                <c:pt idx="36">
                  <c:v>1.1814497745881174</c:v>
                </c:pt>
                <c:pt idx="37">
                  <c:v>1.1814497745881174</c:v>
                </c:pt>
                <c:pt idx="38">
                  <c:v>1.1814497745881174</c:v>
                </c:pt>
                <c:pt idx="39">
                  <c:v>1.1814497745881174</c:v>
                </c:pt>
                <c:pt idx="40">
                  <c:v>1.1814497745881174</c:v>
                </c:pt>
                <c:pt idx="41">
                  <c:v>1.1814497745881174</c:v>
                </c:pt>
                <c:pt idx="42">
                  <c:v>1.1814497745881174</c:v>
                </c:pt>
                <c:pt idx="43">
                  <c:v>1.1814497745881174</c:v>
                </c:pt>
                <c:pt idx="44">
                  <c:v>1.1814497745881174</c:v>
                </c:pt>
                <c:pt idx="45">
                  <c:v>1.1814497745881174</c:v>
                </c:pt>
                <c:pt idx="46">
                  <c:v>1.1814497745881174</c:v>
                </c:pt>
                <c:pt idx="47">
                  <c:v>1.1814497745881174</c:v>
                </c:pt>
                <c:pt idx="48">
                  <c:v>1.1814497745881174</c:v>
                </c:pt>
                <c:pt idx="49">
                  <c:v>1.1814497745881174</c:v>
                </c:pt>
                <c:pt idx="50">
                  <c:v>1.1814497745881174</c:v>
                </c:pt>
                <c:pt idx="51">
                  <c:v>1.1814497745881174</c:v>
                </c:pt>
                <c:pt idx="52">
                  <c:v>1.1814497745881174</c:v>
                </c:pt>
                <c:pt idx="53">
                  <c:v>1.1814497745881174</c:v>
                </c:pt>
                <c:pt idx="54">
                  <c:v>1.1814497745881174</c:v>
                </c:pt>
                <c:pt idx="55">
                  <c:v>1.1814497745881174</c:v>
                </c:pt>
                <c:pt idx="56">
                  <c:v>1.1814497745881174</c:v>
                </c:pt>
                <c:pt idx="57">
                  <c:v>1.1814497745881174</c:v>
                </c:pt>
                <c:pt idx="58">
                  <c:v>1.1814497745881174</c:v>
                </c:pt>
                <c:pt idx="59">
                  <c:v>1.1814497745881174</c:v>
                </c:pt>
                <c:pt idx="60">
                  <c:v>1.1814497745881174</c:v>
                </c:pt>
                <c:pt idx="61">
                  <c:v>1.1814497745881174</c:v>
                </c:pt>
                <c:pt idx="62">
                  <c:v>1.1814497745881174</c:v>
                </c:pt>
                <c:pt idx="63">
                  <c:v>1.1814497745881174</c:v>
                </c:pt>
                <c:pt idx="64">
                  <c:v>1.1814497745881174</c:v>
                </c:pt>
                <c:pt idx="65">
                  <c:v>1.1814497745881174</c:v>
                </c:pt>
                <c:pt idx="66">
                  <c:v>1.1814497745881174</c:v>
                </c:pt>
                <c:pt idx="67">
                  <c:v>1.1814497745881174</c:v>
                </c:pt>
                <c:pt idx="68">
                  <c:v>1.1814497745881174</c:v>
                </c:pt>
                <c:pt idx="69">
                  <c:v>1.1814497745881174</c:v>
                </c:pt>
                <c:pt idx="70">
                  <c:v>1.1814497745881174</c:v>
                </c:pt>
                <c:pt idx="71">
                  <c:v>1.1814497745881174</c:v>
                </c:pt>
                <c:pt idx="72">
                  <c:v>1.1814497745881174</c:v>
                </c:pt>
                <c:pt idx="73">
                  <c:v>1.1814497745881174</c:v>
                </c:pt>
                <c:pt idx="74">
                  <c:v>1.1814497745881174</c:v>
                </c:pt>
                <c:pt idx="75">
                  <c:v>1.1814497745881174</c:v>
                </c:pt>
                <c:pt idx="76">
                  <c:v>1.1814497745881174</c:v>
                </c:pt>
                <c:pt idx="77">
                  <c:v>1.1814497745881174</c:v>
                </c:pt>
                <c:pt idx="78">
                  <c:v>1.1814497745881174</c:v>
                </c:pt>
                <c:pt idx="79">
                  <c:v>1.1814497745881174</c:v>
                </c:pt>
                <c:pt idx="80">
                  <c:v>1.1814497745881174</c:v>
                </c:pt>
                <c:pt idx="81">
                  <c:v>1.1814497745881174</c:v>
                </c:pt>
                <c:pt idx="82">
                  <c:v>1.1814497745881174</c:v>
                </c:pt>
                <c:pt idx="83">
                  <c:v>1.1814497745881174</c:v>
                </c:pt>
                <c:pt idx="84">
                  <c:v>1.1814497745881174</c:v>
                </c:pt>
                <c:pt idx="85">
                  <c:v>1.1814497745881174</c:v>
                </c:pt>
                <c:pt idx="86">
                  <c:v>1.1814497745881174</c:v>
                </c:pt>
                <c:pt idx="87">
                  <c:v>1.1814497745881174</c:v>
                </c:pt>
                <c:pt idx="88">
                  <c:v>1.1814497745881174</c:v>
                </c:pt>
                <c:pt idx="89">
                  <c:v>1.1814497745881174</c:v>
                </c:pt>
                <c:pt idx="90">
                  <c:v>1.1814497745881174</c:v>
                </c:pt>
                <c:pt idx="91">
                  <c:v>1.1814497745881174</c:v>
                </c:pt>
                <c:pt idx="92">
                  <c:v>1.1814497745881174</c:v>
                </c:pt>
                <c:pt idx="93">
                  <c:v>1.1814497745881174</c:v>
                </c:pt>
                <c:pt idx="94">
                  <c:v>1.1814497745881174</c:v>
                </c:pt>
                <c:pt idx="95">
                  <c:v>1.1814497745881174</c:v>
                </c:pt>
                <c:pt idx="96">
                  <c:v>1.1814497745881174</c:v>
                </c:pt>
                <c:pt idx="97">
                  <c:v>1.1814497745881174</c:v>
                </c:pt>
                <c:pt idx="98">
                  <c:v>1.1814497745881174</c:v>
                </c:pt>
                <c:pt idx="99">
                  <c:v>1.1814497745881174</c:v>
                </c:pt>
                <c:pt idx="100">
                  <c:v>1.1814497745881174</c:v>
                </c:pt>
                <c:pt idx="101">
                  <c:v>1.1814497745881174</c:v>
                </c:pt>
                <c:pt idx="102">
                  <c:v>1.1814497745881174</c:v>
                </c:pt>
                <c:pt idx="103">
                  <c:v>1.1814497745881174</c:v>
                </c:pt>
                <c:pt idx="104">
                  <c:v>1.1814497745881174</c:v>
                </c:pt>
                <c:pt idx="105">
                  <c:v>1.1814497745881174</c:v>
                </c:pt>
                <c:pt idx="106">
                  <c:v>1.1814497745881174</c:v>
                </c:pt>
                <c:pt idx="107">
                  <c:v>1.1814497745881174</c:v>
                </c:pt>
                <c:pt idx="108">
                  <c:v>1.1814497745881174</c:v>
                </c:pt>
                <c:pt idx="109">
                  <c:v>1.1814497745881174</c:v>
                </c:pt>
                <c:pt idx="110">
                  <c:v>1.1814497745881174</c:v>
                </c:pt>
                <c:pt idx="111">
                  <c:v>1.1814497745881174</c:v>
                </c:pt>
                <c:pt idx="112">
                  <c:v>1.1814497745881174</c:v>
                </c:pt>
                <c:pt idx="113">
                  <c:v>1.1814497745881174</c:v>
                </c:pt>
                <c:pt idx="114">
                  <c:v>1.1814497745881174</c:v>
                </c:pt>
                <c:pt idx="115">
                  <c:v>1.1814497745881174</c:v>
                </c:pt>
                <c:pt idx="116">
                  <c:v>1.1814497745881174</c:v>
                </c:pt>
                <c:pt idx="117">
                  <c:v>1.1814497745881174</c:v>
                </c:pt>
                <c:pt idx="118">
                  <c:v>1.1814497745881174</c:v>
                </c:pt>
                <c:pt idx="119">
                  <c:v>1.1814497745881174</c:v>
                </c:pt>
                <c:pt idx="120">
                  <c:v>1.1814497745881174</c:v>
                </c:pt>
                <c:pt idx="121">
                  <c:v>1.1814497745881174</c:v>
                </c:pt>
                <c:pt idx="122">
                  <c:v>1.1814497745881174</c:v>
                </c:pt>
                <c:pt idx="123">
                  <c:v>1.1814497745881174</c:v>
                </c:pt>
                <c:pt idx="124">
                  <c:v>1.1814497745881174</c:v>
                </c:pt>
                <c:pt idx="125">
                  <c:v>1.1814497745881174</c:v>
                </c:pt>
                <c:pt idx="126">
                  <c:v>1.1814497745881174</c:v>
                </c:pt>
                <c:pt idx="127">
                  <c:v>1.1814497745881174</c:v>
                </c:pt>
                <c:pt idx="128">
                  <c:v>1.1814497745881174</c:v>
                </c:pt>
                <c:pt idx="129">
                  <c:v>1.1814497745881174</c:v>
                </c:pt>
                <c:pt idx="130">
                  <c:v>1.1814497745881174</c:v>
                </c:pt>
                <c:pt idx="131">
                  <c:v>1.1814497745881174</c:v>
                </c:pt>
                <c:pt idx="132">
                  <c:v>1.1814497745881174</c:v>
                </c:pt>
                <c:pt idx="133">
                  <c:v>1.1814497745881174</c:v>
                </c:pt>
                <c:pt idx="134">
                  <c:v>1.1814497745881174</c:v>
                </c:pt>
                <c:pt idx="135">
                  <c:v>1.1814497745881174</c:v>
                </c:pt>
                <c:pt idx="136">
                  <c:v>1.1814497745881174</c:v>
                </c:pt>
                <c:pt idx="137">
                  <c:v>1.1814497745881174</c:v>
                </c:pt>
                <c:pt idx="138">
                  <c:v>1.1814497745881174</c:v>
                </c:pt>
                <c:pt idx="139">
                  <c:v>1.1814497745881174</c:v>
                </c:pt>
                <c:pt idx="140">
                  <c:v>1.1814497745881174</c:v>
                </c:pt>
                <c:pt idx="141">
                  <c:v>1.1814497745881174</c:v>
                </c:pt>
                <c:pt idx="142">
                  <c:v>1.1814497745881174</c:v>
                </c:pt>
                <c:pt idx="143">
                  <c:v>1.1814497745881174</c:v>
                </c:pt>
                <c:pt idx="144">
                  <c:v>1.1814497745881174</c:v>
                </c:pt>
                <c:pt idx="145">
                  <c:v>1.1814497745881174</c:v>
                </c:pt>
                <c:pt idx="146">
                  <c:v>1.1814497745881174</c:v>
                </c:pt>
                <c:pt idx="147">
                  <c:v>1.1814497745881174</c:v>
                </c:pt>
                <c:pt idx="148">
                  <c:v>1.1814497745881174</c:v>
                </c:pt>
                <c:pt idx="149">
                  <c:v>1.1814497745881174</c:v>
                </c:pt>
                <c:pt idx="150">
                  <c:v>1.1814497745881174</c:v>
                </c:pt>
                <c:pt idx="151">
                  <c:v>1.1814497745881174</c:v>
                </c:pt>
                <c:pt idx="152">
                  <c:v>1.1814497745881174</c:v>
                </c:pt>
                <c:pt idx="153">
                  <c:v>1.1814497745881174</c:v>
                </c:pt>
                <c:pt idx="154">
                  <c:v>1.1814497745881174</c:v>
                </c:pt>
                <c:pt idx="155">
                  <c:v>1.1814497745881174</c:v>
                </c:pt>
                <c:pt idx="156">
                  <c:v>1.1814497745881174</c:v>
                </c:pt>
                <c:pt idx="157">
                  <c:v>1.1814497745881174</c:v>
                </c:pt>
                <c:pt idx="158">
                  <c:v>1.1814497745881174</c:v>
                </c:pt>
                <c:pt idx="159">
                  <c:v>1.1814497745881174</c:v>
                </c:pt>
                <c:pt idx="160">
                  <c:v>1.1814497745881174</c:v>
                </c:pt>
                <c:pt idx="161">
                  <c:v>1.1814497745881174</c:v>
                </c:pt>
                <c:pt idx="162">
                  <c:v>1.1814497745881174</c:v>
                </c:pt>
                <c:pt idx="163">
                  <c:v>1.1814497745881174</c:v>
                </c:pt>
                <c:pt idx="164">
                  <c:v>1.1814497745881174</c:v>
                </c:pt>
                <c:pt idx="165">
                  <c:v>1.1814497745881174</c:v>
                </c:pt>
                <c:pt idx="166">
                  <c:v>1.1814497745881174</c:v>
                </c:pt>
                <c:pt idx="167">
                  <c:v>1.1814497745881174</c:v>
                </c:pt>
                <c:pt idx="168">
                  <c:v>1.1814497745881174</c:v>
                </c:pt>
                <c:pt idx="169">
                  <c:v>1.1814497745881174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B1-4A37-97D9-4E684C814C74}"/>
            </c:ext>
          </c:extLst>
        </c:ser>
        <c:ser>
          <c:idx val="3"/>
          <c:order val="3"/>
          <c:tx>
            <c:strRef>
              <c:f>'Lower Komati '!$E$3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'!$E$4:$E$173</c:f>
              <c:numCache>
                <c:formatCode>0.00</c:formatCode>
                <c:ptCount val="170"/>
                <c:pt idx="0">
                  <c:v>0.68457784431140567</c:v>
                </c:pt>
                <c:pt idx="1">
                  <c:v>0.16791117764469732</c:v>
                </c:pt>
                <c:pt idx="2">
                  <c:v>0.13791117764469618</c:v>
                </c:pt>
                <c:pt idx="3">
                  <c:v>0.10791117764472347</c:v>
                </c:pt>
                <c:pt idx="4">
                  <c:v>-0.21542215568862844</c:v>
                </c:pt>
                <c:pt idx="5">
                  <c:v>-0.33542215568863298</c:v>
                </c:pt>
                <c:pt idx="6">
                  <c:v>-0.39875548902196556</c:v>
                </c:pt>
                <c:pt idx="7">
                  <c:v>-0.64875548902196556</c:v>
                </c:pt>
                <c:pt idx="8">
                  <c:v>-0.69208882235531632</c:v>
                </c:pt>
                <c:pt idx="9">
                  <c:v>-0.98542215568863867</c:v>
                </c:pt>
                <c:pt idx="10">
                  <c:v>0.71057784431138771</c:v>
                </c:pt>
                <c:pt idx="11">
                  <c:v>0.70791117764471778</c:v>
                </c:pt>
                <c:pt idx="12">
                  <c:v>0.87124451097804467</c:v>
                </c:pt>
                <c:pt idx="13">
                  <c:v>1.937911177644736</c:v>
                </c:pt>
                <c:pt idx="14">
                  <c:v>1.2479111776447098</c:v>
                </c:pt>
                <c:pt idx="15">
                  <c:v>0.97124451097803899</c:v>
                </c:pt>
                <c:pt idx="16">
                  <c:v>0.9879111776446905</c:v>
                </c:pt>
                <c:pt idx="17">
                  <c:v>0.87124451097804467</c:v>
                </c:pt>
                <c:pt idx="18">
                  <c:v>0.85791117764472347</c:v>
                </c:pt>
                <c:pt idx="19">
                  <c:v>0.77791117764471096</c:v>
                </c:pt>
                <c:pt idx="20">
                  <c:v>0.83124451097805263</c:v>
                </c:pt>
                <c:pt idx="21">
                  <c:v>1.4312445109780754</c:v>
                </c:pt>
                <c:pt idx="22">
                  <c:v>1.8929111776447201</c:v>
                </c:pt>
                <c:pt idx="23">
                  <c:v>-1.4354221556886557</c:v>
                </c:pt>
                <c:pt idx="24">
                  <c:v>-0.99208882235529927</c:v>
                </c:pt>
                <c:pt idx="25">
                  <c:v>1.4745778443113693</c:v>
                </c:pt>
                <c:pt idx="26">
                  <c:v>1.4612445109780481</c:v>
                </c:pt>
                <c:pt idx="27">
                  <c:v>1.4712445109780674</c:v>
                </c:pt>
                <c:pt idx="28">
                  <c:v>1.0779111776447223</c:v>
                </c:pt>
                <c:pt idx="29">
                  <c:v>2.0479111776446928</c:v>
                </c:pt>
                <c:pt idx="30">
                  <c:v>0.44791117764472688</c:v>
                </c:pt>
                <c:pt idx="31">
                  <c:v>0.27457784431138066</c:v>
                </c:pt>
                <c:pt idx="32">
                  <c:v>0.25457784431137043</c:v>
                </c:pt>
                <c:pt idx="33">
                  <c:v>4.7911177644692771E-2</c:v>
                </c:pt>
                <c:pt idx="34">
                  <c:v>1.3912445109780265</c:v>
                </c:pt>
                <c:pt idx="35">
                  <c:v>1.5979111776447041</c:v>
                </c:pt>
                <c:pt idx="36">
                  <c:v>1.6679111776446973</c:v>
                </c:pt>
                <c:pt idx="37">
                  <c:v>1.7679111776446916</c:v>
                </c:pt>
                <c:pt idx="38">
                  <c:v>2.8312445109780526</c:v>
                </c:pt>
                <c:pt idx="39">
                  <c:v>2.4445778443113966</c:v>
                </c:pt>
                <c:pt idx="40">
                  <c:v>2.0012445109780401</c:v>
                </c:pt>
                <c:pt idx="41">
                  <c:v>2.2079111776447178</c:v>
                </c:pt>
                <c:pt idx="42">
                  <c:v>1.6879111776446791</c:v>
                </c:pt>
                <c:pt idx="43">
                  <c:v>1.5912445109780435</c:v>
                </c:pt>
                <c:pt idx="44">
                  <c:v>1.5412445109780322</c:v>
                </c:pt>
                <c:pt idx="45">
                  <c:v>1.574577844311392</c:v>
                </c:pt>
                <c:pt idx="46">
                  <c:v>-0.36208882235530382</c:v>
                </c:pt>
                <c:pt idx="47">
                  <c:v>0.45557784431136383</c:v>
                </c:pt>
                <c:pt idx="48">
                  <c:v>0.14191117764468686</c:v>
                </c:pt>
                <c:pt idx="49">
                  <c:v>-6.7088822355316324E-2</c:v>
                </c:pt>
                <c:pt idx="50">
                  <c:v>0.27791117764468254</c:v>
                </c:pt>
                <c:pt idx="51">
                  <c:v>-5.9755489021966923E-2</c:v>
                </c:pt>
                <c:pt idx="52">
                  <c:v>-0.36808882235530405</c:v>
                </c:pt>
                <c:pt idx="53">
                  <c:v>-0.58408882235528381</c:v>
                </c:pt>
                <c:pt idx="54">
                  <c:v>-0.90475548902193736</c:v>
                </c:pt>
                <c:pt idx="55">
                  <c:v>-0.875755489021941</c:v>
                </c:pt>
                <c:pt idx="56">
                  <c:v>-0.91375548902195192</c:v>
                </c:pt>
                <c:pt idx="57">
                  <c:v>-1.5937554890219587</c:v>
                </c:pt>
                <c:pt idx="58">
                  <c:v>-1.0454221556886125</c:v>
                </c:pt>
                <c:pt idx="59">
                  <c:v>-1.1220888223552947</c:v>
                </c:pt>
                <c:pt idx="60">
                  <c:v>-1.1454221556886353</c:v>
                </c:pt>
                <c:pt idx="61">
                  <c:v>-1.2287554890219781</c:v>
                </c:pt>
                <c:pt idx="62">
                  <c:v>-1.1787554890219383</c:v>
                </c:pt>
                <c:pt idx="63">
                  <c:v>-1.3520888223553129</c:v>
                </c:pt>
                <c:pt idx="64">
                  <c:v>-1.4320888223553254</c:v>
                </c:pt>
                <c:pt idx="65">
                  <c:v>-1.5687554890219246</c:v>
                </c:pt>
                <c:pt idx="66">
                  <c:v>-1.6054221556886432</c:v>
                </c:pt>
                <c:pt idx="67">
                  <c:v>-1.6420888223552765</c:v>
                </c:pt>
                <c:pt idx="68">
                  <c:v>-1.7720888223553004</c:v>
                </c:pt>
                <c:pt idx="69">
                  <c:v>-1.778755489021961</c:v>
                </c:pt>
                <c:pt idx="70">
                  <c:v>-1.5120888223552811</c:v>
                </c:pt>
                <c:pt idx="71">
                  <c:v>-1.4454221556886466</c:v>
                </c:pt>
                <c:pt idx="72">
                  <c:v>-1.0537554890219951</c:v>
                </c:pt>
                <c:pt idx="73">
                  <c:v>-0.66208882235528677</c:v>
                </c:pt>
                <c:pt idx="74">
                  <c:v>-0.44875548902197693</c:v>
                </c:pt>
                <c:pt idx="75">
                  <c:v>-0.47208882235528904</c:v>
                </c:pt>
                <c:pt idx="76">
                  <c:v>-0.66042215568862161</c:v>
                </c:pt>
                <c:pt idx="77">
                  <c:v>-0.78208882235529131</c:v>
                </c:pt>
                <c:pt idx="78">
                  <c:v>-0.88208882235528563</c:v>
                </c:pt>
                <c:pt idx="79">
                  <c:v>-0.99542215568862957</c:v>
                </c:pt>
                <c:pt idx="80">
                  <c:v>-1.0754221556886421</c:v>
                </c:pt>
                <c:pt idx="81">
                  <c:v>-1.2054221556886375</c:v>
                </c:pt>
                <c:pt idx="82">
                  <c:v>-0.81875548902198148</c:v>
                </c:pt>
                <c:pt idx="83">
                  <c:v>-0.75208882235529018</c:v>
                </c:pt>
                <c:pt idx="84">
                  <c:v>-3.4254221556886364</c:v>
                </c:pt>
                <c:pt idx="85">
                  <c:v>-3.3254221556886137</c:v>
                </c:pt>
                <c:pt idx="86">
                  <c:v>-3.3104221556886273</c:v>
                </c:pt>
                <c:pt idx="87">
                  <c:v>-2.9929221556886318</c:v>
                </c:pt>
                <c:pt idx="88">
                  <c:v>-2.960422155688633</c:v>
                </c:pt>
                <c:pt idx="89">
                  <c:v>-0.37208882235529472</c:v>
                </c:pt>
                <c:pt idx="90">
                  <c:v>-0.39208882235527653</c:v>
                </c:pt>
                <c:pt idx="91">
                  <c:v>-0.33208882235530268</c:v>
                </c:pt>
                <c:pt idx="92">
                  <c:v>-0.42208882235527767</c:v>
                </c:pt>
                <c:pt idx="93">
                  <c:v>-0.43542215568859888</c:v>
                </c:pt>
                <c:pt idx="94">
                  <c:v>-0.58875548902196329</c:v>
                </c:pt>
                <c:pt idx="95">
                  <c:v>-0.42542215568866482</c:v>
                </c:pt>
                <c:pt idx="96">
                  <c:v>-0.21708882235532201</c:v>
                </c:pt>
                <c:pt idx="97">
                  <c:v>-8.7554890219792014E-3</c:v>
                </c:pt>
                <c:pt idx="98">
                  <c:v>0.10124451097803444</c:v>
                </c:pt>
                <c:pt idx="99">
                  <c:v>0.32457784431139203</c:v>
                </c:pt>
                <c:pt idx="100">
                  <c:v>-0.14542215568863526</c:v>
                </c:pt>
                <c:pt idx="101">
                  <c:v>-0.23208882235530837</c:v>
                </c:pt>
                <c:pt idx="102">
                  <c:v>-2.9504221556886421</c:v>
                </c:pt>
                <c:pt idx="103">
                  <c:v>-2.9704221556886523</c:v>
                </c:pt>
                <c:pt idx="104">
                  <c:v>-0.54542215568861252</c:v>
                </c:pt>
                <c:pt idx="105">
                  <c:v>-0.72875548902194964</c:v>
                </c:pt>
                <c:pt idx="106">
                  <c:v>-0.77875548902196101</c:v>
                </c:pt>
                <c:pt idx="107">
                  <c:v>-0.37542215568862503</c:v>
                </c:pt>
                <c:pt idx="108">
                  <c:v>-4.542215568861252E-2</c:v>
                </c:pt>
                <c:pt idx="109">
                  <c:v>0.29791117764469277</c:v>
                </c:pt>
                <c:pt idx="110">
                  <c:v>0.15791117764467799</c:v>
                </c:pt>
                <c:pt idx="114" formatCode="0.000">
                  <c:v>0.24457784431137952</c:v>
                </c:pt>
                <c:pt idx="115" formatCode="0.000">
                  <c:v>-0.27542215568863071</c:v>
                </c:pt>
                <c:pt idx="116" formatCode="0.000">
                  <c:v>-0.72542215568861934</c:v>
                </c:pt>
                <c:pt idx="117" formatCode="0.000">
                  <c:v>-0.54875548902194282</c:v>
                </c:pt>
                <c:pt idx="118" formatCode="0.000">
                  <c:v>-0.37208882235529472</c:v>
                </c:pt>
                <c:pt idx="119" formatCode="0.000">
                  <c:v>-0.36542215568863412</c:v>
                </c:pt>
                <c:pt idx="120" formatCode="0.000">
                  <c:v>-6.8755489021981475E-2</c:v>
                </c:pt>
                <c:pt idx="121" formatCode="0.000">
                  <c:v>2.6312445109780356</c:v>
                </c:pt>
                <c:pt idx="122" formatCode="0.000">
                  <c:v>2.1179111776447144</c:v>
                </c:pt>
                <c:pt idx="123" formatCode="0.000">
                  <c:v>1.4512445109780572</c:v>
                </c:pt>
                <c:pt idx="124" formatCode="0.000">
                  <c:v>1.074577844311392</c:v>
                </c:pt>
                <c:pt idx="125" formatCode="0.000">
                  <c:v>0.7479111776446814</c:v>
                </c:pt>
                <c:pt idx="126" formatCode="0.000">
                  <c:v>0.51124451097803103</c:v>
                </c:pt>
                <c:pt idx="127" formatCode="0.000">
                  <c:v>0.34124451097804354</c:v>
                </c:pt>
                <c:pt idx="128" formatCode="0.000">
                  <c:v>0.38457784431136588</c:v>
                </c:pt>
                <c:pt idx="129" formatCode="0.000">
                  <c:v>0.55457784431135337</c:v>
                </c:pt>
                <c:pt idx="130" formatCode="0.000">
                  <c:v>4.7911177644692771E-2</c:v>
                </c:pt>
                <c:pt idx="131" formatCode="0.000">
                  <c:v>6.1244510978013977E-2</c:v>
                </c:pt>
                <c:pt idx="132" formatCode="0.000">
                  <c:v>1.3845778443113659</c:v>
                </c:pt>
                <c:pt idx="133" formatCode="0.000">
                  <c:v>1.1112445109780253</c:v>
                </c:pt>
                <c:pt idx="134" formatCode="0.000">
                  <c:v>0.64791117764468709</c:v>
                </c:pt>
                <c:pt idx="135" formatCode="0.000">
                  <c:v>0.60457784431136474</c:v>
                </c:pt>
                <c:pt idx="136" formatCode="0.000">
                  <c:v>0.62457784431137497</c:v>
                </c:pt>
                <c:pt idx="137" formatCode="0.000">
                  <c:v>0.81457784431140112</c:v>
                </c:pt>
                <c:pt idx="138" formatCode="0.000">
                  <c:v>0.4285778443113486</c:v>
                </c:pt>
                <c:pt idx="139" formatCode="0.000">
                  <c:v>0.26124451097803103</c:v>
                </c:pt>
                <c:pt idx="140" formatCode="0.000">
                  <c:v>-2.0888223552901763E-3</c:v>
                </c:pt>
                <c:pt idx="141" formatCode="0.000">
                  <c:v>-0.30875548902199057</c:v>
                </c:pt>
                <c:pt idx="142" formatCode="0.000">
                  <c:v>-0.15208882235529586</c:v>
                </c:pt>
                <c:pt idx="143" formatCode="0.000">
                  <c:v>0.20124451097800033</c:v>
                </c:pt>
                <c:pt idx="144" formatCode="0.000">
                  <c:v>0.34124451097804354</c:v>
                </c:pt>
                <c:pt idx="145" formatCode="0.000">
                  <c:v>1.5012445109780117</c:v>
                </c:pt>
                <c:pt idx="146" formatCode="0.000">
                  <c:v>2.2512445109780401</c:v>
                </c:pt>
                <c:pt idx="147" formatCode="0.000">
                  <c:v>1.107911177644695</c:v>
                </c:pt>
                <c:pt idx="148" formatCode="0.000">
                  <c:v>0.80791117764468368</c:v>
                </c:pt>
                <c:pt idx="149" formatCode="0.000">
                  <c:v>0.53124451097804126</c:v>
                </c:pt>
                <c:pt idx="150" formatCode="0.000">
                  <c:v>0.12791117764470528</c:v>
                </c:pt>
                <c:pt idx="151" formatCode="0.000">
                  <c:v>-0.23875548902196897</c:v>
                </c:pt>
                <c:pt idx="152" formatCode="0.000">
                  <c:v>-0.33875548902196329</c:v>
                </c:pt>
                <c:pt idx="153" formatCode="0.000">
                  <c:v>-0.37542215568862503</c:v>
                </c:pt>
                <c:pt idx="154" formatCode="0.000">
                  <c:v>-0.35875548902197352</c:v>
                </c:pt>
                <c:pt idx="155" formatCode="0.000">
                  <c:v>-0.11542215568863412</c:v>
                </c:pt>
                <c:pt idx="156" formatCode="0.000">
                  <c:v>0.62457784431137497</c:v>
                </c:pt>
                <c:pt idx="157" formatCode="0.000">
                  <c:v>0.58457784431138293</c:v>
                </c:pt>
                <c:pt idx="158" formatCode="0.000">
                  <c:v>0.50124451097804013</c:v>
                </c:pt>
                <c:pt idx="159" formatCode="0.000">
                  <c:v>0.59457784431137384</c:v>
                </c:pt>
                <c:pt idx="160" formatCode="0.000">
                  <c:v>0.34791117764470414</c:v>
                </c:pt>
                <c:pt idx="161" formatCode="0.000">
                  <c:v>0.28791117764470187</c:v>
                </c:pt>
                <c:pt idx="162" formatCode="0.000">
                  <c:v>1.2911177644696181E-2</c:v>
                </c:pt>
                <c:pt idx="163" formatCode="0.000">
                  <c:v>-0.20875548902196783</c:v>
                </c:pt>
                <c:pt idx="164" formatCode="0.000">
                  <c:v>-0.32208882235531178</c:v>
                </c:pt>
                <c:pt idx="165" formatCode="0.000">
                  <c:v>-0.67208882235533451</c:v>
                </c:pt>
                <c:pt idx="166" formatCode="0.000">
                  <c:v>-0.47208882235531746</c:v>
                </c:pt>
                <c:pt idx="167" formatCode="0.000">
                  <c:v>-0.51875548902197011</c:v>
                </c:pt>
                <c:pt idx="168" formatCode="0.000">
                  <c:v>1.221244510978039</c:v>
                </c:pt>
                <c:pt idx="169" formatCode="0.000">
                  <c:v>0.58457784431138293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B1-4A37-97D9-4E684C814C74}"/>
            </c:ext>
          </c:extLst>
        </c:ser>
        <c:ser>
          <c:idx val="4"/>
          <c:order val="4"/>
          <c:tx>
            <c:strRef>
              <c:f>'Lower Komati 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'!$F$4:$F$173</c:f>
              <c:numCache>
                <c:formatCode>0.00</c:formatCode>
                <c:ptCount val="170"/>
                <c:pt idx="0">
                  <c:v>0.5794388039475199</c:v>
                </c:pt>
                <c:pt idx="1">
                  <c:v>0.14212299266232906</c:v>
                </c:pt>
                <c:pt idx="2">
                  <c:v>0.11673046168448034</c:v>
                </c:pt>
                <c:pt idx="3">
                  <c:v>9.1337930706655704E-2</c:v>
                </c:pt>
                <c:pt idx="4">
                  <c:v>-0.1823371253879412</c:v>
                </c:pt>
                <c:pt idx="5">
                  <c:v>-0.28390724929933603</c:v>
                </c:pt>
                <c:pt idx="6">
                  <c:v>-0.33751370358590282</c:v>
                </c:pt>
                <c:pt idx="7">
                  <c:v>-0.5491181284013007</c:v>
                </c:pt>
                <c:pt idx="8">
                  <c:v>-0.58579622870265102</c:v>
                </c:pt>
                <c:pt idx="9">
                  <c:v>-0.83407875381937513</c:v>
                </c:pt>
                <c:pt idx="10">
                  <c:v>0.60144566412830602</c:v>
                </c:pt>
                <c:pt idx="11">
                  <c:v>0.59918855026360573</c:v>
                </c:pt>
                <c:pt idx="12">
                  <c:v>0.73743677447632683</c:v>
                </c:pt>
                <c:pt idx="13">
                  <c:v>1.6402823203553785</c:v>
                </c:pt>
                <c:pt idx="14">
                  <c:v>1.0562541078648582</c:v>
                </c:pt>
                <c:pt idx="15">
                  <c:v>0.82207854440248118</c:v>
                </c:pt>
                <c:pt idx="16">
                  <c:v>0.83618550605682818</c:v>
                </c:pt>
                <c:pt idx="17">
                  <c:v>0.73743677447632683</c:v>
                </c:pt>
                <c:pt idx="18">
                  <c:v>0.72615120515284914</c:v>
                </c:pt>
                <c:pt idx="19">
                  <c:v>0.65843778921191132</c:v>
                </c:pt>
                <c:pt idx="20">
                  <c:v>0.70358006650586991</c:v>
                </c:pt>
                <c:pt idx="21">
                  <c:v>1.2114306860628439</c:v>
                </c:pt>
                <c:pt idx="22">
                  <c:v>1.6021935238885934</c:v>
                </c:pt>
                <c:pt idx="23">
                  <c:v>-1.2149667184871058</c:v>
                </c:pt>
                <c:pt idx="24">
                  <c:v>-0.83972153848111397</c:v>
                </c:pt>
                <c:pt idx="25">
                  <c:v>1.2481087863641462</c:v>
                </c:pt>
                <c:pt idx="26">
                  <c:v>1.2368232170406686</c:v>
                </c:pt>
                <c:pt idx="27">
                  <c:v>1.2452873940333009</c:v>
                </c:pt>
                <c:pt idx="28">
                  <c:v>0.91236309899039836</c:v>
                </c:pt>
                <c:pt idx="29">
                  <c:v>1.7333882672741168</c:v>
                </c:pt>
                <c:pt idx="30">
                  <c:v>0.37911994845559965</c:v>
                </c:pt>
                <c:pt idx="31">
                  <c:v>0.23240754725024623</c:v>
                </c:pt>
                <c:pt idx="32">
                  <c:v>0.21547919326500575</c:v>
                </c:pt>
                <c:pt idx="33">
                  <c:v>4.0552868750934244E-2</c:v>
                </c:pt>
                <c:pt idx="34">
                  <c:v>1.1775739780923389</c:v>
                </c:pt>
                <c:pt idx="35">
                  <c:v>1.3525003026064104</c:v>
                </c:pt>
                <c:pt idx="36">
                  <c:v>1.4117495415547161</c:v>
                </c:pt>
                <c:pt idx="37">
                  <c:v>1.4963913114808702</c:v>
                </c:pt>
                <c:pt idx="38">
                  <c:v>2.3964154650290523</c:v>
                </c:pt>
                <c:pt idx="39">
                  <c:v>2.0691339546479131</c:v>
                </c:pt>
                <c:pt idx="40">
                  <c:v>1.6938887746419211</c:v>
                </c:pt>
                <c:pt idx="41">
                  <c:v>1.8688150991559926</c:v>
                </c:pt>
                <c:pt idx="42">
                  <c:v>1.4286778955399324</c:v>
                </c:pt>
                <c:pt idx="43">
                  <c:v>1.3468575179446716</c:v>
                </c:pt>
                <c:pt idx="44">
                  <c:v>1.3045366329815824</c:v>
                </c:pt>
                <c:pt idx="45">
                  <c:v>1.3327505562903246</c:v>
                </c:pt>
                <c:pt idx="46">
                  <c:v>-0.30647838794631532</c:v>
                </c:pt>
                <c:pt idx="47">
                  <c:v>0.38560915081658004</c:v>
                </c:pt>
                <c:pt idx="48">
                  <c:v>0.12011613248151883</c:v>
                </c:pt>
                <c:pt idx="49">
                  <c:v>-5.6785166664156457E-2</c:v>
                </c:pt>
                <c:pt idx="50">
                  <c:v>0.23522893958109159</c:v>
                </c:pt>
                <c:pt idx="51">
                  <c:v>-5.0578103536224522E-2</c:v>
                </c:pt>
                <c:pt idx="52">
                  <c:v>-0.31155689414188503</c:v>
                </c:pt>
                <c:pt idx="53">
                  <c:v>-0.49438311718237166</c:v>
                </c:pt>
                <c:pt idx="54">
                  <c:v>-0.76580105941224419</c:v>
                </c:pt>
                <c:pt idx="55">
                  <c:v>-0.74125494613366105</c:v>
                </c:pt>
                <c:pt idx="56">
                  <c:v>-0.7734188187056108</c:v>
                </c:pt>
                <c:pt idx="57">
                  <c:v>-1.3489828542034987</c:v>
                </c:pt>
                <c:pt idx="58">
                  <c:v>-0.88486381577504858</c:v>
                </c:pt>
                <c:pt idx="59">
                  <c:v>-0.94975583938511698</c:v>
                </c:pt>
                <c:pt idx="60">
                  <c:v>-0.96950558570122691</c:v>
                </c:pt>
                <c:pt idx="61">
                  <c:v>-1.0400403939730343</c:v>
                </c:pt>
                <c:pt idx="62">
                  <c:v>-0.9977195090099209</c:v>
                </c:pt>
                <c:pt idx="63">
                  <c:v>-1.1444319102152984</c:v>
                </c:pt>
                <c:pt idx="64">
                  <c:v>-1.2121453261562363</c:v>
                </c:pt>
                <c:pt idx="65">
                  <c:v>-1.3278224117219299</c:v>
                </c:pt>
                <c:pt idx="66">
                  <c:v>-1.3588577273615656</c:v>
                </c:pt>
                <c:pt idx="67">
                  <c:v>-1.3898930430011291</c:v>
                </c:pt>
                <c:pt idx="68">
                  <c:v>-1.4999273439051561</c:v>
                </c:pt>
                <c:pt idx="69">
                  <c:v>-1.505570128566895</c:v>
                </c:pt>
                <c:pt idx="70">
                  <c:v>-1.2798587420971261</c:v>
                </c:pt>
                <c:pt idx="71">
                  <c:v>-1.223430895479714</c:v>
                </c:pt>
                <c:pt idx="72">
                  <c:v>-0.89191729660227015</c:v>
                </c:pt>
                <c:pt idx="73">
                  <c:v>-0.56040369772477827</c:v>
                </c:pt>
                <c:pt idx="74">
                  <c:v>-0.37983458854899199</c:v>
                </c:pt>
                <c:pt idx="75">
                  <c:v>-0.39958433486507783</c:v>
                </c:pt>
                <c:pt idx="76">
                  <c:v>-0.55899300155934362</c:v>
                </c:pt>
                <c:pt idx="77">
                  <c:v>-0.66197382163617313</c:v>
                </c:pt>
                <c:pt idx="78">
                  <c:v>-0.74661559156232737</c:v>
                </c:pt>
                <c:pt idx="79">
                  <c:v>-0.84254293081198339</c:v>
                </c:pt>
                <c:pt idx="80">
                  <c:v>-0.91025634675292133</c:v>
                </c:pt>
                <c:pt idx="81">
                  <c:v>-1.0202906476569242</c:v>
                </c:pt>
                <c:pt idx="82">
                  <c:v>-0.69300913727578461</c:v>
                </c:pt>
                <c:pt idx="83">
                  <c:v>-0.63658129065832436</c:v>
                </c:pt>
                <c:pt idx="84">
                  <c:v>-2.8993379400176562</c:v>
                </c:pt>
                <c:pt idx="85">
                  <c:v>-2.8146961700914779</c:v>
                </c:pt>
                <c:pt idx="86">
                  <c:v>-2.8019999046025652</c:v>
                </c:pt>
                <c:pt idx="87">
                  <c:v>-2.5332622850870141</c:v>
                </c:pt>
                <c:pt idx="88">
                  <c:v>-2.5057537098610134</c:v>
                </c:pt>
                <c:pt idx="89">
                  <c:v>-0.31494256493892353</c:v>
                </c:pt>
                <c:pt idx="90">
                  <c:v>-0.33187091892413995</c:v>
                </c:pt>
                <c:pt idx="91">
                  <c:v>-0.28108585696846661</c:v>
                </c:pt>
                <c:pt idx="92">
                  <c:v>-0.35726344990198866</c:v>
                </c:pt>
                <c:pt idx="93">
                  <c:v>-0.36854901922546629</c:v>
                </c:pt>
                <c:pt idx="94">
                  <c:v>-0.49833306644560327</c:v>
                </c:pt>
                <c:pt idx="95">
                  <c:v>-0.36008484223290615</c:v>
                </c:pt>
                <c:pt idx="96">
                  <c:v>-0.18374782155339997</c:v>
                </c:pt>
                <c:pt idx="97">
                  <c:v>-7.4108008738937563E-3</c:v>
                </c:pt>
                <c:pt idx="98">
                  <c:v>8.5695146044892839E-2</c:v>
                </c:pt>
                <c:pt idx="99">
                  <c:v>0.27472843221333543</c:v>
                </c:pt>
                <c:pt idx="100">
                  <c:v>-0.12308788643963559</c:v>
                </c:pt>
                <c:pt idx="101">
                  <c:v>-0.19644408704231228</c:v>
                </c:pt>
                <c:pt idx="102">
                  <c:v>-2.4972895328684048</c:v>
                </c:pt>
                <c:pt idx="103">
                  <c:v>-2.5142178868536456</c:v>
                </c:pt>
                <c:pt idx="104">
                  <c:v>-0.46165496614425289</c:v>
                </c:pt>
                <c:pt idx="105">
                  <c:v>-0.61683154434221443</c:v>
                </c:pt>
                <c:pt idx="106">
                  <c:v>-0.65915242930530371</c:v>
                </c:pt>
                <c:pt idx="107">
                  <c:v>-0.31776395726979295</c:v>
                </c:pt>
                <c:pt idx="108">
                  <c:v>-3.844611651345721E-2</c:v>
                </c:pt>
                <c:pt idx="109">
                  <c:v>0.2521572935663321</c:v>
                </c:pt>
                <c:pt idx="110">
                  <c:v>0.13365881566969678</c:v>
                </c:pt>
                <c:pt idx="114" formatCode="0.0000">
                  <c:v>0.20701501627239755</c:v>
                </c:pt>
                <c:pt idx="115" formatCode="0.0000">
                  <c:v>-0.2331221873436386</c:v>
                </c:pt>
                <c:pt idx="116" formatCode="0.0000">
                  <c:v>-0.61401015201134512</c:v>
                </c:pt>
                <c:pt idx="117" formatCode="0.0000">
                  <c:v>-0.46447635847512225</c:v>
                </c:pt>
                <c:pt idx="118" formatCode="0.0000">
                  <c:v>-0.31494256493892353</c:v>
                </c:pt>
                <c:pt idx="119" formatCode="0.0000">
                  <c:v>-0.30929978027718469</c:v>
                </c:pt>
                <c:pt idx="120" formatCode="0.0000">
                  <c:v>-5.8195862829591161E-2</c:v>
                </c:pt>
                <c:pt idx="121" formatCode="0.0000">
                  <c:v>2.2271319251767197</c:v>
                </c:pt>
                <c:pt idx="122" formatCode="0.0000">
                  <c:v>1.7926375062224464</c:v>
                </c:pt>
                <c:pt idx="123" formatCode="0.0000">
                  <c:v>1.2283590400480604</c:v>
                </c:pt>
                <c:pt idx="124" formatCode="0.0000">
                  <c:v>0.90954170665952894</c:v>
                </c:pt>
                <c:pt idx="125" formatCode="0.0000">
                  <c:v>0.63304525823403857</c:v>
                </c:pt>
                <c:pt idx="126" formatCode="0.0000">
                  <c:v>0.43272640274214241</c:v>
                </c:pt>
                <c:pt idx="127" formatCode="0.0000">
                  <c:v>0.28883539386768248</c:v>
                </c:pt>
                <c:pt idx="128" formatCode="0.0000">
                  <c:v>0.32551349416900877</c:v>
                </c:pt>
                <c:pt idx="129" formatCode="0.0000">
                  <c:v>0.4694045030434687</c:v>
                </c:pt>
                <c:pt idx="130" formatCode="0.0000">
                  <c:v>4.0552868750934244E-2</c:v>
                </c:pt>
                <c:pt idx="131" formatCode="0.0000">
                  <c:v>5.1838438074411859E-2</c:v>
                </c:pt>
                <c:pt idx="132" formatCode="0.0000">
                  <c:v>1.1719311934306</c:v>
                </c:pt>
                <c:pt idx="133" formatCode="0.0000">
                  <c:v>0.94057702229909235</c:v>
                </c:pt>
                <c:pt idx="134" formatCode="0.0000">
                  <c:v>0.54840348830788421</c:v>
                </c:pt>
                <c:pt idx="135" formatCode="0.0000">
                  <c:v>0.51172538800655787</c:v>
                </c:pt>
                <c:pt idx="136" formatCode="0.0000">
                  <c:v>0.52865374199179838</c:v>
                </c:pt>
                <c:pt idx="137" formatCode="0.0000">
                  <c:v>0.68947310485152291</c:v>
                </c:pt>
                <c:pt idx="138" formatCode="0.0000">
                  <c:v>0.36275587293650419</c:v>
                </c:pt>
                <c:pt idx="139" formatCode="0.0000">
                  <c:v>0.22112197792674457</c:v>
                </c:pt>
                <c:pt idx="140" formatCode="0.0000">
                  <c:v>-1.7680162121308893E-3</c:v>
                </c:pt>
                <c:pt idx="141" formatCode="0.0000">
                  <c:v>-0.26133611065238077</c:v>
                </c:pt>
                <c:pt idx="142" formatCode="0.0000">
                  <c:v>-0.1287306711013744</c:v>
                </c:pt>
                <c:pt idx="143" formatCode="0.0000">
                  <c:v>0.1703369159710231</c:v>
                </c:pt>
                <c:pt idx="144" formatCode="0.0000">
                  <c:v>0.28883539386768248</c:v>
                </c:pt>
                <c:pt idx="145" formatCode="0.0000">
                  <c:v>1.2706799250111014</c:v>
                </c:pt>
                <c:pt idx="146" formatCode="0.0000">
                  <c:v>1.905493199457319</c:v>
                </c:pt>
                <c:pt idx="147" formatCode="0.0000">
                  <c:v>0.93775562996822293</c:v>
                </c:pt>
                <c:pt idx="148" formatCode="0.0000">
                  <c:v>0.683830320189736</c:v>
                </c:pt>
                <c:pt idx="149" formatCode="0.0000">
                  <c:v>0.44965475672738286</c:v>
                </c:pt>
                <c:pt idx="150" formatCode="0.0000">
                  <c:v>0.10826628469187213</c:v>
                </c:pt>
                <c:pt idx="151" formatCode="0.0000">
                  <c:v>-0.2020868717040511</c:v>
                </c:pt>
                <c:pt idx="152" formatCode="0.0000">
                  <c:v>-0.28672864163020539</c:v>
                </c:pt>
                <c:pt idx="153" formatCode="0.0000">
                  <c:v>-0.31776395726979295</c:v>
                </c:pt>
                <c:pt idx="154" formatCode="0.0000">
                  <c:v>-0.3036569956154459</c:v>
                </c:pt>
                <c:pt idx="155" formatCode="0.0000">
                  <c:v>-9.7695355461786884E-2</c:v>
                </c:pt>
                <c:pt idx="156" formatCode="0.0000">
                  <c:v>0.52865374199179838</c:v>
                </c:pt>
                <c:pt idx="157" formatCode="0.0000">
                  <c:v>0.49479703402134145</c:v>
                </c:pt>
                <c:pt idx="158" formatCode="0.0000">
                  <c:v>0.42426222574953415</c:v>
                </c:pt>
                <c:pt idx="159" formatCode="0.0000">
                  <c:v>0.50326121101394972</c:v>
                </c:pt>
                <c:pt idx="160" formatCode="0.0000">
                  <c:v>0.29447817852942126</c:v>
                </c:pt>
                <c:pt idx="161" formatCode="0.0000">
                  <c:v>0.24369311657372386</c:v>
                </c:pt>
                <c:pt idx="162" formatCode="0.0000">
                  <c:v>1.0928249276781434E-2</c:v>
                </c:pt>
                <c:pt idx="163" formatCode="0.0000">
                  <c:v>-0.17669434072620241</c:v>
                </c:pt>
                <c:pt idx="164" formatCode="0.0000">
                  <c:v>-0.2726216799758584</c:v>
                </c:pt>
                <c:pt idx="165" formatCode="0.0000">
                  <c:v>-0.56886787471743461</c:v>
                </c:pt>
                <c:pt idx="166" formatCode="0.0000">
                  <c:v>-0.39958433486510192</c:v>
                </c:pt>
                <c:pt idx="167" formatCode="0.0000">
                  <c:v>-0.43908382749729763</c:v>
                </c:pt>
                <c:pt idx="168" formatCode="0.0000">
                  <c:v>1.0336829692178791</c:v>
                </c:pt>
                <c:pt idx="169" formatCode="0.0000">
                  <c:v>0.49479703402134145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B1-4A37-97D9-4E684C81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2511"/>
        <c:axId val="725836975"/>
      </c:scatterChart>
      <c:valAx>
        <c:axId val="1482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36975"/>
        <c:crosses val="autoZero"/>
        <c:crossBetween val="midCat"/>
      </c:valAx>
      <c:valAx>
        <c:axId val="7258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8079107787025"/>
          <c:y val="0.11422644112843482"/>
          <c:w val="0.85905273222679424"/>
          <c:h val="0.62030741324978522"/>
        </c:manualLayout>
      </c:layout>
      <c:areaChart>
        <c:grouping val="standard"/>
        <c:varyColors val="0"/>
        <c:ser>
          <c:idx val="4"/>
          <c:order val="0"/>
          <c:tx>
            <c:strRef>
              <c:f>'Lower Komati 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'Lower Komati '!$F$4:$F$173</c:f>
              <c:numCache>
                <c:formatCode>0.00</c:formatCode>
                <c:ptCount val="170"/>
                <c:pt idx="0">
                  <c:v>0.5794388039475199</c:v>
                </c:pt>
                <c:pt idx="1">
                  <c:v>0.14212299266232906</c:v>
                </c:pt>
                <c:pt idx="2">
                  <c:v>0.11673046168448034</c:v>
                </c:pt>
                <c:pt idx="3">
                  <c:v>9.1337930706655704E-2</c:v>
                </c:pt>
                <c:pt idx="4">
                  <c:v>-0.1823371253879412</c:v>
                </c:pt>
                <c:pt idx="5">
                  <c:v>-0.28390724929933603</c:v>
                </c:pt>
                <c:pt idx="6">
                  <c:v>-0.33751370358590282</c:v>
                </c:pt>
                <c:pt idx="7">
                  <c:v>-0.5491181284013007</c:v>
                </c:pt>
                <c:pt idx="8">
                  <c:v>-0.58579622870265102</c:v>
                </c:pt>
                <c:pt idx="9">
                  <c:v>-0.83407875381937513</c:v>
                </c:pt>
                <c:pt idx="10">
                  <c:v>0.60144566412830602</c:v>
                </c:pt>
                <c:pt idx="11">
                  <c:v>0.59918855026360573</c:v>
                </c:pt>
                <c:pt idx="12">
                  <c:v>0.73743677447632683</c:v>
                </c:pt>
                <c:pt idx="13">
                  <c:v>1.6402823203553785</c:v>
                </c:pt>
                <c:pt idx="14">
                  <c:v>1.0562541078648582</c:v>
                </c:pt>
                <c:pt idx="15">
                  <c:v>0.82207854440248118</c:v>
                </c:pt>
                <c:pt idx="16">
                  <c:v>0.83618550605682818</c:v>
                </c:pt>
                <c:pt idx="17">
                  <c:v>0.73743677447632683</c:v>
                </c:pt>
                <c:pt idx="18">
                  <c:v>0.72615120515284914</c:v>
                </c:pt>
                <c:pt idx="19">
                  <c:v>0.65843778921191132</c:v>
                </c:pt>
                <c:pt idx="20">
                  <c:v>0.70358006650586991</c:v>
                </c:pt>
                <c:pt idx="21">
                  <c:v>1.2114306860628439</c:v>
                </c:pt>
                <c:pt idx="22">
                  <c:v>1.6021935238885934</c:v>
                </c:pt>
                <c:pt idx="23">
                  <c:v>-1.2149667184871058</c:v>
                </c:pt>
                <c:pt idx="24">
                  <c:v>-0.83972153848111397</c:v>
                </c:pt>
                <c:pt idx="25">
                  <c:v>1.2481087863641462</c:v>
                </c:pt>
                <c:pt idx="26">
                  <c:v>1.2368232170406686</c:v>
                </c:pt>
                <c:pt idx="27">
                  <c:v>1.2452873940333009</c:v>
                </c:pt>
                <c:pt idx="28">
                  <c:v>0.91236309899039836</c:v>
                </c:pt>
                <c:pt idx="29">
                  <c:v>1.7333882672741168</c:v>
                </c:pt>
                <c:pt idx="30">
                  <c:v>0.37911994845559965</c:v>
                </c:pt>
                <c:pt idx="31">
                  <c:v>0.23240754725024623</c:v>
                </c:pt>
                <c:pt idx="32">
                  <c:v>0.21547919326500575</c:v>
                </c:pt>
                <c:pt idx="33">
                  <c:v>4.0552868750934244E-2</c:v>
                </c:pt>
                <c:pt idx="34">
                  <c:v>1.1775739780923389</c:v>
                </c:pt>
                <c:pt idx="35">
                  <c:v>1.3525003026064104</c:v>
                </c:pt>
                <c:pt idx="36">
                  <c:v>1.4117495415547161</c:v>
                </c:pt>
                <c:pt idx="37">
                  <c:v>1.4963913114808702</c:v>
                </c:pt>
                <c:pt idx="38">
                  <c:v>2.3964154650290523</c:v>
                </c:pt>
                <c:pt idx="39">
                  <c:v>2.0691339546479131</c:v>
                </c:pt>
                <c:pt idx="40">
                  <c:v>1.6938887746419211</c:v>
                </c:pt>
                <c:pt idx="41">
                  <c:v>1.8688150991559926</c:v>
                </c:pt>
                <c:pt idx="42">
                  <c:v>1.4286778955399324</c:v>
                </c:pt>
                <c:pt idx="43">
                  <c:v>1.3468575179446716</c:v>
                </c:pt>
                <c:pt idx="44">
                  <c:v>1.3045366329815824</c:v>
                </c:pt>
                <c:pt idx="45">
                  <c:v>1.3327505562903246</c:v>
                </c:pt>
                <c:pt idx="46">
                  <c:v>-0.30647838794631532</c:v>
                </c:pt>
                <c:pt idx="47">
                  <c:v>0.38560915081658004</c:v>
                </c:pt>
                <c:pt idx="48">
                  <c:v>0.12011613248151883</c:v>
                </c:pt>
                <c:pt idx="49">
                  <c:v>-5.6785166664156457E-2</c:v>
                </c:pt>
                <c:pt idx="50">
                  <c:v>0.23522893958109159</c:v>
                </c:pt>
                <c:pt idx="51">
                  <c:v>-5.0578103536224522E-2</c:v>
                </c:pt>
                <c:pt idx="52">
                  <c:v>-0.31155689414188503</c:v>
                </c:pt>
                <c:pt idx="53">
                  <c:v>-0.49438311718237166</c:v>
                </c:pt>
                <c:pt idx="54">
                  <c:v>-0.76580105941224419</c:v>
                </c:pt>
                <c:pt idx="55">
                  <c:v>-0.74125494613366105</c:v>
                </c:pt>
                <c:pt idx="56">
                  <c:v>-0.7734188187056108</c:v>
                </c:pt>
                <c:pt idx="57">
                  <c:v>-1.3489828542034987</c:v>
                </c:pt>
                <c:pt idx="58">
                  <c:v>-0.88486381577504858</c:v>
                </c:pt>
                <c:pt idx="59">
                  <c:v>-0.94975583938511698</c:v>
                </c:pt>
                <c:pt idx="60">
                  <c:v>-0.96950558570122691</c:v>
                </c:pt>
                <c:pt idx="61">
                  <c:v>-1.0400403939730343</c:v>
                </c:pt>
                <c:pt idx="62">
                  <c:v>-0.9977195090099209</c:v>
                </c:pt>
                <c:pt idx="63">
                  <c:v>-1.1444319102152984</c:v>
                </c:pt>
                <c:pt idx="64">
                  <c:v>-1.2121453261562363</c:v>
                </c:pt>
                <c:pt idx="65">
                  <c:v>-1.3278224117219299</c:v>
                </c:pt>
                <c:pt idx="66">
                  <c:v>-1.3588577273615656</c:v>
                </c:pt>
                <c:pt idx="67">
                  <c:v>-1.3898930430011291</c:v>
                </c:pt>
                <c:pt idx="68">
                  <c:v>-1.4999273439051561</c:v>
                </c:pt>
                <c:pt idx="69">
                  <c:v>-1.505570128566895</c:v>
                </c:pt>
                <c:pt idx="70">
                  <c:v>-1.2798587420971261</c:v>
                </c:pt>
                <c:pt idx="71">
                  <c:v>-1.223430895479714</c:v>
                </c:pt>
                <c:pt idx="72">
                  <c:v>-0.89191729660227015</c:v>
                </c:pt>
                <c:pt idx="73">
                  <c:v>-0.56040369772477827</c:v>
                </c:pt>
                <c:pt idx="74">
                  <c:v>-0.37983458854899199</c:v>
                </c:pt>
                <c:pt idx="75">
                  <c:v>-0.39958433486507783</c:v>
                </c:pt>
                <c:pt idx="76">
                  <c:v>-0.55899300155934362</c:v>
                </c:pt>
                <c:pt idx="77">
                  <c:v>-0.66197382163617313</c:v>
                </c:pt>
                <c:pt idx="78">
                  <c:v>-0.74661559156232737</c:v>
                </c:pt>
                <c:pt idx="79">
                  <c:v>-0.84254293081198339</c:v>
                </c:pt>
                <c:pt idx="80">
                  <c:v>-0.91025634675292133</c:v>
                </c:pt>
                <c:pt idx="81">
                  <c:v>-1.0202906476569242</c:v>
                </c:pt>
                <c:pt idx="82">
                  <c:v>-0.69300913727578461</c:v>
                </c:pt>
                <c:pt idx="83">
                  <c:v>-0.63658129065832436</c:v>
                </c:pt>
                <c:pt idx="84">
                  <c:v>-2.8993379400176562</c:v>
                </c:pt>
                <c:pt idx="85">
                  <c:v>-2.8146961700914779</c:v>
                </c:pt>
                <c:pt idx="86">
                  <c:v>-2.8019999046025652</c:v>
                </c:pt>
                <c:pt idx="87">
                  <c:v>-2.5332622850870141</c:v>
                </c:pt>
                <c:pt idx="88">
                  <c:v>-2.5057537098610134</c:v>
                </c:pt>
                <c:pt idx="89">
                  <c:v>-0.31494256493892353</c:v>
                </c:pt>
                <c:pt idx="90">
                  <c:v>-0.33187091892413995</c:v>
                </c:pt>
                <c:pt idx="91">
                  <c:v>-0.28108585696846661</c:v>
                </c:pt>
                <c:pt idx="92">
                  <c:v>-0.35726344990198866</c:v>
                </c:pt>
                <c:pt idx="93">
                  <c:v>-0.36854901922546629</c:v>
                </c:pt>
                <c:pt idx="94">
                  <c:v>-0.49833306644560327</c:v>
                </c:pt>
                <c:pt idx="95">
                  <c:v>-0.36008484223290615</c:v>
                </c:pt>
                <c:pt idx="96">
                  <c:v>-0.18374782155339997</c:v>
                </c:pt>
                <c:pt idx="97">
                  <c:v>-7.4108008738937563E-3</c:v>
                </c:pt>
                <c:pt idx="98">
                  <c:v>8.5695146044892839E-2</c:v>
                </c:pt>
                <c:pt idx="99">
                  <c:v>0.27472843221333543</c:v>
                </c:pt>
                <c:pt idx="100">
                  <c:v>-0.12308788643963559</c:v>
                </c:pt>
                <c:pt idx="101">
                  <c:v>-0.19644408704231228</c:v>
                </c:pt>
                <c:pt idx="102">
                  <c:v>-2.4972895328684048</c:v>
                </c:pt>
                <c:pt idx="103">
                  <c:v>-2.5142178868536456</c:v>
                </c:pt>
                <c:pt idx="104">
                  <c:v>-0.46165496614425289</c:v>
                </c:pt>
                <c:pt idx="105">
                  <c:v>-0.61683154434221443</c:v>
                </c:pt>
                <c:pt idx="106">
                  <c:v>-0.65915242930530371</c:v>
                </c:pt>
                <c:pt idx="107">
                  <c:v>-0.31776395726979295</c:v>
                </c:pt>
                <c:pt idx="108">
                  <c:v>-3.844611651345721E-2</c:v>
                </c:pt>
                <c:pt idx="109">
                  <c:v>0.2521572935663321</c:v>
                </c:pt>
                <c:pt idx="110">
                  <c:v>0.13365881566969678</c:v>
                </c:pt>
                <c:pt idx="114" formatCode="0.0000">
                  <c:v>0.20701501627239755</c:v>
                </c:pt>
                <c:pt idx="115" formatCode="0.0000">
                  <c:v>-0.2331221873436386</c:v>
                </c:pt>
                <c:pt idx="116" formatCode="0.0000">
                  <c:v>-0.61401015201134512</c:v>
                </c:pt>
                <c:pt idx="117" formatCode="0.0000">
                  <c:v>-0.46447635847512225</c:v>
                </c:pt>
                <c:pt idx="118" formatCode="0.0000">
                  <c:v>-0.31494256493892353</c:v>
                </c:pt>
                <c:pt idx="119" formatCode="0.0000">
                  <c:v>-0.30929978027718469</c:v>
                </c:pt>
                <c:pt idx="120" formatCode="0.0000">
                  <c:v>-5.8195862829591161E-2</c:v>
                </c:pt>
                <c:pt idx="121" formatCode="0.0000">
                  <c:v>2.2271319251767197</c:v>
                </c:pt>
                <c:pt idx="122" formatCode="0.0000">
                  <c:v>1.7926375062224464</c:v>
                </c:pt>
                <c:pt idx="123" formatCode="0.0000">
                  <c:v>1.2283590400480604</c:v>
                </c:pt>
                <c:pt idx="124" formatCode="0.0000">
                  <c:v>0.90954170665952894</c:v>
                </c:pt>
                <c:pt idx="125" formatCode="0.0000">
                  <c:v>0.63304525823403857</c:v>
                </c:pt>
                <c:pt idx="126" formatCode="0.0000">
                  <c:v>0.43272640274214241</c:v>
                </c:pt>
                <c:pt idx="127" formatCode="0.0000">
                  <c:v>0.28883539386768248</c:v>
                </c:pt>
                <c:pt idx="128" formatCode="0.0000">
                  <c:v>0.32551349416900877</c:v>
                </c:pt>
                <c:pt idx="129" formatCode="0.0000">
                  <c:v>0.4694045030434687</c:v>
                </c:pt>
                <c:pt idx="130" formatCode="0.0000">
                  <c:v>4.0552868750934244E-2</c:v>
                </c:pt>
                <c:pt idx="131" formatCode="0.0000">
                  <c:v>5.1838438074411859E-2</c:v>
                </c:pt>
                <c:pt idx="132" formatCode="0.0000">
                  <c:v>1.1719311934306</c:v>
                </c:pt>
                <c:pt idx="133" formatCode="0.0000">
                  <c:v>0.94057702229909235</c:v>
                </c:pt>
                <c:pt idx="134" formatCode="0.0000">
                  <c:v>0.54840348830788421</c:v>
                </c:pt>
                <c:pt idx="135" formatCode="0.0000">
                  <c:v>0.51172538800655787</c:v>
                </c:pt>
                <c:pt idx="136" formatCode="0.0000">
                  <c:v>0.52865374199179838</c:v>
                </c:pt>
                <c:pt idx="137" formatCode="0.0000">
                  <c:v>0.68947310485152291</c:v>
                </c:pt>
                <c:pt idx="138" formatCode="0.0000">
                  <c:v>0.36275587293650419</c:v>
                </c:pt>
                <c:pt idx="139" formatCode="0.0000">
                  <c:v>0.22112197792674457</c:v>
                </c:pt>
                <c:pt idx="140" formatCode="0.0000">
                  <c:v>-1.7680162121308893E-3</c:v>
                </c:pt>
                <c:pt idx="141" formatCode="0.0000">
                  <c:v>-0.26133611065238077</c:v>
                </c:pt>
                <c:pt idx="142" formatCode="0.0000">
                  <c:v>-0.1287306711013744</c:v>
                </c:pt>
                <c:pt idx="143" formatCode="0.0000">
                  <c:v>0.1703369159710231</c:v>
                </c:pt>
                <c:pt idx="144" formatCode="0.0000">
                  <c:v>0.28883539386768248</c:v>
                </c:pt>
                <c:pt idx="145" formatCode="0.0000">
                  <c:v>1.2706799250111014</c:v>
                </c:pt>
                <c:pt idx="146" formatCode="0.0000">
                  <c:v>1.905493199457319</c:v>
                </c:pt>
                <c:pt idx="147" formatCode="0.0000">
                  <c:v>0.93775562996822293</c:v>
                </c:pt>
                <c:pt idx="148" formatCode="0.0000">
                  <c:v>0.683830320189736</c:v>
                </c:pt>
                <c:pt idx="149" formatCode="0.0000">
                  <c:v>0.44965475672738286</c:v>
                </c:pt>
                <c:pt idx="150" formatCode="0.0000">
                  <c:v>0.10826628469187213</c:v>
                </c:pt>
                <c:pt idx="151" formatCode="0.0000">
                  <c:v>-0.2020868717040511</c:v>
                </c:pt>
                <c:pt idx="152" formatCode="0.0000">
                  <c:v>-0.28672864163020539</c:v>
                </c:pt>
                <c:pt idx="153" formatCode="0.0000">
                  <c:v>-0.31776395726979295</c:v>
                </c:pt>
                <c:pt idx="154" formatCode="0.0000">
                  <c:v>-0.3036569956154459</c:v>
                </c:pt>
                <c:pt idx="155" formatCode="0.0000">
                  <c:v>-9.7695355461786884E-2</c:v>
                </c:pt>
                <c:pt idx="156" formatCode="0.0000">
                  <c:v>0.52865374199179838</c:v>
                </c:pt>
                <c:pt idx="157" formatCode="0.0000">
                  <c:v>0.49479703402134145</c:v>
                </c:pt>
                <c:pt idx="158" formatCode="0.0000">
                  <c:v>0.42426222574953415</c:v>
                </c:pt>
                <c:pt idx="159" formatCode="0.0000">
                  <c:v>0.50326121101394972</c:v>
                </c:pt>
                <c:pt idx="160" formatCode="0.0000">
                  <c:v>0.29447817852942126</c:v>
                </c:pt>
                <c:pt idx="161" formatCode="0.0000">
                  <c:v>0.24369311657372386</c:v>
                </c:pt>
                <c:pt idx="162" formatCode="0.0000">
                  <c:v>1.0928249276781434E-2</c:v>
                </c:pt>
                <c:pt idx="163" formatCode="0.0000">
                  <c:v>-0.17669434072620241</c:v>
                </c:pt>
                <c:pt idx="164" formatCode="0.0000">
                  <c:v>-0.2726216799758584</c:v>
                </c:pt>
                <c:pt idx="165" formatCode="0.0000">
                  <c:v>-0.56886787471743461</c:v>
                </c:pt>
                <c:pt idx="166" formatCode="0.0000">
                  <c:v>-0.39958433486510192</c:v>
                </c:pt>
                <c:pt idx="167" formatCode="0.0000">
                  <c:v>-0.43908382749729763</c:v>
                </c:pt>
                <c:pt idx="168" formatCode="0.0000">
                  <c:v>1.0336829692178791</c:v>
                </c:pt>
                <c:pt idx="169" formatCode="0.0000">
                  <c:v>0.49479703402134145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7-45FA-953B-1414226F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810031"/>
        <c:axId val="339811951"/>
      </c:areaChart>
      <c:scatterChart>
        <c:scatterStyle val="smoothMarker"/>
        <c:varyColors val="0"/>
        <c:ser>
          <c:idx val="5"/>
          <c:order val="1"/>
          <c:tx>
            <c:strRef>
              <c:f>'Lower Komati '!$G$3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'!$G$4:$G$173</c:f>
              <c:numCache>
                <c:formatCode>General</c:formatCode>
                <c:ptCount val="17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A7-45FA-953B-1414226F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810031"/>
        <c:axId val="339811951"/>
      </c:scatterChart>
      <c:dateAx>
        <c:axId val="339810031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50321799648847687"/>
              <c:y val="0.83875036508633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11951"/>
        <c:crosses val="autoZero"/>
        <c:auto val="1"/>
        <c:lblOffset val="100"/>
        <c:baseTimeUnit val="days"/>
        <c:majorUnit val="1"/>
        <c:majorTimeUnit val="years"/>
      </c:dateAx>
      <c:valAx>
        <c:axId val="339811951"/>
        <c:scaling>
          <c:orientation val="minMax"/>
          <c:max val="2.5"/>
          <c:min val="-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Standardised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1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4"/>
          <c:order val="0"/>
          <c:tx>
            <c:strRef>
              <c:f>Ngwempisi!$F$3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Ngwempisi!$A$68:$A$173</c:f>
              <c:numCache>
                <c:formatCode>yyyy/mm</c:formatCode>
                <c:ptCount val="106"/>
                <c:pt idx="0">
                  <c:v>42543</c:v>
                </c:pt>
                <c:pt idx="1">
                  <c:v>42573</c:v>
                </c:pt>
                <c:pt idx="2">
                  <c:v>42604</c:v>
                </c:pt>
                <c:pt idx="3">
                  <c:v>42635</c:v>
                </c:pt>
                <c:pt idx="4">
                  <c:v>42665</c:v>
                </c:pt>
                <c:pt idx="5">
                  <c:v>42696</c:v>
                </c:pt>
                <c:pt idx="6">
                  <c:v>42726</c:v>
                </c:pt>
                <c:pt idx="7">
                  <c:v>42757</c:v>
                </c:pt>
                <c:pt idx="8">
                  <c:v>42788</c:v>
                </c:pt>
                <c:pt idx="9">
                  <c:v>42816</c:v>
                </c:pt>
                <c:pt idx="10">
                  <c:v>42847</c:v>
                </c:pt>
                <c:pt idx="11">
                  <c:v>42877</c:v>
                </c:pt>
                <c:pt idx="12">
                  <c:v>42908</c:v>
                </c:pt>
                <c:pt idx="13">
                  <c:v>42938</c:v>
                </c:pt>
                <c:pt idx="14">
                  <c:v>42969</c:v>
                </c:pt>
                <c:pt idx="15">
                  <c:v>43000</c:v>
                </c:pt>
                <c:pt idx="16">
                  <c:v>43030</c:v>
                </c:pt>
                <c:pt idx="17">
                  <c:v>43061</c:v>
                </c:pt>
                <c:pt idx="18">
                  <c:v>43091</c:v>
                </c:pt>
                <c:pt idx="19">
                  <c:v>43122</c:v>
                </c:pt>
                <c:pt idx="20">
                  <c:v>43153</c:v>
                </c:pt>
                <c:pt idx="21">
                  <c:v>43181</c:v>
                </c:pt>
                <c:pt idx="22">
                  <c:v>43212</c:v>
                </c:pt>
                <c:pt idx="23">
                  <c:v>43242</c:v>
                </c:pt>
                <c:pt idx="24">
                  <c:v>43273</c:v>
                </c:pt>
                <c:pt idx="25">
                  <c:v>43303</c:v>
                </c:pt>
                <c:pt idx="26">
                  <c:v>43334</c:v>
                </c:pt>
                <c:pt idx="27">
                  <c:v>43365</c:v>
                </c:pt>
                <c:pt idx="28">
                  <c:v>43395</c:v>
                </c:pt>
                <c:pt idx="29">
                  <c:v>43426</c:v>
                </c:pt>
                <c:pt idx="30">
                  <c:v>43456</c:v>
                </c:pt>
                <c:pt idx="31">
                  <c:v>43487</c:v>
                </c:pt>
                <c:pt idx="32">
                  <c:v>43518</c:v>
                </c:pt>
                <c:pt idx="33">
                  <c:v>43546</c:v>
                </c:pt>
                <c:pt idx="34">
                  <c:v>43577</c:v>
                </c:pt>
                <c:pt idx="35">
                  <c:v>43607</c:v>
                </c:pt>
                <c:pt idx="36">
                  <c:v>43638</c:v>
                </c:pt>
                <c:pt idx="37">
                  <c:v>43668</c:v>
                </c:pt>
                <c:pt idx="38">
                  <c:v>43699</c:v>
                </c:pt>
                <c:pt idx="39">
                  <c:v>43730</c:v>
                </c:pt>
                <c:pt idx="40">
                  <c:v>43760</c:v>
                </c:pt>
                <c:pt idx="41">
                  <c:v>43791</c:v>
                </c:pt>
                <c:pt idx="42">
                  <c:v>43821</c:v>
                </c:pt>
                <c:pt idx="43">
                  <c:v>43852</c:v>
                </c:pt>
                <c:pt idx="44">
                  <c:v>43883</c:v>
                </c:pt>
                <c:pt idx="45">
                  <c:v>43912</c:v>
                </c:pt>
                <c:pt idx="46">
                  <c:v>43943</c:v>
                </c:pt>
                <c:pt idx="47">
                  <c:v>43973</c:v>
                </c:pt>
                <c:pt idx="48">
                  <c:v>44004</c:v>
                </c:pt>
                <c:pt idx="49">
                  <c:v>44034</c:v>
                </c:pt>
                <c:pt idx="50">
                  <c:v>44065</c:v>
                </c:pt>
                <c:pt idx="51">
                  <c:v>44096</c:v>
                </c:pt>
                <c:pt idx="52">
                  <c:v>44126</c:v>
                </c:pt>
                <c:pt idx="53">
                  <c:v>44157</c:v>
                </c:pt>
                <c:pt idx="54">
                  <c:v>44187</c:v>
                </c:pt>
                <c:pt idx="55">
                  <c:v>44218</c:v>
                </c:pt>
                <c:pt idx="56">
                  <c:v>44249</c:v>
                </c:pt>
                <c:pt idx="57">
                  <c:v>44277</c:v>
                </c:pt>
                <c:pt idx="58">
                  <c:v>44308</c:v>
                </c:pt>
                <c:pt idx="59">
                  <c:v>44338</c:v>
                </c:pt>
                <c:pt idx="60">
                  <c:v>44369</c:v>
                </c:pt>
                <c:pt idx="61">
                  <c:v>44399</c:v>
                </c:pt>
                <c:pt idx="62">
                  <c:v>44430</c:v>
                </c:pt>
                <c:pt idx="63">
                  <c:v>44461</c:v>
                </c:pt>
                <c:pt idx="64">
                  <c:v>44491</c:v>
                </c:pt>
                <c:pt idx="65">
                  <c:v>44522</c:v>
                </c:pt>
                <c:pt idx="66">
                  <c:v>44552</c:v>
                </c:pt>
                <c:pt idx="67">
                  <c:v>44583</c:v>
                </c:pt>
                <c:pt idx="68">
                  <c:v>44614</c:v>
                </c:pt>
                <c:pt idx="69">
                  <c:v>44642</c:v>
                </c:pt>
                <c:pt idx="70">
                  <c:v>44673</c:v>
                </c:pt>
                <c:pt idx="71">
                  <c:v>44703</c:v>
                </c:pt>
                <c:pt idx="72">
                  <c:v>44734</c:v>
                </c:pt>
                <c:pt idx="73">
                  <c:v>44764</c:v>
                </c:pt>
                <c:pt idx="74">
                  <c:v>44795</c:v>
                </c:pt>
                <c:pt idx="75">
                  <c:v>44826</c:v>
                </c:pt>
                <c:pt idx="76">
                  <c:v>44856</c:v>
                </c:pt>
                <c:pt idx="77">
                  <c:v>44887</c:v>
                </c:pt>
                <c:pt idx="78">
                  <c:v>44917</c:v>
                </c:pt>
                <c:pt idx="79">
                  <c:v>44949</c:v>
                </c:pt>
                <c:pt idx="80">
                  <c:v>44980</c:v>
                </c:pt>
                <c:pt idx="81">
                  <c:v>45008</c:v>
                </c:pt>
                <c:pt idx="82">
                  <c:v>45039</c:v>
                </c:pt>
                <c:pt idx="83">
                  <c:v>45069</c:v>
                </c:pt>
                <c:pt idx="84">
                  <c:v>45100</c:v>
                </c:pt>
                <c:pt idx="85">
                  <c:v>45130</c:v>
                </c:pt>
                <c:pt idx="86">
                  <c:v>45161</c:v>
                </c:pt>
                <c:pt idx="87">
                  <c:v>45192</c:v>
                </c:pt>
                <c:pt idx="88">
                  <c:v>45222</c:v>
                </c:pt>
                <c:pt idx="89">
                  <c:v>45253</c:v>
                </c:pt>
                <c:pt idx="90">
                  <c:v>45283</c:v>
                </c:pt>
                <c:pt idx="91">
                  <c:v>45315</c:v>
                </c:pt>
                <c:pt idx="92">
                  <c:v>45346</c:v>
                </c:pt>
                <c:pt idx="93">
                  <c:v>45375</c:v>
                </c:pt>
                <c:pt idx="94">
                  <c:v>45406</c:v>
                </c:pt>
                <c:pt idx="95">
                  <c:v>45436</c:v>
                </c:pt>
                <c:pt idx="96">
                  <c:v>45468</c:v>
                </c:pt>
                <c:pt idx="97">
                  <c:v>45500</c:v>
                </c:pt>
                <c:pt idx="98">
                  <c:v>45514</c:v>
                </c:pt>
                <c:pt idx="99">
                  <c:v>45545</c:v>
                </c:pt>
                <c:pt idx="100">
                  <c:v>45575</c:v>
                </c:pt>
                <c:pt idx="101">
                  <c:v>45606</c:v>
                </c:pt>
                <c:pt idx="102">
                  <c:v>45636</c:v>
                </c:pt>
                <c:pt idx="103">
                  <c:v>45667</c:v>
                </c:pt>
                <c:pt idx="104">
                  <c:v>45698</c:v>
                </c:pt>
                <c:pt idx="105">
                  <c:v>45720</c:v>
                </c:pt>
              </c:numCache>
            </c:numRef>
          </c:cat>
          <c:val>
            <c:numRef>
              <c:f>Ngwempisi!$F$68:$F$173</c:f>
              <c:numCache>
                <c:formatCode>0.00</c:formatCode>
                <c:ptCount val="106"/>
                <c:pt idx="0">
                  <c:v>-0.28069377288638436</c:v>
                </c:pt>
                <c:pt idx="1">
                  <c:v>-0.3286282071080226</c:v>
                </c:pt>
                <c:pt idx="2">
                  <c:v>-0.33661727947830911</c:v>
                </c:pt>
                <c:pt idx="3">
                  <c:v>-0.37389961720621856</c:v>
                </c:pt>
                <c:pt idx="4">
                  <c:v>-0.33217890593925209</c:v>
                </c:pt>
                <c:pt idx="5">
                  <c:v>-0.28246912230199911</c:v>
                </c:pt>
                <c:pt idx="6">
                  <c:v>9.7695592689177602</c:v>
                </c:pt>
                <c:pt idx="7">
                  <c:v>-0.21766886863204105</c:v>
                </c:pt>
                <c:pt idx="8">
                  <c:v>-0.22033189275544296</c:v>
                </c:pt>
                <c:pt idx="9">
                  <c:v>-0.14044116905269907</c:v>
                </c:pt>
                <c:pt idx="10">
                  <c:v>-0.12712604843556838</c:v>
                </c:pt>
                <c:pt idx="11">
                  <c:v>-0.13067674726679784</c:v>
                </c:pt>
                <c:pt idx="12">
                  <c:v>-0.12890139785118312</c:v>
                </c:pt>
                <c:pt idx="13">
                  <c:v>-0.15198094025417469</c:v>
                </c:pt>
                <c:pt idx="14">
                  <c:v>-0.17594815736503419</c:v>
                </c:pt>
                <c:pt idx="15">
                  <c:v>-0.22565794100228717</c:v>
                </c:pt>
                <c:pt idx="16">
                  <c:v>-0.27536772463954012</c:v>
                </c:pt>
                <c:pt idx="17">
                  <c:v>-0.20346607330708277</c:v>
                </c:pt>
                <c:pt idx="18">
                  <c:v>0.16669427984893287</c:v>
                </c:pt>
                <c:pt idx="19">
                  <c:v>0.43033366806794326</c:v>
                </c:pt>
                <c:pt idx="20">
                  <c:v>0.33801549845589623</c:v>
                </c:pt>
                <c:pt idx="21">
                  <c:v>0.48448182524425326</c:v>
                </c:pt>
                <c:pt idx="22">
                  <c:v>0.41701854745085287</c:v>
                </c:pt>
                <c:pt idx="23">
                  <c:v>0.36464573969015762</c:v>
                </c:pt>
                <c:pt idx="24">
                  <c:v>0.36109504085892813</c:v>
                </c:pt>
                <c:pt idx="25">
                  <c:v>0.33446479962466674</c:v>
                </c:pt>
                <c:pt idx="26">
                  <c:v>0.12586124328975357</c:v>
                </c:pt>
                <c:pt idx="27">
                  <c:v>4.3307495463607779E-2</c:v>
                </c:pt>
                <c:pt idx="28">
                  <c:v>1.6677254229346367E-2</c:v>
                </c:pt>
                <c:pt idx="29">
                  <c:v>1.6677254229346367E-2</c:v>
                </c:pt>
                <c:pt idx="30">
                  <c:v>3.3543073677706543E-2</c:v>
                </c:pt>
                <c:pt idx="31">
                  <c:v>-1.2172173774403191E-2</c:v>
                </c:pt>
                <c:pt idx="32">
                  <c:v>-3.3032529407906616E-2</c:v>
                </c:pt>
                <c:pt idx="33">
                  <c:v>-4.0133927070405931E-2</c:v>
                </c:pt>
                <c:pt idx="34">
                  <c:v>-3.2144854700119435E-2</c:v>
                </c:pt>
                <c:pt idx="35">
                  <c:v>-7.1202541843643635E-2</c:v>
                </c:pt>
                <c:pt idx="36">
                  <c:v>-0.12002465077310943</c:v>
                </c:pt>
                <c:pt idx="37">
                  <c:v>-0.17594815736503419</c:v>
                </c:pt>
                <c:pt idx="38">
                  <c:v>-0.21234282038515645</c:v>
                </c:pt>
                <c:pt idx="39">
                  <c:v>-0.25938957989896716</c:v>
                </c:pt>
                <c:pt idx="40">
                  <c:v>-0.29844726704257207</c:v>
                </c:pt>
                <c:pt idx="41">
                  <c:v>-0.29489656821134264</c:v>
                </c:pt>
                <c:pt idx="42">
                  <c:v>-0.14132884376048627</c:v>
                </c:pt>
                <c:pt idx="43">
                  <c:v>-0.14754256671515803</c:v>
                </c:pt>
                <c:pt idx="44">
                  <c:v>-0.10937255427942101</c:v>
                </c:pt>
                <c:pt idx="47">
                  <c:v>-0.15641931379323171</c:v>
                </c:pt>
                <c:pt idx="48">
                  <c:v>-0.24163608574281978</c:v>
                </c:pt>
                <c:pt idx="49">
                  <c:v>-0.2957842429191298</c:v>
                </c:pt>
                <c:pt idx="50" formatCode="0.0000">
                  <c:v>-0.29400889350351506</c:v>
                </c:pt>
                <c:pt idx="51" formatCode="0.0000">
                  <c:v>-0.29755959233474455</c:v>
                </c:pt>
                <c:pt idx="52" formatCode="0.0000">
                  <c:v>-0.34194332772515329</c:v>
                </c:pt>
                <c:pt idx="53" formatCode="0.0000">
                  <c:v>-0.36679821954375963</c:v>
                </c:pt>
                <c:pt idx="54" formatCode="0.0000">
                  <c:v>-0.36679821954379999</c:v>
                </c:pt>
                <c:pt idx="55" formatCode="0.0000">
                  <c:v>-0.18660025385872259</c:v>
                </c:pt>
                <c:pt idx="56" formatCode="0.0000">
                  <c:v>-0.11425476517239182</c:v>
                </c:pt>
                <c:pt idx="57" formatCode="0.0000">
                  <c:v>-4.013392707036556E-2</c:v>
                </c:pt>
                <c:pt idx="58" formatCode="0.0000">
                  <c:v>-2.6374969099321081E-2</c:v>
                </c:pt>
                <c:pt idx="59" formatCode="0.0000">
                  <c:v>-1.2616011128316966E-2</c:v>
                </c:pt>
                <c:pt idx="60" formatCode="0.0000">
                  <c:v>-5.9662770642168031E-2</c:v>
                </c:pt>
                <c:pt idx="61" formatCode="0.0000">
                  <c:v>-0.11292325311065049</c:v>
                </c:pt>
                <c:pt idx="62" formatCode="0.0000">
                  <c:v>-0.15020559083860033</c:v>
                </c:pt>
                <c:pt idx="63" formatCode="0.0000">
                  <c:v>-0.17772350678060855</c:v>
                </c:pt>
                <c:pt idx="64" formatCode="0.0000">
                  <c:v>-0.19902769976806611</c:v>
                </c:pt>
                <c:pt idx="65" formatCode="0.0000">
                  <c:v>-0.18304955502749312</c:v>
                </c:pt>
                <c:pt idx="66" formatCode="0.0000">
                  <c:v>3.4430748385493731E-2</c:v>
                </c:pt>
                <c:pt idx="67" formatCode="0.0000">
                  <c:v>-1.7914341863721204</c:v>
                </c:pt>
                <c:pt idx="68" formatCode="0.0000">
                  <c:v>3.9756796632378306E-2</c:v>
                </c:pt>
                <c:pt idx="69" formatCode="0.0000">
                  <c:v>0.14627776156934322</c:v>
                </c:pt>
                <c:pt idx="70" formatCode="0.0000">
                  <c:v>0.10189402617893445</c:v>
                </c:pt>
                <c:pt idx="71" formatCode="0.0000">
                  <c:v>8.9466580269590923E-2</c:v>
                </c:pt>
                <c:pt idx="72" formatCode="0.0000">
                  <c:v>0.12586124328975357</c:v>
                </c:pt>
                <c:pt idx="73" formatCode="0.0000">
                  <c:v>3.9756796632378306E-2</c:v>
                </c:pt>
                <c:pt idx="74" formatCode="0.0000">
                  <c:v>-7.3865565967045549E-2</c:v>
                </c:pt>
                <c:pt idx="75" formatCode="0.0000">
                  <c:v>-6.321346947335714E-2</c:v>
                </c:pt>
                <c:pt idx="76" formatCode="0.0000">
                  <c:v>-0.10582185544819155</c:v>
                </c:pt>
                <c:pt idx="77" formatCode="0.0000">
                  <c:v>-0.15198094025417469</c:v>
                </c:pt>
                <c:pt idx="78" formatCode="0.0000">
                  <c:v>0.16136823160208866</c:v>
                </c:pt>
                <c:pt idx="79" formatCode="0.0000">
                  <c:v>4.5970519587009699E-2</c:v>
                </c:pt>
                <c:pt idx="80" formatCode="0.0000">
                  <c:v>0.23326988293454604</c:v>
                </c:pt>
                <c:pt idx="81" formatCode="0.0000">
                  <c:v>0.18444777400508022</c:v>
                </c:pt>
                <c:pt idx="82" formatCode="0.0000">
                  <c:v>0.13296264095221252</c:v>
                </c:pt>
                <c:pt idx="83" formatCode="0.0000">
                  <c:v>5.1296567833894274E-2</c:v>
                </c:pt>
                <c:pt idx="84" formatCode="0.0000">
                  <c:v>-4.0133927070405931E-2</c:v>
                </c:pt>
                <c:pt idx="85" formatCode="0.0000">
                  <c:v>-8.0079288921757683E-2</c:v>
                </c:pt>
                <c:pt idx="86" formatCode="0.0000">
                  <c:v>-0.10049580720130696</c:v>
                </c:pt>
                <c:pt idx="87" formatCode="0.0000">
                  <c:v>-0.14310419317614137</c:v>
                </c:pt>
                <c:pt idx="88" formatCode="0.0000">
                  <c:v>-0.11736162664970751</c:v>
                </c:pt>
                <c:pt idx="89" formatCode="0.0000">
                  <c:v>-3.5695553531348907E-2</c:v>
                </c:pt>
                <c:pt idx="90" formatCode="0.0000">
                  <c:v>5.7510290788525667E-2</c:v>
                </c:pt>
                <c:pt idx="91" formatCode="0.0000">
                  <c:v>5.4847266665123746E-2</c:v>
                </c:pt>
                <c:pt idx="92" formatCode="0.0000">
                  <c:v>5.0408893126066723E-2</c:v>
                </c:pt>
                <c:pt idx="93" formatCode="0.0000">
                  <c:v>-2.7706481161062408E-2</c:v>
                </c:pt>
                <c:pt idx="94" formatCode="0.0000">
                  <c:v>-8.3629987752987148E-2</c:v>
                </c:pt>
                <c:pt idx="95" formatCode="0.0000">
                  <c:v>-0.11913697606528188</c:v>
                </c:pt>
                <c:pt idx="96" formatCode="0.0000">
                  <c:v>-0.12180000018872417</c:v>
                </c:pt>
                <c:pt idx="97" formatCode="0.0000">
                  <c:v>-0.22299491687884487</c:v>
                </c:pt>
                <c:pt idx="98" formatCode="0.0000">
                  <c:v>-0.25317585694433575</c:v>
                </c:pt>
                <c:pt idx="99" formatCode="0.0000">
                  <c:v>-0.28335679700982663</c:v>
                </c:pt>
                <c:pt idx="100" formatCode="0.0000">
                  <c:v>-0.28823900790275708</c:v>
                </c:pt>
                <c:pt idx="101" formatCode="0.0000">
                  <c:v>-0.33129123123146487</c:v>
                </c:pt>
                <c:pt idx="102" formatCode="0.0000">
                  <c:v>-0.34726937597199753</c:v>
                </c:pt>
                <c:pt idx="103" formatCode="0.0000">
                  <c:v>-0.1706221091181496</c:v>
                </c:pt>
                <c:pt idx="104" formatCode="0.0000">
                  <c:v>1.5867841966009243E-3</c:v>
                </c:pt>
                <c:pt idx="105" formatCode="0.0000">
                  <c:v>2.4744589044284758E-3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0C-40D9-9EA8-9B40239A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74144"/>
        <c:axId val="689574624"/>
      </c:areaChart>
      <c:scatterChart>
        <c:scatterStyle val="smoothMarker"/>
        <c:varyColors val="0"/>
        <c:ser>
          <c:idx val="5"/>
          <c:order val="1"/>
          <c:tx>
            <c:strRef>
              <c:f>Ngwempisi!$G$3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Ngwempisi!$A$68:$A$173</c:f>
              <c:numCache>
                <c:formatCode>yyyy/mm</c:formatCode>
                <c:ptCount val="106"/>
                <c:pt idx="0">
                  <c:v>42543</c:v>
                </c:pt>
                <c:pt idx="1">
                  <c:v>42573</c:v>
                </c:pt>
                <c:pt idx="2">
                  <c:v>42604</c:v>
                </c:pt>
                <c:pt idx="3">
                  <c:v>42635</c:v>
                </c:pt>
                <c:pt idx="4">
                  <c:v>42665</c:v>
                </c:pt>
                <c:pt idx="5">
                  <c:v>42696</c:v>
                </c:pt>
                <c:pt idx="6">
                  <c:v>42726</c:v>
                </c:pt>
                <c:pt idx="7">
                  <c:v>42757</c:v>
                </c:pt>
                <c:pt idx="8">
                  <c:v>42788</c:v>
                </c:pt>
                <c:pt idx="9">
                  <c:v>42816</c:v>
                </c:pt>
                <c:pt idx="10">
                  <c:v>42847</c:v>
                </c:pt>
                <c:pt idx="11">
                  <c:v>42877</c:v>
                </c:pt>
                <c:pt idx="12">
                  <c:v>42908</c:v>
                </c:pt>
                <c:pt idx="13">
                  <c:v>42938</c:v>
                </c:pt>
                <c:pt idx="14">
                  <c:v>42969</c:v>
                </c:pt>
                <c:pt idx="15">
                  <c:v>43000</c:v>
                </c:pt>
                <c:pt idx="16">
                  <c:v>43030</c:v>
                </c:pt>
                <c:pt idx="17">
                  <c:v>43061</c:v>
                </c:pt>
                <c:pt idx="18">
                  <c:v>43091</c:v>
                </c:pt>
                <c:pt idx="19">
                  <c:v>43122</c:v>
                </c:pt>
                <c:pt idx="20">
                  <c:v>43153</c:v>
                </c:pt>
                <c:pt idx="21">
                  <c:v>43181</c:v>
                </c:pt>
                <c:pt idx="22">
                  <c:v>43212</c:v>
                </c:pt>
                <c:pt idx="23">
                  <c:v>43242</c:v>
                </c:pt>
                <c:pt idx="24">
                  <c:v>43273</c:v>
                </c:pt>
                <c:pt idx="25">
                  <c:v>43303</c:v>
                </c:pt>
                <c:pt idx="26">
                  <c:v>43334</c:v>
                </c:pt>
                <c:pt idx="27">
                  <c:v>43365</c:v>
                </c:pt>
                <c:pt idx="28">
                  <c:v>43395</c:v>
                </c:pt>
                <c:pt idx="29">
                  <c:v>43426</c:v>
                </c:pt>
                <c:pt idx="30">
                  <c:v>43456</c:v>
                </c:pt>
                <c:pt idx="31">
                  <c:v>43487</c:v>
                </c:pt>
                <c:pt idx="32">
                  <c:v>43518</c:v>
                </c:pt>
                <c:pt idx="33">
                  <c:v>43546</c:v>
                </c:pt>
                <c:pt idx="34">
                  <c:v>43577</c:v>
                </c:pt>
                <c:pt idx="35">
                  <c:v>43607</c:v>
                </c:pt>
                <c:pt idx="36">
                  <c:v>43638</c:v>
                </c:pt>
                <c:pt idx="37">
                  <c:v>43668</c:v>
                </c:pt>
                <c:pt idx="38">
                  <c:v>43699</c:v>
                </c:pt>
                <c:pt idx="39">
                  <c:v>43730</c:v>
                </c:pt>
                <c:pt idx="40">
                  <c:v>43760</c:v>
                </c:pt>
                <c:pt idx="41">
                  <c:v>43791</c:v>
                </c:pt>
                <c:pt idx="42">
                  <c:v>43821</c:v>
                </c:pt>
                <c:pt idx="43">
                  <c:v>43852</c:v>
                </c:pt>
                <c:pt idx="44">
                  <c:v>43883</c:v>
                </c:pt>
                <c:pt idx="45">
                  <c:v>43912</c:v>
                </c:pt>
                <c:pt idx="46">
                  <c:v>43943</c:v>
                </c:pt>
                <c:pt idx="47">
                  <c:v>43973</c:v>
                </c:pt>
                <c:pt idx="48">
                  <c:v>44004</c:v>
                </c:pt>
                <c:pt idx="49">
                  <c:v>44034</c:v>
                </c:pt>
                <c:pt idx="50">
                  <c:v>44065</c:v>
                </c:pt>
                <c:pt idx="51">
                  <c:v>44096</c:v>
                </c:pt>
                <c:pt idx="52">
                  <c:v>44126</c:v>
                </c:pt>
                <c:pt idx="53">
                  <c:v>44157</c:v>
                </c:pt>
                <c:pt idx="54">
                  <c:v>44187</c:v>
                </c:pt>
                <c:pt idx="55">
                  <c:v>44218</c:v>
                </c:pt>
                <c:pt idx="56">
                  <c:v>44249</c:v>
                </c:pt>
                <c:pt idx="57">
                  <c:v>44277</c:v>
                </c:pt>
                <c:pt idx="58">
                  <c:v>44308</c:v>
                </c:pt>
                <c:pt idx="59">
                  <c:v>44338</c:v>
                </c:pt>
                <c:pt idx="60">
                  <c:v>44369</c:v>
                </c:pt>
                <c:pt idx="61">
                  <c:v>44399</c:v>
                </c:pt>
                <c:pt idx="62">
                  <c:v>44430</c:v>
                </c:pt>
                <c:pt idx="63">
                  <c:v>44461</c:v>
                </c:pt>
                <c:pt idx="64">
                  <c:v>44491</c:v>
                </c:pt>
                <c:pt idx="65">
                  <c:v>44522</c:v>
                </c:pt>
                <c:pt idx="66">
                  <c:v>44552</c:v>
                </c:pt>
                <c:pt idx="67">
                  <c:v>44583</c:v>
                </c:pt>
                <c:pt idx="68">
                  <c:v>44614</c:v>
                </c:pt>
                <c:pt idx="69">
                  <c:v>44642</c:v>
                </c:pt>
                <c:pt idx="70">
                  <c:v>44673</c:v>
                </c:pt>
                <c:pt idx="71">
                  <c:v>44703</c:v>
                </c:pt>
                <c:pt idx="72">
                  <c:v>44734</c:v>
                </c:pt>
                <c:pt idx="73">
                  <c:v>44764</c:v>
                </c:pt>
                <c:pt idx="74">
                  <c:v>44795</c:v>
                </c:pt>
                <c:pt idx="75">
                  <c:v>44826</c:v>
                </c:pt>
                <c:pt idx="76">
                  <c:v>44856</c:v>
                </c:pt>
                <c:pt idx="77">
                  <c:v>44887</c:v>
                </c:pt>
                <c:pt idx="78">
                  <c:v>44917</c:v>
                </c:pt>
                <c:pt idx="79">
                  <c:v>44949</c:v>
                </c:pt>
                <c:pt idx="80">
                  <c:v>44980</c:v>
                </c:pt>
                <c:pt idx="81">
                  <c:v>45008</c:v>
                </c:pt>
                <c:pt idx="82">
                  <c:v>45039</c:v>
                </c:pt>
                <c:pt idx="83">
                  <c:v>45069</c:v>
                </c:pt>
                <c:pt idx="84">
                  <c:v>45100</c:v>
                </c:pt>
                <c:pt idx="85">
                  <c:v>45130</c:v>
                </c:pt>
                <c:pt idx="86">
                  <c:v>45161</c:v>
                </c:pt>
                <c:pt idx="87">
                  <c:v>45192</c:v>
                </c:pt>
                <c:pt idx="88">
                  <c:v>45222</c:v>
                </c:pt>
                <c:pt idx="89">
                  <c:v>45253</c:v>
                </c:pt>
                <c:pt idx="90">
                  <c:v>45283</c:v>
                </c:pt>
                <c:pt idx="91">
                  <c:v>45315</c:v>
                </c:pt>
                <c:pt idx="92">
                  <c:v>45346</c:v>
                </c:pt>
                <c:pt idx="93">
                  <c:v>45375</c:v>
                </c:pt>
                <c:pt idx="94">
                  <c:v>45406</c:v>
                </c:pt>
                <c:pt idx="95">
                  <c:v>45436</c:v>
                </c:pt>
                <c:pt idx="96">
                  <c:v>45468</c:v>
                </c:pt>
                <c:pt idx="97">
                  <c:v>45500</c:v>
                </c:pt>
                <c:pt idx="98">
                  <c:v>45514</c:v>
                </c:pt>
                <c:pt idx="99">
                  <c:v>45545</c:v>
                </c:pt>
                <c:pt idx="100">
                  <c:v>45575</c:v>
                </c:pt>
                <c:pt idx="101">
                  <c:v>45606</c:v>
                </c:pt>
                <c:pt idx="102">
                  <c:v>45636</c:v>
                </c:pt>
                <c:pt idx="103">
                  <c:v>45667</c:v>
                </c:pt>
                <c:pt idx="104">
                  <c:v>45698</c:v>
                </c:pt>
                <c:pt idx="105">
                  <c:v>45720</c:v>
                </c:pt>
              </c:numCache>
            </c:numRef>
          </c:xVal>
          <c:yVal>
            <c:numRef>
              <c:f>Ngwempisi!$G$68:$G$173</c:f>
              <c:numCache>
                <c:formatCode>General</c:formatCode>
                <c:ptCount val="10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0C-40D9-9EA8-9B40239A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74144"/>
        <c:axId val="689574624"/>
      </c:scatterChart>
      <c:dateAx>
        <c:axId val="68957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574624"/>
        <c:crosses val="autoZero"/>
        <c:auto val="1"/>
        <c:lblOffset val="100"/>
        <c:baseTimeUnit val="days"/>
        <c:majorUnit val="6"/>
        <c:majorTimeUnit val="months"/>
      </c:dateAx>
      <c:valAx>
        <c:axId val="689574624"/>
        <c:scaling>
          <c:orientation val="minMax"/>
          <c:max val="9.5"/>
          <c:min val="-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Standariswed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5741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4"/>
          <c:order val="0"/>
          <c:tx>
            <c:strRef>
              <c:f>Assegai!$F$3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Assegai!$A$69:$A$174</c:f>
              <c:numCache>
                <c:formatCode>yyyy/mm</c:formatCode>
                <c:ptCount val="106"/>
                <c:pt idx="0">
                  <c:v>42573</c:v>
                </c:pt>
                <c:pt idx="1">
                  <c:v>42604</c:v>
                </c:pt>
                <c:pt idx="2">
                  <c:v>42635</c:v>
                </c:pt>
                <c:pt idx="3">
                  <c:v>42665</c:v>
                </c:pt>
                <c:pt idx="4">
                  <c:v>42696</c:v>
                </c:pt>
                <c:pt idx="5">
                  <c:v>42726</c:v>
                </c:pt>
                <c:pt idx="6">
                  <c:v>42757</c:v>
                </c:pt>
                <c:pt idx="7">
                  <c:v>42788</c:v>
                </c:pt>
                <c:pt idx="8">
                  <c:v>42816</c:v>
                </c:pt>
                <c:pt idx="9">
                  <c:v>42847</c:v>
                </c:pt>
                <c:pt idx="10">
                  <c:v>42877</c:v>
                </c:pt>
                <c:pt idx="11">
                  <c:v>42908</c:v>
                </c:pt>
                <c:pt idx="12">
                  <c:v>42938</c:v>
                </c:pt>
                <c:pt idx="13">
                  <c:v>42969</c:v>
                </c:pt>
                <c:pt idx="14">
                  <c:v>43000</c:v>
                </c:pt>
                <c:pt idx="15">
                  <c:v>43030</c:v>
                </c:pt>
                <c:pt idx="16">
                  <c:v>43061</c:v>
                </c:pt>
                <c:pt idx="17">
                  <c:v>43091</c:v>
                </c:pt>
                <c:pt idx="18">
                  <c:v>43122</c:v>
                </c:pt>
                <c:pt idx="19">
                  <c:v>43153</c:v>
                </c:pt>
                <c:pt idx="20">
                  <c:v>43181</c:v>
                </c:pt>
                <c:pt idx="21">
                  <c:v>43212</c:v>
                </c:pt>
                <c:pt idx="22">
                  <c:v>43242</c:v>
                </c:pt>
                <c:pt idx="23">
                  <c:v>43273</c:v>
                </c:pt>
                <c:pt idx="24">
                  <c:v>43303</c:v>
                </c:pt>
                <c:pt idx="25">
                  <c:v>43334</c:v>
                </c:pt>
                <c:pt idx="26">
                  <c:v>43365</c:v>
                </c:pt>
                <c:pt idx="27">
                  <c:v>43395</c:v>
                </c:pt>
                <c:pt idx="28">
                  <c:v>43426</c:v>
                </c:pt>
                <c:pt idx="29">
                  <c:v>43456</c:v>
                </c:pt>
                <c:pt idx="30">
                  <c:v>43487</c:v>
                </c:pt>
                <c:pt idx="31">
                  <c:v>43518</c:v>
                </c:pt>
                <c:pt idx="32">
                  <c:v>43546</c:v>
                </c:pt>
                <c:pt idx="33">
                  <c:v>43577</c:v>
                </c:pt>
                <c:pt idx="34">
                  <c:v>43607</c:v>
                </c:pt>
                <c:pt idx="35">
                  <c:v>43638</c:v>
                </c:pt>
                <c:pt idx="36">
                  <c:v>43668</c:v>
                </c:pt>
                <c:pt idx="37">
                  <c:v>43699</c:v>
                </c:pt>
                <c:pt idx="38">
                  <c:v>43730</c:v>
                </c:pt>
                <c:pt idx="39">
                  <c:v>43760</c:v>
                </c:pt>
                <c:pt idx="40">
                  <c:v>43791</c:v>
                </c:pt>
                <c:pt idx="41">
                  <c:v>43821</c:v>
                </c:pt>
                <c:pt idx="42">
                  <c:v>43852</c:v>
                </c:pt>
                <c:pt idx="43">
                  <c:v>43883</c:v>
                </c:pt>
                <c:pt idx="44">
                  <c:v>43912</c:v>
                </c:pt>
                <c:pt idx="45">
                  <c:v>43943</c:v>
                </c:pt>
                <c:pt idx="46">
                  <c:v>43973</c:v>
                </c:pt>
                <c:pt idx="47">
                  <c:v>44004</c:v>
                </c:pt>
                <c:pt idx="48">
                  <c:v>44034</c:v>
                </c:pt>
                <c:pt idx="49">
                  <c:v>44065</c:v>
                </c:pt>
                <c:pt idx="50">
                  <c:v>44096</c:v>
                </c:pt>
                <c:pt idx="51">
                  <c:v>44126</c:v>
                </c:pt>
                <c:pt idx="52">
                  <c:v>44157</c:v>
                </c:pt>
                <c:pt idx="53">
                  <c:v>44187</c:v>
                </c:pt>
                <c:pt idx="54">
                  <c:v>44218</c:v>
                </c:pt>
                <c:pt idx="55">
                  <c:v>44249</c:v>
                </c:pt>
                <c:pt idx="56">
                  <c:v>44277</c:v>
                </c:pt>
                <c:pt idx="57">
                  <c:v>44308</c:v>
                </c:pt>
                <c:pt idx="58">
                  <c:v>44338</c:v>
                </c:pt>
                <c:pt idx="59">
                  <c:v>44369</c:v>
                </c:pt>
                <c:pt idx="60">
                  <c:v>44399</c:v>
                </c:pt>
                <c:pt idx="61">
                  <c:v>44430</c:v>
                </c:pt>
                <c:pt idx="62">
                  <c:v>44461</c:v>
                </c:pt>
                <c:pt idx="63">
                  <c:v>44491</c:v>
                </c:pt>
                <c:pt idx="64">
                  <c:v>44522</c:v>
                </c:pt>
                <c:pt idx="65">
                  <c:v>44552</c:v>
                </c:pt>
                <c:pt idx="66">
                  <c:v>44583</c:v>
                </c:pt>
                <c:pt idx="67">
                  <c:v>44614</c:v>
                </c:pt>
                <c:pt idx="68">
                  <c:v>44642</c:v>
                </c:pt>
                <c:pt idx="69">
                  <c:v>44673</c:v>
                </c:pt>
                <c:pt idx="70">
                  <c:v>44703</c:v>
                </c:pt>
                <c:pt idx="71">
                  <c:v>44734</c:v>
                </c:pt>
                <c:pt idx="72">
                  <c:v>44764</c:v>
                </c:pt>
                <c:pt idx="73">
                  <c:v>44795</c:v>
                </c:pt>
                <c:pt idx="74">
                  <c:v>44826</c:v>
                </c:pt>
                <c:pt idx="75">
                  <c:v>44856</c:v>
                </c:pt>
                <c:pt idx="76">
                  <c:v>44887</c:v>
                </c:pt>
                <c:pt idx="77">
                  <c:v>44917</c:v>
                </c:pt>
                <c:pt idx="78">
                  <c:v>44949</c:v>
                </c:pt>
                <c:pt idx="79">
                  <c:v>44980</c:v>
                </c:pt>
                <c:pt idx="80">
                  <c:v>45008</c:v>
                </c:pt>
                <c:pt idx="81">
                  <c:v>45039</c:v>
                </c:pt>
                <c:pt idx="82">
                  <c:v>45069</c:v>
                </c:pt>
                <c:pt idx="83">
                  <c:v>45100</c:v>
                </c:pt>
                <c:pt idx="84">
                  <c:v>45130</c:v>
                </c:pt>
                <c:pt idx="85">
                  <c:v>45161</c:v>
                </c:pt>
                <c:pt idx="86">
                  <c:v>45192</c:v>
                </c:pt>
                <c:pt idx="87">
                  <c:v>45222</c:v>
                </c:pt>
                <c:pt idx="88">
                  <c:v>45253</c:v>
                </c:pt>
                <c:pt idx="89">
                  <c:v>45283</c:v>
                </c:pt>
                <c:pt idx="90">
                  <c:v>45315</c:v>
                </c:pt>
                <c:pt idx="91">
                  <c:v>45346</c:v>
                </c:pt>
                <c:pt idx="92">
                  <c:v>45375</c:v>
                </c:pt>
                <c:pt idx="93">
                  <c:v>45406</c:v>
                </c:pt>
                <c:pt idx="94">
                  <c:v>45436</c:v>
                </c:pt>
                <c:pt idx="95">
                  <c:v>45468</c:v>
                </c:pt>
                <c:pt idx="96">
                  <c:v>45500</c:v>
                </c:pt>
                <c:pt idx="97">
                  <c:v>45514</c:v>
                </c:pt>
                <c:pt idx="98">
                  <c:v>45545</c:v>
                </c:pt>
                <c:pt idx="99">
                  <c:v>45575</c:v>
                </c:pt>
                <c:pt idx="100">
                  <c:v>45606</c:v>
                </c:pt>
                <c:pt idx="101">
                  <c:v>45636</c:v>
                </c:pt>
                <c:pt idx="102">
                  <c:v>45667</c:v>
                </c:pt>
                <c:pt idx="103">
                  <c:v>45698</c:v>
                </c:pt>
                <c:pt idx="104">
                  <c:v>45751</c:v>
                </c:pt>
                <c:pt idx="105">
                  <c:v>45721</c:v>
                </c:pt>
              </c:numCache>
            </c:numRef>
          </c:cat>
          <c:val>
            <c:numRef>
              <c:f>Assegai!$F$69:$F$174</c:f>
              <c:numCache>
                <c:formatCode>0.00</c:formatCode>
                <c:ptCount val="106"/>
                <c:pt idx="0">
                  <c:v>-0.55186820012085314</c:v>
                </c:pt>
                <c:pt idx="1">
                  <c:v>-0.74942441429245443</c:v>
                </c:pt>
                <c:pt idx="2">
                  <c:v>-0.93820035227866017</c:v>
                </c:pt>
                <c:pt idx="3">
                  <c:v>-0.98210173320563832</c:v>
                </c:pt>
                <c:pt idx="4">
                  <c:v>-0.95137076655675357</c:v>
                </c:pt>
                <c:pt idx="5">
                  <c:v>-0.92942007609326449</c:v>
                </c:pt>
                <c:pt idx="6">
                  <c:v>-3.0981482938879816</c:v>
                </c:pt>
                <c:pt idx="7">
                  <c:v>-0.94259049037135789</c:v>
                </c:pt>
                <c:pt idx="8">
                  <c:v>-0.74283920715335783</c:v>
                </c:pt>
                <c:pt idx="9">
                  <c:v>-0.70991317145817412</c:v>
                </c:pt>
                <c:pt idx="10">
                  <c:v>-0.72308358573626752</c:v>
                </c:pt>
                <c:pt idx="11">
                  <c:v>-0.73186386192166319</c:v>
                </c:pt>
                <c:pt idx="12">
                  <c:v>-0.75600962143155104</c:v>
                </c:pt>
                <c:pt idx="13">
                  <c:v>-0.79991100235852919</c:v>
                </c:pt>
                <c:pt idx="14">
                  <c:v>-0.84820252137830499</c:v>
                </c:pt>
                <c:pt idx="15">
                  <c:v>-0.92393240347736727</c:v>
                </c:pt>
                <c:pt idx="16">
                  <c:v>-1.0106376308082239</c:v>
                </c:pt>
                <c:pt idx="17">
                  <c:v>-0.78674058808043579</c:v>
                </c:pt>
                <c:pt idx="18">
                  <c:v>-0.89649404039808078</c:v>
                </c:pt>
                <c:pt idx="19">
                  <c:v>-0.82405676186841714</c:v>
                </c:pt>
                <c:pt idx="20">
                  <c:v>-0.89868910944427993</c:v>
                </c:pt>
                <c:pt idx="21">
                  <c:v>-0.55845340725994974</c:v>
                </c:pt>
                <c:pt idx="22">
                  <c:v>-0.63089068578951357</c:v>
                </c:pt>
                <c:pt idx="23">
                  <c:v>-0.52552737156466622</c:v>
                </c:pt>
                <c:pt idx="24">
                  <c:v>-0.59137944295523326</c:v>
                </c:pt>
                <c:pt idx="25">
                  <c:v>-0.65942658339209925</c:v>
                </c:pt>
                <c:pt idx="26">
                  <c:v>-0.70332796431917732</c:v>
                </c:pt>
                <c:pt idx="27">
                  <c:v>-0.74064413810715857</c:v>
                </c:pt>
                <c:pt idx="28">
                  <c:v>-0.79771593331213042</c:v>
                </c:pt>
                <c:pt idx="29">
                  <c:v>-0.79771593331213042</c:v>
                </c:pt>
                <c:pt idx="30">
                  <c:v>-0.78674058808043579</c:v>
                </c:pt>
                <c:pt idx="31">
                  <c:v>-0.87234828088809313</c:v>
                </c:pt>
                <c:pt idx="32">
                  <c:v>-0.7384490690607598</c:v>
                </c:pt>
                <c:pt idx="33">
                  <c:v>-0.79552086426583135</c:v>
                </c:pt>
                <c:pt idx="34">
                  <c:v>-0.73405893096796215</c:v>
                </c:pt>
                <c:pt idx="35">
                  <c:v>-0.68796248099458523</c:v>
                </c:pt>
                <c:pt idx="36">
                  <c:v>-0.81527648568292166</c:v>
                </c:pt>
                <c:pt idx="37">
                  <c:v>-0.69235261908738288</c:v>
                </c:pt>
                <c:pt idx="38">
                  <c:v>-0.73405893096796215</c:v>
                </c:pt>
                <c:pt idx="39">
                  <c:v>-0.76808250118654486</c:v>
                </c:pt>
                <c:pt idx="40">
                  <c:v>-0.77137510475594351</c:v>
                </c:pt>
                <c:pt idx="41">
                  <c:v>-0.80210607140492807</c:v>
                </c:pt>
                <c:pt idx="42">
                  <c:v>-0.87234828088809313</c:v>
                </c:pt>
                <c:pt idx="43">
                  <c:v>-0.78015538094133918</c:v>
                </c:pt>
                <c:pt idx="44">
                  <c:v>-0.64406110006760708</c:v>
                </c:pt>
                <c:pt idx="47">
                  <c:v>-0.44211474780330789</c:v>
                </c:pt>
                <c:pt idx="48">
                  <c:v>-0.61113506437242338</c:v>
                </c:pt>
                <c:pt idx="49" formatCode="0.0000">
                  <c:v>-0.41796898829351981</c:v>
                </c:pt>
                <c:pt idx="50" formatCode="0.0000">
                  <c:v>-0.58479423581623646</c:v>
                </c:pt>
                <c:pt idx="51" formatCode="0.0000">
                  <c:v>-0.52991750965746387</c:v>
                </c:pt>
                <c:pt idx="52" formatCode="0.0000">
                  <c:v>-0.6023547881870277</c:v>
                </c:pt>
                <c:pt idx="53" formatCode="0.0000">
                  <c:v>-0.67479206671659153</c:v>
                </c:pt>
                <c:pt idx="54" formatCode="0.0000">
                  <c:v>-0.76698496666324567</c:v>
                </c:pt>
                <c:pt idx="55" formatCode="0.0000">
                  <c:v>-0.36309226213474721</c:v>
                </c:pt>
                <c:pt idx="56" formatCode="0.0000">
                  <c:v>-6.0172733738298512E-2</c:v>
                </c:pt>
                <c:pt idx="57" formatCode="0.0000">
                  <c:v>3.2020166208455429E-2</c:v>
                </c:pt>
                <c:pt idx="59" formatCode="0.0000">
                  <c:v>0.10884758283081693</c:v>
                </c:pt>
                <c:pt idx="60" formatCode="0.0000">
                  <c:v>3.8605373347452246E-2</c:v>
                </c:pt>
                <c:pt idx="61" formatCode="0.0000">
                  <c:v>7.1531409042735764E-2</c:v>
                </c:pt>
                <c:pt idx="62" formatCode="0.0000">
                  <c:v>9.5677168552623662E-2</c:v>
                </c:pt>
                <c:pt idx="63" formatCode="0.0000">
                  <c:v>-2.944176708931398E-2</c:v>
                </c:pt>
                <c:pt idx="64" formatCode="0.0000">
                  <c:v>-4.041711232110843E-2</c:v>
                </c:pt>
                <c:pt idx="65" formatCode="0.0000">
                  <c:v>0.14396868757239945</c:v>
                </c:pt>
                <c:pt idx="66" formatCode="0.0000">
                  <c:v>0.55444659923999451</c:v>
                </c:pt>
                <c:pt idx="67" formatCode="0.0000">
                  <c:v>-2.2714990102137071</c:v>
                </c:pt>
                <c:pt idx="68" formatCode="0.0000">
                  <c:v>0.60493318730596957</c:v>
                </c:pt>
                <c:pt idx="69" formatCode="0.0000">
                  <c:v>0.67298032774293537</c:v>
                </c:pt>
                <c:pt idx="70" formatCode="0.0000">
                  <c:v>0.8551710585900445</c:v>
                </c:pt>
                <c:pt idx="71" formatCode="0.0000">
                  <c:v>1.0000456156491722</c:v>
                </c:pt>
                <c:pt idx="72" formatCode="0.0000">
                  <c:v>0.71468663962351475</c:v>
                </c:pt>
                <c:pt idx="73" formatCode="0.0000">
                  <c:v>0.89468230142442462</c:v>
                </c:pt>
                <c:pt idx="74" formatCode="0.0000">
                  <c:v>0.82883023003385758</c:v>
                </c:pt>
                <c:pt idx="75" formatCode="0.0000">
                  <c:v>0.75858802055059271</c:v>
                </c:pt>
                <c:pt idx="76" formatCode="0.0000">
                  <c:v>0.6707852586965366</c:v>
                </c:pt>
                <c:pt idx="77" formatCode="0.0000">
                  <c:v>0.8683414728681379</c:v>
                </c:pt>
                <c:pt idx="78" formatCode="0.0000">
                  <c:v>1.48515587489273</c:v>
                </c:pt>
                <c:pt idx="79" formatCode="0.0000">
                  <c:v>1.3841826987605803</c:v>
                </c:pt>
                <c:pt idx="80" formatCode="0.0000">
                  <c:v>1.662956467647241</c:v>
                </c:pt>
                <c:pt idx="81" formatCode="0.0000">
                  <c:v>1.7419789533158017</c:v>
                </c:pt>
                <c:pt idx="82" formatCode="0.0000">
                  <c:v>1.6871022271570291</c:v>
                </c:pt>
                <c:pt idx="83" formatCode="0.0000">
                  <c:v>1.4302791487339575</c:v>
                </c:pt>
                <c:pt idx="84" formatCode="0.0000">
                  <c:v>1.2941848678602252</c:v>
                </c:pt>
                <c:pt idx="85" formatCode="0.0000">
                  <c:v>1.2524785559795462</c:v>
                </c:pt>
                <c:pt idx="86" formatCode="0.0000">
                  <c:v>1.2019919679134714</c:v>
                </c:pt>
                <c:pt idx="87" formatCode="0.0000">
                  <c:v>1.2041870369598702</c:v>
                </c:pt>
                <c:pt idx="88" formatCode="0.0000">
                  <c:v>1.1032138608277207</c:v>
                </c:pt>
                <c:pt idx="89" formatCode="0.0000">
                  <c:v>1.1646757941254899</c:v>
                </c:pt>
                <c:pt idx="90" formatCode="0.0000">
                  <c:v>1.3336961106946055</c:v>
                </c:pt>
                <c:pt idx="91" formatCode="0.0000">
                  <c:v>1.3424763868800011</c:v>
                </c:pt>
                <c:pt idx="92" formatCode="0.0000">
                  <c:v>1.3534517321116957</c:v>
                </c:pt>
                <c:pt idx="93" formatCode="0.0000">
                  <c:v>1.1712610012645865</c:v>
                </c:pt>
                <c:pt idx="94" formatCode="0.0000">
                  <c:v>1.254673625025845</c:v>
                </c:pt>
                <c:pt idx="95" formatCode="0.0000">
                  <c:v>1.2261377274233591</c:v>
                </c:pt>
                <c:pt idx="96" formatCode="0.0000">
                  <c:v>1.2294303309928576</c:v>
                </c:pt>
                <c:pt idx="97" formatCode="0.0000">
                  <c:v>1.0768730322715336</c:v>
                </c:pt>
                <c:pt idx="98" formatCode="0.0000">
                  <c:v>1.0351667203907546</c:v>
                </c:pt>
                <c:pt idx="99" formatCode="0.0000">
                  <c:v>0.95833930376859289</c:v>
                </c:pt>
                <c:pt idx="100" formatCode="0.0000">
                  <c:v>0.8749266800072345</c:v>
                </c:pt>
                <c:pt idx="101" formatCode="0.0000">
                  <c:v>0.83761050621925315</c:v>
                </c:pt>
                <c:pt idx="102" formatCode="0.0000">
                  <c:v>1.8144162318453656</c:v>
                </c:pt>
                <c:pt idx="103" formatCode="0.0000">
                  <c:v>1.8890485794213283</c:v>
                </c:pt>
                <c:pt idx="104" formatCode="0.0000">
                  <c:v>1.7661247128255897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80-4680-893A-CB75D241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602464"/>
        <c:axId val="689602944"/>
      </c:areaChart>
      <c:scatterChart>
        <c:scatterStyle val="smoothMarker"/>
        <c:varyColors val="0"/>
        <c:ser>
          <c:idx val="5"/>
          <c:order val="1"/>
          <c:tx>
            <c:strRef>
              <c:f>Assegai!$G$3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Assegai!$A$69:$A$174</c:f>
              <c:numCache>
                <c:formatCode>yyyy/mm</c:formatCode>
                <c:ptCount val="106"/>
                <c:pt idx="0">
                  <c:v>42573</c:v>
                </c:pt>
                <c:pt idx="1">
                  <c:v>42604</c:v>
                </c:pt>
                <c:pt idx="2">
                  <c:v>42635</c:v>
                </c:pt>
                <c:pt idx="3">
                  <c:v>42665</c:v>
                </c:pt>
                <c:pt idx="4">
                  <c:v>42696</c:v>
                </c:pt>
                <c:pt idx="5">
                  <c:v>42726</c:v>
                </c:pt>
                <c:pt idx="6">
                  <c:v>42757</c:v>
                </c:pt>
                <c:pt idx="7">
                  <c:v>42788</c:v>
                </c:pt>
                <c:pt idx="8">
                  <c:v>42816</c:v>
                </c:pt>
                <c:pt idx="9">
                  <c:v>42847</c:v>
                </c:pt>
                <c:pt idx="10">
                  <c:v>42877</c:v>
                </c:pt>
                <c:pt idx="11">
                  <c:v>42908</c:v>
                </c:pt>
                <c:pt idx="12">
                  <c:v>42938</c:v>
                </c:pt>
                <c:pt idx="13">
                  <c:v>42969</c:v>
                </c:pt>
                <c:pt idx="14">
                  <c:v>43000</c:v>
                </c:pt>
                <c:pt idx="15">
                  <c:v>43030</c:v>
                </c:pt>
                <c:pt idx="16">
                  <c:v>43061</c:v>
                </c:pt>
                <c:pt idx="17">
                  <c:v>43091</c:v>
                </c:pt>
                <c:pt idx="18">
                  <c:v>43122</c:v>
                </c:pt>
                <c:pt idx="19">
                  <c:v>43153</c:v>
                </c:pt>
                <c:pt idx="20">
                  <c:v>43181</c:v>
                </c:pt>
                <c:pt idx="21">
                  <c:v>43212</c:v>
                </c:pt>
                <c:pt idx="22">
                  <c:v>43242</c:v>
                </c:pt>
                <c:pt idx="23">
                  <c:v>43273</c:v>
                </c:pt>
                <c:pt idx="24">
                  <c:v>43303</c:v>
                </c:pt>
                <c:pt idx="25">
                  <c:v>43334</c:v>
                </c:pt>
                <c:pt idx="26">
                  <c:v>43365</c:v>
                </c:pt>
                <c:pt idx="27">
                  <c:v>43395</c:v>
                </c:pt>
                <c:pt idx="28">
                  <c:v>43426</c:v>
                </c:pt>
                <c:pt idx="29">
                  <c:v>43456</c:v>
                </c:pt>
                <c:pt idx="30">
                  <c:v>43487</c:v>
                </c:pt>
                <c:pt idx="31">
                  <c:v>43518</c:v>
                </c:pt>
                <c:pt idx="32">
                  <c:v>43546</c:v>
                </c:pt>
                <c:pt idx="33">
                  <c:v>43577</c:v>
                </c:pt>
                <c:pt idx="34">
                  <c:v>43607</c:v>
                </c:pt>
                <c:pt idx="35">
                  <c:v>43638</c:v>
                </c:pt>
                <c:pt idx="36">
                  <c:v>43668</c:v>
                </c:pt>
                <c:pt idx="37">
                  <c:v>43699</c:v>
                </c:pt>
                <c:pt idx="38">
                  <c:v>43730</c:v>
                </c:pt>
                <c:pt idx="39">
                  <c:v>43760</c:v>
                </c:pt>
                <c:pt idx="40">
                  <c:v>43791</c:v>
                </c:pt>
                <c:pt idx="41">
                  <c:v>43821</c:v>
                </c:pt>
                <c:pt idx="42">
                  <c:v>43852</c:v>
                </c:pt>
                <c:pt idx="43">
                  <c:v>43883</c:v>
                </c:pt>
                <c:pt idx="44">
                  <c:v>43912</c:v>
                </c:pt>
                <c:pt idx="45">
                  <c:v>43943</c:v>
                </c:pt>
                <c:pt idx="46">
                  <c:v>43973</c:v>
                </c:pt>
                <c:pt idx="47">
                  <c:v>44004</c:v>
                </c:pt>
                <c:pt idx="48">
                  <c:v>44034</c:v>
                </c:pt>
                <c:pt idx="49">
                  <c:v>44065</c:v>
                </c:pt>
                <c:pt idx="50">
                  <c:v>44096</c:v>
                </c:pt>
                <c:pt idx="51">
                  <c:v>44126</c:v>
                </c:pt>
                <c:pt idx="52">
                  <c:v>44157</c:v>
                </c:pt>
                <c:pt idx="53">
                  <c:v>44187</c:v>
                </c:pt>
                <c:pt idx="54">
                  <c:v>44218</c:v>
                </c:pt>
                <c:pt idx="55">
                  <c:v>44249</c:v>
                </c:pt>
                <c:pt idx="56">
                  <c:v>44277</c:v>
                </c:pt>
                <c:pt idx="57">
                  <c:v>44308</c:v>
                </c:pt>
                <c:pt idx="58">
                  <c:v>44338</c:v>
                </c:pt>
                <c:pt idx="59">
                  <c:v>44369</c:v>
                </c:pt>
                <c:pt idx="60">
                  <c:v>44399</c:v>
                </c:pt>
                <c:pt idx="61">
                  <c:v>44430</c:v>
                </c:pt>
                <c:pt idx="62">
                  <c:v>44461</c:v>
                </c:pt>
                <c:pt idx="63">
                  <c:v>44491</c:v>
                </c:pt>
                <c:pt idx="64">
                  <c:v>44522</c:v>
                </c:pt>
                <c:pt idx="65">
                  <c:v>44552</c:v>
                </c:pt>
                <c:pt idx="66">
                  <c:v>44583</c:v>
                </c:pt>
                <c:pt idx="67">
                  <c:v>44614</c:v>
                </c:pt>
                <c:pt idx="68">
                  <c:v>44642</c:v>
                </c:pt>
                <c:pt idx="69">
                  <c:v>44673</c:v>
                </c:pt>
                <c:pt idx="70">
                  <c:v>44703</c:v>
                </c:pt>
                <c:pt idx="71">
                  <c:v>44734</c:v>
                </c:pt>
                <c:pt idx="72">
                  <c:v>44764</c:v>
                </c:pt>
                <c:pt idx="73">
                  <c:v>44795</c:v>
                </c:pt>
                <c:pt idx="74">
                  <c:v>44826</c:v>
                </c:pt>
                <c:pt idx="75">
                  <c:v>44856</c:v>
                </c:pt>
                <c:pt idx="76">
                  <c:v>44887</c:v>
                </c:pt>
                <c:pt idx="77">
                  <c:v>44917</c:v>
                </c:pt>
                <c:pt idx="78">
                  <c:v>44949</c:v>
                </c:pt>
                <c:pt idx="79">
                  <c:v>44980</c:v>
                </c:pt>
                <c:pt idx="80">
                  <c:v>45008</c:v>
                </c:pt>
                <c:pt idx="81">
                  <c:v>45039</c:v>
                </c:pt>
                <c:pt idx="82">
                  <c:v>45069</c:v>
                </c:pt>
                <c:pt idx="83">
                  <c:v>45100</c:v>
                </c:pt>
                <c:pt idx="84">
                  <c:v>45130</c:v>
                </c:pt>
                <c:pt idx="85">
                  <c:v>45161</c:v>
                </c:pt>
                <c:pt idx="86">
                  <c:v>45192</c:v>
                </c:pt>
                <c:pt idx="87">
                  <c:v>45222</c:v>
                </c:pt>
                <c:pt idx="88">
                  <c:v>45253</c:v>
                </c:pt>
                <c:pt idx="89">
                  <c:v>45283</c:v>
                </c:pt>
                <c:pt idx="90">
                  <c:v>45315</c:v>
                </c:pt>
                <c:pt idx="91">
                  <c:v>45346</c:v>
                </c:pt>
                <c:pt idx="92">
                  <c:v>45375</c:v>
                </c:pt>
                <c:pt idx="93">
                  <c:v>45406</c:v>
                </c:pt>
                <c:pt idx="94">
                  <c:v>45436</c:v>
                </c:pt>
                <c:pt idx="95">
                  <c:v>45468</c:v>
                </c:pt>
                <c:pt idx="96">
                  <c:v>45500</c:v>
                </c:pt>
                <c:pt idx="97">
                  <c:v>45514</c:v>
                </c:pt>
                <c:pt idx="98">
                  <c:v>45545</c:v>
                </c:pt>
                <c:pt idx="99">
                  <c:v>45575</c:v>
                </c:pt>
                <c:pt idx="100">
                  <c:v>45606</c:v>
                </c:pt>
                <c:pt idx="101">
                  <c:v>45636</c:v>
                </c:pt>
                <c:pt idx="102">
                  <c:v>45667</c:v>
                </c:pt>
                <c:pt idx="103">
                  <c:v>45698</c:v>
                </c:pt>
                <c:pt idx="104">
                  <c:v>45751</c:v>
                </c:pt>
                <c:pt idx="105">
                  <c:v>45721</c:v>
                </c:pt>
              </c:numCache>
            </c:numRef>
          </c:xVal>
          <c:yVal>
            <c:numRef>
              <c:f>Assegai!$G$69:$G$174</c:f>
              <c:numCache>
                <c:formatCode>General</c:formatCode>
                <c:ptCount val="10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80-4680-893A-CB75D241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602464"/>
        <c:axId val="689602944"/>
      </c:scatterChart>
      <c:dateAx>
        <c:axId val="68960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602944"/>
        <c:crosses val="autoZero"/>
        <c:auto val="1"/>
        <c:lblOffset val="100"/>
        <c:baseTimeUnit val="days"/>
        <c:majorUnit val="6"/>
        <c:majorTimeUnit val="months"/>
      </c:dateAx>
      <c:valAx>
        <c:axId val="689602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Standard</a:t>
                </a:r>
                <a:r>
                  <a:rPr lang="en-ZA" baseline="0"/>
                  <a:t> index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Z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60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149</xdr:row>
      <xdr:rowOff>123825</xdr:rowOff>
    </xdr:from>
    <xdr:to>
      <xdr:col>6</xdr:col>
      <xdr:colOff>1276350</xdr:colOff>
      <xdr:row>169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CF5C37-AFA4-4CD8-F2CA-9105A4679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1252537</xdr:colOff>
      <xdr:row>132</xdr:row>
      <xdr:rowOff>109536</xdr:rowOff>
    </xdr:from>
    <xdr:to>
      <xdr:col>5</xdr:col>
      <xdr:colOff>1014412</xdr:colOff>
      <xdr:row>148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5E8290-8116-0425-9ADA-1D62DF037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39219</xdr:colOff>
      <xdr:row>143</xdr:row>
      <xdr:rowOff>1119</xdr:rowOff>
    </xdr:from>
    <xdr:to>
      <xdr:col>6</xdr:col>
      <xdr:colOff>44823</xdr:colOff>
      <xdr:row>164</xdr:row>
      <xdr:rowOff>100852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F21FF9-0C4D-F397-A02B-9119FBDF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184897</xdr:colOff>
      <xdr:row>171</xdr:row>
      <xdr:rowOff>158003</xdr:rowOff>
    </xdr:from>
    <xdr:to>
      <xdr:col>8</xdr:col>
      <xdr:colOff>364191</xdr:colOff>
      <xdr:row>186</xdr:row>
      <xdr:rowOff>43703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B567D3-FE2A-D786-B970-340DCA017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142</xdr:row>
      <xdr:rowOff>56029</xdr:rowOff>
    </xdr:from>
    <xdr:to>
      <xdr:col>9</xdr:col>
      <xdr:colOff>56029</xdr:colOff>
      <xdr:row>163</xdr:row>
      <xdr:rowOff>179294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75034-F5D6-2979-87D6-D135870E5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616324</xdr:colOff>
      <xdr:row>151</xdr:row>
      <xdr:rowOff>23532</xdr:rowOff>
    </xdr:from>
    <xdr:to>
      <xdr:col>8</xdr:col>
      <xdr:colOff>560294</xdr:colOff>
      <xdr:row>170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12A15-DBCE-9D92-C571-6078AC62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1199030</xdr:colOff>
      <xdr:row>141</xdr:row>
      <xdr:rowOff>101972</xdr:rowOff>
    </xdr:from>
    <xdr:to>
      <xdr:col>8</xdr:col>
      <xdr:colOff>280147</xdr:colOff>
      <xdr:row>160</xdr:row>
      <xdr:rowOff>44823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5AEE65-3453-0AF5-3125-19E0FD93F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D171"/>
  <sheetViews>
    <sheetView workbookViewId="0">
      <selection activeCell="G1" sqref="G1:CK1048576"/>
    </sheetView>
  </sheetViews>
  <sheetFormatPr defaultRowHeight="15" x14ac:dyDescent="0.25"/>
  <cols>
    <col min="1" max="1" width="13.5703125" style="4" bestFit="1" customWidth="1"/>
    <col min="2" max="2" width="17.28515625" style="10" customWidth="1"/>
    <col min="3" max="3" width="17.140625" style="5" customWidth="1"/>
    <col min="4" max="4" width="10" style="5" customWidth="1"/>
    <col min="5" max="5" width="11.28515625" style="9" customWidth="1"/>
    <col min="6" max="6" width="21.5703125" style="5" bestFit="1" customWidth="1"/>
    <col min="7" max="7" width="21.5703125" bestFit="1" customWidth="1"/>
    <col min="13" max="13" width="21.5703125" bestFit="1" customWidth="1"/>
    <col min="14" max="14" width="21.5703125" customWidth="1"/>
    <col min="16" max="16" width="12" bestFit="1" customWidth="1"/>
    <col min="17" max="17" width="12.7109375" bestFit="1" customWidth="1"/>
    <col min="19" max="20" width="33.42578125" bestFit="1" customWidth="1"/>
    <col min="21" max="21" width="12.7109375" bestFit="1" customWidth="1"/>
    <col min="22" max="22" width="32.7109375" customWidth="1"/>
    <col min="23" max="23" width="3.42578125" customWidth="1"/>
    <col min="24" max="24" width="33.42578125" bestFit="1" customWidth="1"/>
    <col min="25" max="25" width="12" bestFit="1" customWidth="1"/>
    <col min="26" max="26" width="39" customWidth="1"/>
    <col min="28" max="28" width="33.42578125" bestFit="1" customWidth="1"/>
    <col min="29" max="29" width="12.7109375" bestFit="1" customWidth="1"/>
    <col min="30" max="30" width="12" bestFit="1" customWidth="1"/>
  </cols>
  <sheetData>
    <row r="1" spans="1:30" ht="19.5" x14ac:dyDescent="0.4">
      <c r="A1" s="72" t="s">
        <v>0</v>
      </c>
      <c r="B1" s="72"/>
      <c r="C1" s="72"/>
      <c r="D1" s="72"/>
      <c r="E1" s="72"/>
      <c r="F1" s="72"/>
    </row>
    <row r="2" spans="1:30" x14ac:dyDescent="0.25">
      <c r="A2" s="70" t="s">
        <v>8</v>
      </c>
      <c r="B2" s="70"/>
      <c r="C2" s="70"/>
      <c r="D2" s="70"/>
      <c r="E2" s="71"/>
      <c r="F2" s="71"/>
    </row>
    <row r="3" spans="1:30" x14ac:dyDescent="0.25">
      <c r="A3" s="2" t="s">
        <v>1</v>
      </c>
      <c r="B3" s="14" t="s">
        <v>5</v>
      </c>
      <c r="C3" s="3" t="s">
        <v>6</v>
      </c>
      <c r="D3" s="35" t="s">
        <v>2</v>
      </c>
      <c r="E3" s="33"/>
      <c r="F3" s="34" t="s">
        <v>7</v>
      </c>
      <c r="M3" s="68"/>
      <c r="N3" s="68"/>
      <c r="O3" s="68"/>
      <c r="P3" s="68"/>
      <c r="Q3" s="68"/>
      <c r="R3" s="68"/>
      <c r="T3" s="69"/>
      <c r="U3" s="69"/>
      <c r="V3" s="69"/>
      <c r="X3" s="68"/>
      <c r="Y3" s="68"/>
      <c r="Z3" s="68"/>
      <c r="AB3" s="68"/>
      <c r="AC3" s="68"/>
      <c r="AD3" s="68"/>
    </row>
    <row r="4" spans="1:30" ht="15.75" thickBot="1" x14ac:dyDescent="0.3">
      <c r="A4" s="16">
        <v>40553</v>
      </c>
      <c r="B4" s="17">
        <v>638.06571428571419</v>
      </c>
      <c r="C4" s="61">
        <f>AVERAGE(B4:B171)</f>
        <v>656.0579582254436</v>
      </c>
      <c r="D4" s="61">
        <f t="shared" ref="D4:D35" si="0">_xlfn.STDEV.S($B$4:$B$171)</f>
        <v>12.268514671254376</v>
      </c>
      <c r="E4" s="62">
        <f t="shared" ref="E4" si="1">B4-C4</f>
        <v>-17.992243939729406</v>
      </c>
      <c r="F4" s="62">
        <f>E4/D4</f>
        <v>-1.4665380791275375</v>
      </c>
      <c r="G4" s="55"/>
    </row>
    <row r="5" spans="1:30" x14ac:dyDescent="0.25">
      <c r="A5" s="20">
        <v>40584</v>
      </c>
      <c r="B5" s="17">
        <v>637.96071428571429</v>
      </c>
      <c r="C5" s="61">
        <f t="shared" ref="C5:C36" si="2">AVERAGE($B$4:$B$171)</f>
        <v>656.0579582254436</v>
      </c>
      <c r="D5" s="61">
        <f t="shared" si="0"/>
        <v>12.268514671254376</v>
      </c>
      <c r="E5" s="62">
        <f t="shared" ref="E5:E68" si="3">B5-C5</f>
        <v>-18.09724393972931</v>
      </c>
      <c r="F5" s="62">
        <f t="shared" ref="F5:F68" si="4">E5/D5</f>
        <v>-1.475096572377411</v>
      </c>
      <c r="G5" s="55"/>
      <c r="S5" s="66"/>
    </row>
    <row r="6" spans="1:30" ht="15.75" thickBot="1" x14ac:dyDescent="0.3">
      <c r="A6" s="16">
        <v>40612</v>
      </c>
      <c r="B6" s="17">
        <v>637.78499999999985</v>
      </c>
      <c r="C6" s="61">
        <f t="shared" si="2"/>
        <v>656.0579582254436</v>
      </c>
      <c r="D6" s="61">
        <f t="shared" si="0"/>
        <v>12.268514671254376</v>
      </c>
      <c r="E6" s="62">
        <f t="shared" si="3"/>
        <v>-18.272958225443745</v>
      </c>
      <c r="F6" s="62">
        <f t="shared" si="4"/>
        <v>-1.4894189488364082</v>
      </c>
      <c r="G6" s="55"/>
    </row>
    <row r="7" spans="1:30" x14ac:dyDescent="0.25">
      <c r="A7" s="16">
        <v>40643</v>
      </c>
      <c r="B7" s="17">
        <v>637.77071428571435</v>
      </c>
      <c r="C7" s="61">
        <f t="shared" si="2"/>
        <v>656.0579582254436</v>
      </c>
      <c r="D7" s="61">
        <f t="shared" si="0"/>
        <v>12.268514671254376</v>
      </c>
      <c r="E7" s="62">
        <f t="shared" si="3"/>
        <v>-18.287243939729251</v>
      </c>
      <c r="F7" s="62">
        <f t="shared" si="4"/>
        <v>-1.4905833696867152</v>
      </c>
      <c r="G7" s="55"/>
      <c r="T7" s="66"/>
      <c r="U7" s="66"/>
      <c r="V7" s="66"/>
      <c r="X7" s="66"/>
      <c r="Y7" s="66"/>
      <c r="Z7" s="66"/>
      <c r="AB7" s="66"/>
      <c r="AC7" s="66"/>
      <c r="AD7" s="66"/>
    </row>
    <row r="8" spans="1:30" x14ac:dyDescent="0.25">
      <c r="A8" s="16">
        <v>40673</v>
      </c>
      <c r="B8" s="17">
        <v>637.63642857142872</v>
      </c>
      <c r="C8" s="61">
        <f t="shared" si="2"/>
        <v>656.0579582254436</v>
      </c>
      <c r="D8" s="61">
        <f t="shared" si="0"/>
        <v>12.268514671254376</v>
      </c>
      <c r="E8" s="62">
        <f t="shared" si="3"/>
        <v>-18.421529654014876</v>
      </c>
      <c r="F8" s="62">
        <f t="shared" si="4"/>
        <v>-1.5015289256797533</v>
      </c>
      <c r="G8" s="55"/>
    </row>
    <row r="9" spans="1:30" x14ac:dyDescent="0.25">
      <c r="A9" s="16">
        <v>40704</v>
      </c>
      <c r="B9" s="17">
        <v>637.58428571428578</v>
      </c>
      <c r="C9" s="61">
        <f t="shared" si="2"/>
        <v>656.0579582254436</v>
      </c>
      <c r="D9" s="61">
        <f t="shared" si="0"/>
        <v>12.268514671254376</v>
      </c>
      <c r="E9" s="62">
        <f t="shared" si="3"/>
        <v>-18.473672511157815</v>
      </c>
      <c r="F9" s="62">
        <f t="shared" si="4"/>
        <v>-1.5057790617834426</v>
      </c>
      <c r="G9" s="55"/>
    </row>
    <row r="10" spans="1:30" x14ac:dyDescent="0.25">
      <c r="A10" s="16">
        <v>40734</v>
      </c>
      <c r="B10" s="17">
        <v>637.45821428571435</v>
      </c>
      <c r="C10" s="61">
        <f t="shared" si="2"/>
        <v>656.0579582254436</v>
      </c>
      <c r="D10" s="61">
        <f t="shared" si="0"/>
        <v>12.268514671254376</v>
      </c>
      <c r="E10" s="62">
        <f t="shared" si="3"/>
        <v>-18.599743939729251</v>
      </c>
      <c r="F10" s="62">
        <f t="shared" si="4"/>
        <v>-1.5160550757875524</v>
      </c>
      <c r="G10" s="55"/>
    </row>
    <row r="11" spans="1:30" x14ac:dyDescent="0.25">
      <c r="A11" s="16">
        <v>40765</v>
      </c>
      <c r="B11" s="17">
        <v>664.09799999999996</v>
      </c>
      <c r="C11" s="61">
        <f t="shared" si="2"/>
        <v>656.0579582254436</v>
      </c>
      <c r="D11" s="61">
        <f t="shared" si="0"/>
        <v>12.268514671254376</v>
      </c>
      <c r="E11" s="62">
        <f t="shared" si="3"/>
        <v>8.0400417745563573</v>
      </c>
      <c r="F11" s="62">
        <f t="shared" si="4"/>
        <v>0.65533945958384832</v>
      </c>
      <c r="G11" s="55"/>
    </row>
    <row r="12" spans="1:30" x14ac:dyDescent="0.25">
      <c r="A12" s="16">
        <v>40796</v>
      </c>
      <c r="B12" s="17">
        <v>645.95785714285716</v>
      </c>
      <c r="C12" s="61">
        <f t="shared" si="2"/>
        <v>656.0579582254436</v>
      </c>
      <c r="D12" s="61">
        <f t="shared" si="0"/>
        <v>12.268514671254376</v>
      </c>
      <c r="E12" s="62">
        <f t="shared" si="3"/>
        <v>-10.100101082586434</v>
      </c>
      <c r="F12" s="62">
        <f t="shared" si="4"/>
        <v>-0.82325378036604357</v>
      </c>
      <c r="G12" s="55"/>
    </row>
    <row r="13" spans="1:30" x14ac:dyDescent="0.25">
      <c r="A13" s="20">
        <v>40826</v>
      </c>
      <c r="B13" s="17">
        <v>645.91428571428571</v>
      </c>
      <c r="C13" s="61">
        <f t="shared" si="2"/>
        <v>656.0579582254436</v>
      </c>
      <c r="D13" s="61">
        <f t="shared" si="0"/>
        <v>12.268514671254376</v>
      </c>
      <c r="E13" s="62">
        <f t="shared" si="3"/>
        <v>-10.143672511157888</v>
      </c>
      <c r="F13" s="62">
        <f t="shared" si="4"/>
        <v>-0.8268052639595338</v>
      </c>
      <c r="G13" s="55"/>
    </row>
    <row r="14" spans="1:30" x14ac:dyDescent="0.25">
      <c r="A14" s="16">
        <v>40857</v>
      </c>
      <c r="B14" s="17">
        <v>663.91633333333334</v>
      </c>
      <c r="C14" s="61">
        <f t="shared" si="2"/>
        <v>656.0579582254436</v>
      </c>
      <c r="D14" s="61">
        <f t="shared" si="0"/>
        <v>12.268514671254376</v>
      </c>
      <c r="E14" s="62">
        <f t="shared" si="3"/>
        <v>7.8583751078897421</v>
      </c>
      <c r="F14" s="62">
        <f t="shared" si="4"/>
        <v>0.6405319077705659</v>
      </c>
      <c r="G14" s="55"/>
    </row>
    <row r="15" spans="1:30" x14ac:dyDescent="0.25">
      <c r="A15" s="16">
        <v>40887</v>
      </c>
      <c r="B15" s="17">
        <v>694.37214285714276</v>
      </c>
      <c r="C15" s="61">
        <f t="shared" si="2"/>
        <v>656.0579582254436</v>
      </c>
      <c r="D15" s="61">
        <f t="shared" si="0"/>
        <v>12.268514671254376</v>
      </c>
      <c r="E15" s="62">
        <f t="shared" si="3"/>
        <v>38.314184631699163</v>
      </c>
      <c r="F15" s="62">
        <f t="shared" si="4"/>
        <v>3.1229684813819265</v>
      </c>
      <c r="G15" s="55"/>
    </row>
    <row r="16" spans="1:30" ht="15.75" thickBot="1" x14ac:dyDescent="0.3">
      <c r="A16" s="16">
        <v>40918</v>
      </c>
      <c r="B16" s="17">
        <v>695.34285714285704</v>
      </c>
      <c r="C16" s="61">
        <f t="shared" si="2"/>
        <v>656.0579582254436</v>
      </c>
      <c r="D16" s="61">
        <f t="shared" si="0"/>
        <v>12.268514671254376</v>
      </c>
      <c r="E16" s="62">
        <f t="shared" si="3"/>
        <v>39.284898917413443</v>
      </c>
      <c r="F16" s="62">
        <f t="shared" si="4"/>
        <v>3.2020908781614406</v>
      </c>
      <c r="G16" s="55"/>
      <c r="S16" s="65"/>
    </row>
    <row r="17" spans="1:186" x14ac:dyDescent="0.25">
      <c r="A17" s="16">
        <v>40949</v>
      </c>
      <c r="B17" s="17">
        <v>695.36357142857162</v>
      </c>
      <c r="C17" s="61">
        <f t="shared" si="2"/>
        <v>656.0579582254436</v>
      </c>
      <c r="D17" s="61">
        <f t="shared" si="0"/>
        <v>12.268514671254376</v>
      </c>
      <c r="E17" s="62">
        <f t="shared" si="3"/>
        <v>39.305613203128019</v>
      </c>
      <c r="F17" s="62">
        <f t="shared" si="4"/>
        <v>3.203779288394434</v>
      </c>
      <c r="G17" s="55"/>
      <c r="T17" s="67"/>
      <c r="U17" s="67"/>
      <c r="X17" s="67"/>
      <c r="Y17" s="67"/>
      <c r="AB17" s="67"/>
      <c r="AC17" s="67"/>
    </row>
    <row r="18" spans="1:186" ht="15.75" thickBot="1" x14ac:dyDescent="0.3">
      <c r="A18" s="16">
        <v>40978</v>
      </c>
      <c r="B18" s="17">
        <v>694.99214285714299</v>
      </c>
      <c r="C18" s="61">
        <f t="shared" si="2"/>
        <v>656.0579582254436</v>
      </c>
      <c r="D18" s="61">
        <f t="shared" si="0"/>
        <v>12.268514671254376</v>
      </c>
      <c r="E18" s="62">
        <f t="shared" si="3"/>
        <v>38.934184631699395</v>
      </c>
      <c r="F18" s="62">
        <f t="shared" si="4"/>
        <v>3.173504346286006</v>
      </c>
      <c r="G18" s="55"/>
      <c r="T18" s="65"/>
      <c r="U18" s="65"/>
      <c r="V18" s="65"/>
      <c r="X18" s="65"/>
      <c r="Y18" s="65"/>
      <c r="Z18" s="65"/>
      <c r="AB18" s="65"/>
      <c r="AC18" s="65"/>
      <c r="AD18" s="65"/>
    </row>
    <row r="19" spans="1:186" x14ac:dyDescent="0.25">
      <c r="A19" s="16">
        <v>41009</v>
      </c>
      <c r="B19" s="17">
        <v>694.84785714285715</v>
      </c>
      <c r="C19" s="61">
        <f t="shared" si="2"/>
        <v>656.0579582254436</v>
      </c>
      <c r="D19" s="61">
        <f t="shared" si="0"/>
        <v>12.268514671254376</v>
      </c>
      <c r="E19" s="62">
        <f t="shared" si="3"/>
        <v>38.789898917413552</v>
      </c>
      <c r="F19" s="62">
        <f t="shared" si="4"/>
        <v>3.1617436956977234</v>
      </c>
      <c r="G19" s="55"/>
    </row>
    <row r="20" spans="1:186" x14ac:dyDescent="0.25">
      <c r="A20" s="16">
        <v>41039</v>
      </c>
      <c r="B20" s="17">
        <v>694.54857142857134</v>
      </c>
      <c r="C20" s="61">
        <f t="shared" si="2"/>
        <v>656.0579582254436</v>
      </c>
      <c r="D20" s="61">
        <f t="shared" si="0"/>
        <v>12.268514671254376</v>
      </c>
      <c r="E20" s="62">
        <f t="shared" si="3"/>
        <v>38.490613203127737</v>
      </c>
      <c r="F20" s="62">
        <f t="shared" si="4"/>
        <v>3.1373490788834277</v>
      </c>
      <c r="G20" s="55"/>
    </row>
    <row r="21" spans="1:186" x14ac:dyDescent="0.25">
      <c r="A21" s="20">
        <v>41070</v>
      </c>
      <c r="B21" s="17">
        <v>663.96400000000006</v>
      </c>
      <c r="C21" s="61">
        <f t="shared" si="2"/>
        <v>656.0579582254436</v>
      </c>
      <c r="D21" s="61">
        <f t="shared" si="0"/>
        <v>12.268514671254376</v>
      </c>
      <c r="E21" s="62">
        <f t="shared" si="3"/>
        <v>7.9060417745564564</v>
      </c>
      <c r="F21" s="62">
        <f t="shared" si="4"/>
        <v>0.64441719200781744</v>
      </c>
      <c r="G21" s="55"/>
    </row>
    <row r="22" spans="1:186" x14ac:dyDescent="0.25">
      <c r="A22" s="16">
        <v>41100</v>
      </c>
      <c r="B22" s="17">
        <v>638.29571428571421</v>
      </c>
      <c r="C22" s="61">
        <f t="shared" si="2"/>
        <v>656.0579582254436</v>
      </c>
      <c r="D22" s="61">
        <f t="shared" si="0"/>
        <v>12.268514671254376</v>
      </c>
      <c r="E22" s="62">
        <f t="shared" si="3"/>
        <v>-17.762243939729387</v>
      </c>
      <c r="F22" s="62">
        <f t="shared" si="4"/>
        <v>-1.44779090343732</v>
      </c>
      <c r="G22" s="55"/>
    </row>
    <row r="23" spans="1:186" x14ac:dyDescent="0.25">
      <c r="A23" s="16">
        <v>41131</v>
      </c>
      <c r="B23" s="17">
        <v>638.32857142857142</v>
      </c>
      <c r="C23" s="61">
        <f t="shared" si="2"/>
        <v>656.0579582254436</v>
      </c>
      <c r="D23" s="61">
        <f t="shared" si="0"/>
        <v>12.268514671254376</v>
      </c>
      <c r="E23" s="62">
        <f t="shared" si="3"/>
        <v>-17.729386796872177</v>
      </c>
      <c r="F23" s="62">
        <f t="shared" si="4"/>
        <v>-1.4451127354815692</v>
      </c>
      <c r="G23" s="55"/>
    </row>
    <row r="24" spans="1:186" s="12" customFormat="1" x14ac:dyDescent="0.25">
      <c r="A24" s="16">
        <v>41162</v>
      </c>
      <c r="B24" s="17">
        <v>638.36642857142851</v>
      </c>
      <c r="C24" s="61">
        <f t="shared" si="2"/>
        <v>656.0579582254436</v>
      </c>
      <c r="D24" s="61">
        <f t="shared" si="0"/>
        <v>12.268514671254376</v>
      </c>
      <c r="E24" s="62">
        <f t="shared" si="3"/>
        <v>-17.691529654015085</v>
      </c>
      <c r="F24" s="62">
        <f t="shared" si="4"/>
        <v>-1.4420270202282148</v>
      </c>
      <c r="G24" s="55"/>
      <c r="H24" s="32"/>
      <c r="I24" s="32"/>
      <c r="J24" s="32"/>
      <c r="K24" s="32"/>
      <c r="L24" s="32"/>
      <c r="M24" s="32"/>
      <c r="N24"/>
      <c r="O24" s="32"/>
      <c r="P24"/>
      <c r="Q24" s="32"/>
      <c r="R24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</row>
    <row r="25" spans="1:186" x14ac:dyDescent="0.25">
      <c r="A25" s="16">
        <v>41192</v>
      </c>
      <c r="B25" s="17">
        <v>664.06733333333329</v>
      </c>
      <c r="C25" s="61">
        <f t="shared" si="2"/>
        <v>656.0579582254436</v>
      </c>
      <c r="D25" s="61">
        <f t="shared" si="0"/>
        <v>12.268514671254376</v>
      </c>
      <c r="E25" s="62">
        <f t="shared" si="3"/>
        <v>8.0093751078896958</v>
      </c>
      <c r="F25" s="62">
        <f t="shared" si="4"/>
        <v>0.65283983615848662</v>
      </c>
      <c r="G25" s="55"/>
    </row>
    <row r="26" spans="1:186" x14ac:dyDescent="0.25">
      <c r="A26" s="16">
        <v>41223</v>
      </c>
      <c r="B26" s="17">
        <v>664.10266666666678</v>
      </c>
      <c r="C26" s="61">
        <f t="shared" si="2"/>
        <v>656.0579582254436</v>
      </c>
      <c r="D26" s="61">
        <f t="shared" si="0"/>
        <v>12.268514671254376</v>
      </c>
      <c r="E26" s="62">
        <f t="shared" si="3"/>
        <v>8.0447084412231789</v>
      </c>
      <c r="F26" s="62">
        <f t="shared" si="4"/>
        <v>0.65571983706163339</v>
      </c>
      <c r="G26" s="55"/>
    </row>
    <row r="27" spans="1:186" x14ac:dyDescent="0.25">
      <c r="A27" s="16">
        <v>41253</v>
      </c>
      <c r="B27" s="17">
        <v>664.1880000000001</v>
      </c>
      <c r="C27" s="61">
        <f t="shared" si="2"/>
        <v>656.0579582254436</v>
      </c>
      <c r="D27" s="61">
        <f t="shared" si="0"/>
        <v>12.268514671254376</v>
      </c>
      <c r="E27" s="62">
        <f t="shared" si="3"/>
        <v>8.1300417745565028</v>
      </c>
      <c r="F27" s="62">
        <f t="shared" si="4"/>
        <v>0.66267531094090126</v>
      </c>
      <c r="G27" s="55"/>
    </row>
    <row r="28" spans="1:186" x14ac:dyDescent="0.25">
      <c r="A28" s="16">
        <v>41284</v>
      </c>
      <c r="B28" s="17">
        <v>664.82733333333317</v>
      </c>
      <c r="C28" s="61">
        <f t="shared" si="2"/>
        <v>656.0579582254436</v>
      </c>
      <c r="D28" s="61">
        <f t="shared" si="0"/>
        <v>12.268514671254376</v>
      </c>
      <c r="E28" s="62">
        <f t="shared" si="3"/>
        <v>8.769375107889573</v>
      </c>
      <c r="F28" s="62">
        <f t="shared" si="4"/>
        <v>0.71478702539571248</v>
      </c>
      <c r="G28" s="55"/>
    </row>
    <row r="29" spans="1:186" x14ac:dyDescent="0.25">
      <c r="A29" s="20">
        <v>41315</v>
      </c>
      <c r="B29" s="17">
        <v>664.8893333333333</v>
      </c>
      <c r="C29" s="61">
        <f t="shared" si="2"/>
        <v>656.0579582254436</v>
      </c>
      <c r="D29" s="61">
        <f t="shared" si="0"/>
        <v>12.268514671254376</v>
      </c>
      <c r="E29" s="62">
        <f t="shared" si="3"/>
        <v>8.8313751078896985</v>
      </c>
      <c r="F29" s="62">
        <f t="shared" si="4"/>
        <v>0.7198406118861288</v>
      </c>
      <c r="G29" s="55"/>
    </row>
    <row r="30" spans="1:186" x14ac:dyDescent="0.25">
      <c r="A30" s="16">
        <v>41343</v>
      </c>
      <c r="B30" s="17">
        <v>664.5533333333334</v>
      </c>
      <c r="C30" s="61">
        <f t="shared" si="2"/>
        <v>656.0579582254436</v>
      </c>
      <c r="D30" s="61">
        <f t="shared" si="0"/>
        <v>12.268514671254376</v>
      </c>
      <c r="E30" s="62">
        <f t="shared" si="3"/>
        <v>8.4953751078897994</v>
      </c>
      <c r="F30" s="62">
        <f t="shared" si="4"/>
        <v>0.69245343348651689</v>
      </c>
      <c r="G30" s="55"/>
    </row>
    <row r="31" spans="1:186" x14ac:dyDescent="0.25">
      <c r="A31" s="16">
        <v>41374</v>
      </c>
      <c r="B31" s="17">
        <v>664.71400000000006</v>
      </c>
      <c r="C31" s="61">
        <f t="shared" si="2"/>
        <v>656.0579582254436</v>
      </c>
      <c r="D31" s="61">
        <f t="shared" si="0"/>
        <v>12.268514671254376</v>
      </c>
      <c r="E31" s="62">
        <f t="shared" si="3"/>
        <v>8.6560417745564564</v>
      </c>
      <c r="F31" s="62">
        <f t="shared" si="4"/>
        <v>0.70554928664982652</v>
      </c>
      <c r="G31" s="55"/>
    </row>
    <row r="32" spans="1:186" x14ac:dyDescent="0.25">
      <c r="A32" s="16">
        <v>41404</v>
      </c>
      <c r="B32" s="17">
        <v>664.55</v>
      </c>
      <c r="C32" s="61">
        <f t="shared" si="2"/>
        <v>656.0579582254436</v>
      </c>
      <c r="D32" s="61">
        <f t="shared" si="0"/>
        <v>12.268514671254376</v>
      </c>
      <c r="E32" s="62">
        <f t="shared" si="3"/>
        <v>8.4920417745563554</v>
      </c>
      <c r="F32" s="62">
        <f t="shared" si="4"/>
        <v>0.69218173528809901</v>
      </c>
      <c r="G32" s="55"/>
    </row>
    <row r="33" spans="1:7" x14ac:dyDescent="0.25">
      <c r="A33" s="16">
        <v>41435</v>
      </c>
      <c r="B33" s="17">
        <v>664.48666666666657</v>
      </c>
      <c r="C33" s="61">
        <f t="shared" si="2"/>
        <v>656.0579582254436</v>
      </c>
      <c r="D33" s="61">
        <f t="shared" si="0"/>
        <v>12.268514671254376</v>
      </c>
      <c r="E33" s="62">
        <f t="shared" si="3"/>
        <v>8.428708441222966</v>
      </c>
      <c r="F33" s="62">
        <f t="shared" si="4"/>
        <v>0.68701946951832471</v>
      </c>
      <c r="G33" s="55"/>
    </row>
    <row r="34" spans="1:7" x14ac:dyDescent="0.25">
      <c r="A34" s="16">
        <v>41465</v>
      </c>
      <c r="B34" s="17">
        <v>664.25866666666673</v>
      </c>
      <c r="C34" s="61">
        <f t="shared" si="2"/>
        <v>656.0579582254436</v>
      </c>
      <c r="D34" s="61">
        <f t="shared" si="0"/>
        <v>12.268514671254376</v>
      </c>
      <c r="E34" s="62">
        <f t="shared" si="3"/>
        <v>8.2007084412231279</v>
      </c>
      <c r="F34" s="62">
        <f t="shared" si="4"/>
        <v>0.66843531274716717</v>
      </c>
      <c r="G34" s="55"/>
    </row>
    <row r="35" spans="1:7" x14ac:dyDescent="0.25">
      <c r="A35" s="16">
        <v>41496</v>
      </c>
      <c r="B35" s="17">
        <v>664.3</v>
      </c>
      <c r="C35" s="61">
        <f t="shared" si="2"/>
        <v>656.0579582254436</v>
      </c>
      <c r="D35" s="61">
        <f t="shared" si="0"/>
        <v>12.268514671254376</v>
      </c>
      <c r="E35" s="62">
        <f t="shared" si="3"/>
        <v>8.2420417745563554</v>
      </c>
      <c r="F35" s="62">
        <f t="shared" si="4"/>
        <v>0.67180437040742924</v>
      </c>
      <c r="G35" s="55"/>
    </row>
    <row r="36" spans="1:7" x14ac:dyDescent="0.25">
      <c r="A36" s="16">
        <v>41527</v>
      </c>
      <c r="B36" s="17">
        <v>664.31133333333344</v>
      </c>
      <c r="C36" s="61">
        <f t="shared" si="2"/>
        <v>656.0579582254436</v>
      </c>
      <c r="D36" s="61">
        <f t="shared" ref="D36:D67" si="5">_xlfn.STDEV.S($B$4:$B$171)</f>
        <v>12.268514671254376</v>
      </c>
      <c r="E36" s="62">
        <f t="shared" si="3"/>
        <v>8.2533751078898376</v>
      </c>
      <c r="F36" s="62">
        <f t="shared" si="4"/>
        <v>0.67272814428203176</v>
      </c>
      <c r="G36" s="55"/>
    </row>
    <row r="37" spans="1:7" x14ac:dyDescent="0.25">
      <c r="A37" s="20">
        <v>41557</v>
      </c>
      <c r="B37" s="17">
        <v>664.3313333333333</v>
      </c>
      <c r="C37" s="61">
        <f t="shared" ref="C37:C68" si="6">AVERAGE($B$4:$B$171)</f>
        <v>656.0579582254436</v>
      </c>
      <c r="D37" s="61">
        <f t="shared" si="5"/>
        <v>12.268514671254376</v>
      </c>
      <c r="E37" s="62">
        <f t="shared" si="3"/>
        <v>8.2733751078897058</v>
      </c>
      <c r="F37" s="62">
        <f t="shared" si="4"/>
        <v>0.67435833347247465</v>
      </c>
      <c r="G37" s="55"/>
    </row>
    <row r="38" spans="1:7" x14ac:dyDescent="0.25">
      <c r="A38" s="16">
        <v>41588</v>
      </c>
      <c r="B38" s="17">
        <v>664.28786666666679</v>
      </c>
      <c r="C38" s="61">
        <f t="shared" si="6"/>
        <v>656.0579582254436</v>
      </c>
      <c r="D38" s="61">
        <f t="shared" si="5"/>
        <v>12.268514671254376</v>
      </c>
      <c r="E38" s="62">
        <f t="shared" si="3"/>
        <v>8.2299084412231878</v>
      </c>
      <c r="F38" s="62">
        <f t="shared" si="4"/>
        <v>0.67081538896523429</v>
      </c>
      <c r="G38" s="55"/>
    </row>
    <row r="39" spans="1:7" x14ac:dyDescent="0.25">
      <c r="A39" s="16">
        <v>41618</v>
      </c>
      <c r="B39" s="17">
        <v>646.74392857142868</v>
      </c>
      <c r="C39" s="61">
        <f t="shared" si="6"/>
        <v>656.0579582254436</v>
      </c>
      <c r="D39" s="61">
        <f t="shared" si="5"/>
        <v>12.268514671254376</v>
      </c>
      <c r="E39" s="62">
        <f t="shared" si="3"/>
        <v>-9.3140296540149166</v>
      </c>
      <c r="F39" s="62">
        <f t="shared" si="4"/>
        <v>-0.75918152307695919</v>
      </c>
      <c r="G39" s="55"/>
    </row>
    <row r="40" spans="1:7" x14ac:dyDescent="0.25">
      <c r="A40" s="16">
        <v>41649</v>
      </c>
      <c r="B40" s="17">
        <v>642.74599999999998</v>
      </c>
      <c r="C40" s="61">
        <f t="shared" si="6"/>
        <v>656.0579582254436</v>
      </c>
      <c r="D40" s="61">
        <f t="shared" si="5"/>
        <v>12.268514671254376</v>
      </c>
      <c r="E40" s="62">
        <f t="shared" si="3"/>
        <v>-13.311958225443618</v>
      </c>
      <c r="F40" s="62">
        <f t="shared" si="4"/>
        <v>-1.0850505201443881</v>
      </c>
      <c r="G40" s="55"/>
    </row>
    <row r="41" spans="1:7" x14ac:dyDescent="0.25">
      <c r="A41" s="16">
        <v>41680</v>
      </c>
      <c r="B41" s="17">
        <v>659.88937499999997</v>
      </c>
      <c r="C41" s="61">
        <f t="shared" si="6"/>
        <v>656.0579582254436</v>
      </c>
      <c r="D41" s="61">
        <f t="shared" si="5"/>
        <v>12.268514671254376</v>
      </c>
      <c r="E41" s="62">
        <f t="shared" si="3"/>
        <v>3.8314167745563736</v>
      </c>
      <c r="F41" s="62">
        <f t="shared" si="4"/>
        <v>0.31229671050021546</v>
      </c>
      <c r="G41" s="55"/>
    </row>
    <row r="42" spans="1:7" x14ac:dyDescent="0.25">
      <c r="A42" s="16">
        <v>41708</v>
      </c>
      <c r="B42" s="17">
        <v>635.23733333333337</v>
      </c>
      <c r="C42" s="61">
        <f t="shared" si="6"/>
        <v>656.0579582254436</v>
      </c>
      <c r="D42" s="61">
        <f t="shared" si="5"/>
        <v>12.268514671254376</v>
      </c>
      <c r="E42" s="62">
        <f t="shared" si="3"/>
        <v>-20.820624892110231</v>
      </c>
      <c r="F42" s="62">
        <f t="shared" si="4"/>
        <v>-1.6970778818803383</v>
      </c>
      <c r="G42" s="55"/>
    </row>
    <row r="43" spans="1:7" x14ac:dyDescent="0.25">
      <c r="A43" s="16">
        <v>41739</v>
      </c>
      <c r="B43" s="17">
        <v>638.73071428571427</v>
      </c>
      <c r="C43" s="61">
        <f t="shared" si="6"/>
        <v>656.0579582254436</v>
      </c>
      <c r="D43" s="61">
        <f t="shared" si="5"/>
        <v>12.268514671254376</v>
      </c>
      <c r="E43" s="62">
        <f t="shared" si="3"/>
        <v>-17.327243939729328</v>
      </c>
      <c r="F43" s="62">
        <f t="shared" si="4"/>
        <v>-1.4123342885449499</v>
      </c>
      <c r="G43" s="55"/>
    </row>
    <row r="44" spans="1:7" x14ac:dyDescent="0.25">
      <c r="A44" s="16">
        <v>41769</v>
      </c>
      <c r="B44" s="17">
        <v>638.57499999999993</v>
      </c>
      <c r="C44" s="61">
        <f t="shared" si="6"/>
        <v>656.0579582254436</v>
      </c>
      <c r="D44" s="61">
        <f t="shared" si="5"/>
        <v>12.268514671254376</v>
      </c>
      <c r="E44" s="62">
        <f t="shared" si="3"/>
        <v>-17.482958225443667</v>
      </c>
      <c r="F44" s="62">
        <f t="shared" si="4"/>
        <v>-1.4250264758134856</v>
      </c>
      <c r="G44" s="55"/>
    </row>
    <row r="45" spans="1:7" x14ac:dyDescent="0.25">
      <c r="A45" s="20">
        <v>41800</v>
      </c>
      <c r="B45" s="17">
        <v>638.11357142857128</v>
      </c>
      <c r="C45" s="61">
        <f t="shared" si="6"/>
        <v>656.0579582254436</v>
      </c>
      <c r="D45" s="61">
        <f t="shared" si="5"/>
        <v>12.268514671254376</v>
      </c>
      <c r="E45" s="62">
        <f t="shared" si="3"/>
        <v>-17.944386796872323</v>
      </c>
      <c r="F45" s="62">
        <f t="shared" si="4"/>
        <v>-1.4626372692789571</v>
      </c>
      <c r="G45" s="55"/>
    </row>
    <row r="46" spans="1:7" x14ac:dyDescent="0.25">
      <c r="A46" s="16">
        <v>41830</v>
      </c>
      <c r="B46" s="17">
        <v>638.14</v>
      </c>
      <c r="C46" s="61">
        <f t="shared" si="6"/>
        <v>656.0579582254436</v>
      </c>
      <c r="D46" s="61">
        <f t="shared" si="5"/>
        <v>12.268514671254376</v>
      </c>
      <c r="E46" s="62">
        <f t="shared" si="3"/>
        <v>-17.917958225443613</v>
      </c>
      <c r="F46" s="62">
        <f t="shared" si="4"/>
        <v>-1.4604830907058464</v>
      </c>
      <c r="G46" s="55"/>
    </row>
    <row r="47" spans="1:7" x14ac:dyDescent="0.25">
      <c r="A47" s="16">
        <v>41861</v>
      </c>
      <c r="B47" s="17">
        <v>637.96</v>
      </c>
      <c r="C47" s="61">
        <f t="shared" si="6"/>
        <v>656.0579582254436</v>
      </c>
      <c r="D47" s="61">
        <f t="shared" si="5"/>
        <v>12.268514671254376</v>
      </c>
      <c r="E47" s="62">
        <f t="shared" si="3"/>
        <v>-18.097958225443563</v>
      </c>
      <c r="F47" s="62">
        <f t="shared" si="4"/>
        <v>-1.4751547934199245</v>
      </c>
      <c r="G47" s="55"/>
    </row>
    <row r="48" spans="1:7" x14ac:dyDescent="0.25">
      <c r="A48" s="16">
        <v>41892</v>
      </c>
      <c r="B48" s="17">
        <v>637.85292857142849</v>
      </c>
      <c r="C48" s="61">
        <f t="shared" si="6"/>
        <v>656.0579582254436</v>
      </c>
      <c r="D48" s="61">
        <f t="shared" si="5"/>
        <v>12.268514671254376</v>
      </c>
      <c r="E48" s="62">
        <f t="shared" si="3"/>
        <v>-18.205029654015107</v>
      </c>
      <c r="F48" s="62">
        <f t="shared" si="4"/>
        <v>-1.4838821276931122</v>
      </c>
      <c r="G48" s="55"/>
    </row>
    <row r="49" spans="1:7" x14ac:dyDescent="0.25">
      <c r="A49" s="16">
        <v>41922</v>
      </c>
      <c r="B49" s="17">
        <v>637.61228571428558</v>
      </c>
      <c r="C49" s="61">
        <f t="shared" si="6"/>
        <v>656.0579582254436</v>
      </c>
      <c r="D49" s="61">
        <f t="shared" si="5"/>
        <v>12.268514671254376</v>
      </c>
      <c r="E49" s="62">
        <f t="shared" si="3"/>
        <v>-18.445672511158023</v>
      </c>
      <c r="F49" s="62">
        <f t="shared" si="4"/>
        <v>-1.5034967969168245</v>
      </c>
      <c r="G49" s="55"/>
    </row>
    <row r="50" spans="1:7" x14ac:dyDescent="0.25">
      <c r="A50" s="16">
        <v>41953</v>
      </c>
      <c r="B50" s="17">
        <v>637.57392857142861</v>
      </c>
      <c r="C50" s="61">
        <f t="shared" si="6"/>
        <v>656.0579582254436</v>
      </c>
      <c r="D50" s="61">
        <f t="shared" si="5"/>
        <v>12.268514671254376</v>
      </c>
      <c r="E50" s="62">
        <f t="shared" si="3"/>
        <v>-18.484029654014989</v>
      </c>
      <c r="F50" s="62">
        <f t="shared" si="4"/>
        <v>-1.50662326689993</v>
      </c>
      <c r="G50" s="55"/>
    </row>
    <row r="51" spans="1:7" x14ac:dyDescent="0.25">
      <c r="A51" s="16">
        <v>41983</v>
      </c>
      <c r="B51" s="17">
        <v>637.60314285714287</v>
      </c>
      <c r="C51" s="61">
        <f t="shared" si="6"/>
        <v>656.0579582254436</v>
      </c>
      <c r="D51" s="61">
        <f t="shared" si="5"/>
        <v>12.268514671254376</v>
      </c>
      <c r="E51" s="62">
        <f t="shared" si="3"/>
        <v>-18.454815368300729</v>
      </c>
      <c r="F51" s="62">
        <f t="shared" si="4"/>
        <v>-1.5042420262610194</v>
      </c>
      <c r="G51" s="55"/>
    </row>
    <row r="52" spans="1:7" x14ac:dyDescent="0.25">
      <c r="A52" s="16">
        <v>42014</v>
      </c>
      <c r="B52" s="17">
        <v>637.55064285714286</v>
      </c>
      <c r="C52" s="61">
        <f t="shared" si="6"/>
        <v>656.0579582254436</v>
      </c>
      <c r="D52" s="61">
        <f t="shared" si="5"/>
        <v>12.268514671254376</v>
      </c>
      <c r="E52" s="62">
        <f t="shared" si="3"/>
        <v>-18.507315368300738</v>
      </c>
      <c r="F52" s="62">
        <f t="shared" si="4"/>
        <v>-1.5085212728859609</v>
      </c>
      <c r="G52" s="55"/>
    </row>
    <row r="53" spans="1:7" x14ac:dyDescent="0.25">
      <c r="A53" s="20">
        <v>42045</v>
      </c>
      <c r="B53" s="17">
        <v>637.53578571428568</v>
      </c>
      <c r="C53" s="61">
        <f t="shared" si="6"/>
        <v>656.0579582254436</v>
      </c>
      <c r="D53" s="61">
        <f t="shared" si="5"/>
        <v>12.268514671254376</v>
      </c>
      <c r="E53" s="62">
        <f t="shared" si="3"/>
        <v>-18.522172511157919</v>
      </c>
      <c r="F53" s="62">
        <f t="shared" si="4"/>
        <v>-1.5097322705703009</v>
      </c>
      <c r="G53" s="55"/>
    </row>
    <row r="54" spans="1:7" x14ac:dyDescent="0.25">
      <c r="A54" s="16">
        <v>42073</v>
      </c>
      <c r="B54" s="17">
        <v>640.08873333333338</v>
      </c>
      <c r="C54" s="61">
        <f t="shared" si="6"/>
        <v>656.0579582254436</v>
      </c>
      <c r="D54" s="61">
        <f t="shared" si="5"/>
        <v>12.268514671254376</v>
      </c>
      <c r="E54" s="62">
        <f t="shared" si="3"/>
        <v>-15.969224892110219</v>
      </c>
      <c r="F54" s="62">
        <f t="shared" si="4"/>
        <v>-1.3016428899520132</v>
      </c>
      <c r="G54" s="55"/>
    </row>
    <row r="55" spans="1:7" x14ac:dyDescent="0.25">
      <c r="A55" s="16">
        <v>42104</v>
      </c>
      <c r="B55" s="17">
        <v>639.98413333333326</v>
      </c>
      <c r="C55" s="61">
        <f t="shared" si="6"/>
        <v>656.0579582254436</v>
      </c>
      <c r="D55" s="61">
        <f t="shared" si="5"/>
        <v>12.268514671254376</v>
      </c>
      <c r="E55" s="62">
        <f t="shared" si="3"/>
        <v>-16.073824892110338</v>
      </c>
      <c r="F55" s="62">
        <f t="shared" si="4"/>
        <v>-1.310168779418095</v>
      </c>
      <c r="G55" s="55"/>
    </row>
    <row r="56" spans="1:7" x14ac:dyDescent="0.25">
      <c r="A56" s="16">
        <v>42134</v>
      </c>
      <c r="B56" s="17">
        <v>639.8971333333335</v>
      </c>
      <c r="C56" s="61">
        <f t="shared" si="6"/>
        <v>656.0579582254436</v>
      </c>
      <c r="D56" s="61">
        <f t="shared" si="5"/>
        <v>12.268514671254376</v>
      </c>
      <c r="E56" s="62">
        <f t="shared" si="3"/>
        <v>-16.160824892110099</v>
      </c>
      <c r="F56" s="62">
        <f t="shared" si="4"/>
        <v>-1.3172601023965487</v>
      </c>
      <c r="G56" s="55"/>
    </row>
    <row r="57" spans="1:7" x14ac:dyDescent="0.25">
      <c r="A57" s="16">
        <v>42165</v>
      </c>
      <c r="B57" s="17">
        <v>664.78131250000001</v>
      </c>
      <c r="C57" s="61">
        <f t="shared" si="6"/>
        <v>656.0579582254436</v>
      </c>
      <c r="D57" s="61">
        <f t="shared" si="5"/>
        <v>12.268514671254376</v>
      </c>
      <c r="E57" s="62">
        <f t="shared" si="3"/>
        <v>8.7233542745564137</v>
      </c>
      <c r="F57" s="62">
        <f t="shared" si="4"/>
        <v>0.71103589214394336</v>
      </c>
      <c r="G57" s="55"/>
    </row>
    <row r="58" spans="1:7" x14ac:dyDescent="0.25">
      <c r="A58" s="16">
        <v>42195</v>
      </c>
      <c r="B58" s="17">
        <v>659.96176470588239</v>
      </c>
      <c r="C58" s="61">
        <f t="shared" si="6"/>
        <v>656.0579582254436</v>
      </c>
      <c r="D58" s="61">
        <f t="shared" si="5"/>
        <v>12.268514671254376</v>
      </c>
      <c r="E58" s="62">
        <f t="shared" si="3"/>
        <v>3.9038064804387886</v>
      </c>
      <c r="F58" s="62">
        <f t="shared" si="4"/>
        <v>0.31819715630169676</v>
      </c>
      <c r="G58" s="55"/>
    </row>
    <row r="59" spans="1:7" x14ac:dyDescent="0.25">
      <c r="A59" s="16">
        <v>42226</v>
      </c>
      <c r="B59" s="17">
        <v>659.82335294117638</v>
      </c>
      <c r="C59" s="61">
        <f t="shared" si="6"/>
        <v>656.0579582254436</v>
      </c>
      <c r="D59" s="61">
        <f t="shared" si="5"/>
        <v>12.268514671254376</v>
      </c>
      <c r="E59" s="62">
        <f t="shared" si="3"/>
        <v>3.7653947157327821</v>
      </c>
      <c r="F59" s="62">
        <f t="shared" si="4"/>
        <v>0.30691528816892999</v>
      </c>
      <c r="G59" s="55"/>
    </row>
    <row r="60" spans="1:7" x14ac:dyDescent="0.25">
      <c r="A60" s="16">
        <v>42257</v>
      </c>
      <c r="B60" s="17">
        <v>659.68500000000017</v>
      </c>
      <c r="C60" s="61">
        <f t="shared" si="6"/>
        <v>656.0579582254436</v>
      </c>
      <c r="D60" s="61">
        <f t="shared" si="5"/>
        <v>12.268514671254376</v>
      </c>
      <c r="E60" s="62">
        <f t="shared" si="3"/>
        <v>3.6270417745565737</v>
      </c>
      <c r="F60" s="62">
        <f t="shared" si="4"/>
        <v>0.29563821471028423</v>
      </c>
      <c r="G60" s="55"/>
    </row>
    <row r="61" spans="1:7" x14ac:dyDescent="0.25">
      <c r="A61" s="20">
        <v>42287</v>
      </c>
      <c r="B61" s="17">
        <v>659.61582352941173</v>
      </c>
      <c r="C61" s="61">
        <f t="shared" si="6"/>
        <v>656.0579582254436</v>
      </c>
      <c r="D61" s="61">
        <f t="shared" si="5"/>
        <v>12.268514671254376</v>
      </c>
      <c r="E61" s="62">
        <f t="shared" si="3"/>
        <v>3.5578653039681285</v>
      </c>
      <c r="F61" s="62">
        <f t="shared" si="4"/>
        <v>0.28999967798093362</v>
      </c>
      <c r="G61" s="55"/>
    </row>
    <row r="62" spans="1:7" x14ac:dyDescent="0.25">
      <c r="A62" s="16">
        <v>42318</v>
      </c>
      <c r="B62" s="17">
        <v>659.51494117647064</v>
      </c>
      <c r="C62" s="61">
        <f t="shared" si="6"/>
        <v>656.0579582254436</v>
      </c>
      <c r="D62" s="61">
        <f t="shared" si="5"/>
        <v>12.268514671254376</v>
      </c>
      <c r="E62" s="62">
        <f t="shared" si="3"/>
        <v>3.4569829510270438</v>
      </c>
      <c r="F62" s="62">
        <f t="shared" si="4"/>
        <v>0.28177681191732967</v>
      </c>
      <c r="G62" s="55"/>
    </row>
    <row r="63" spans="1:7" x14ac:dyDescent="0.25">
      <c r="A63" s="16">
        <v>42348</v>
      </c>
      <c r="B63" s="17">
        <v>659.45358823529421</v>
      </c>
      <c r="C63" s="61">
        <f t="shared" si="6"/>
        <v>656.0579582254436</v>
      </c>
      <c r="D63" s="61">
        <f t="shared" si="5"/>
        <v>12.268514671254376</v>
      </c>
      <c r="E63" s="62">
        <f t="shared" si="3"/>
        <v>3.3956300098506063</v>
      </c>
      <c r="F63" s="62">
        <f t="shared" si="4"/>
        <v>0.27677596684191152</v>
      </c>
      <c r="G63" s="55"/>
    </row>
    <row r="64" spans="1:7" x14ac:dyDescent="0.25">
      <c r="A64" s="16">
        <v>42379</v>
      </c>
      <c r="B64" s="17">
        <v>659.44729411764706</v>
      </c>
      <c r="C64" s="61">
        <f t="shared" si="6"/>
        <v>656.0579582254436</v>
      </c>
      <c r="D64" s="61">
        <f t="shared" si="5"/>
        <v>12.268514671254376</v>
      </c>
      <c r="E64" s="62">
        <f t="shared" si="3"/>
        <v>3.3893358922034622</v>
      </c>
      <c r="F64" s="62">
        <f t="shared" si="4"/>
        <v>0.27626293671432067</v>
      </c>
      <c r="G64" s="55"/>
    </row>
    <row r="65" spans="1:7" x14ac:dyDescent="0.25">
      <c r="A65" s="16">
        <v>42410</v>
      </c>
      <c r="B65" s="17">
        <v>659.37735294117647</v>
      </c>
      <c r="C65" s="61">
        <f t="shared" si="6"/>
        <v>656.0579582254436</v>
      </c>
      <c r="D65" s="61">
        <f t="shared" si="5"/>
        <v>12.268514671254376</v>
      </c>
      <c r="E65" s="62">
        <f t="shared" si="3"/>
        <v>3.3193947157328694</v>
      </c>
      <c r="F65" s="62">
        <f t="shared" si="4"/>
        <v>0.27056206922182235</v>
      </c>
      <c r="G65" s="55"/>
    </row>
    <row r="66" spans="1:7" x14ac:dyDescent="0.25">
      <c r="A66" s="16">
        <v>42439</v>
      </c>
      <c r="B66" s="17">
        <v>659.47841176470592</v>
      </c>
      <c r="C66" s="61">
        <f t="shared" si="6"/>
        <v>656.0579582254436</v>
      </c>
      <c r="D66" s="61">
        <f t="shared" si="5"/>
        <v>12.268514671254376</v>
      </c>
      <c r="E66" s="62">
        <f t="shared" si="3"/>
        <v>3.4204535392623256</v>
      </c>
      <c r="F66" s="62">
        <f t="shared" si="4"/>
        <v>0.27879931930770607</v>
      </c>
      <c r="G66" s="55"/>
    </row>
    <row r="67" spans="1:7" x14ac:dyDescent="0.25">
      <c r="A67" s="16">
        <v>42470</v>
      </c>
      <c r="B67" s="17">
        <v>659.39464705882347</v>
      </c>
      <c r="C67" s="61">
        <f t="shared" si="6"/>
        <v>656.0579582254436</v>
      </c>
      <c r="D67" s="61">
        <f t="shared" si="5"/>
        <v>12.268514671254376</v>
      </c>
      <c r="E67" s="62">
        <f t="shared" si="3"/>
        <v>3.336688833379867</v>
      </c>
      <c r="F67" s="62">
        <f t="shared" si="4"/>
        <v>0.27197170340415072</v>
      </c>
      <c r="G67" s="55"/>
    </row>
    <row r="68" spans="1:7" x14ac:dyDescent="0.25">
      <c r="A68" s="16">
        <v>42500</v>
      </c>
      <c r="B68" s="17">
        <v>636.89662499999997</v>
      </c>
      <c r="C68" s="61">
        <f t="shared" si="6"/>
        <v>656.0579582254436</v>
      </c>
      <c r="D68" s="61">
        <f t="shared" ref="D68:D99" si="7">_xlfn.STDEV.S($B$4:$B$171)</f>
        <v>12.268514671254376</v>
      </c>
      <c r="E68" s="62">
        <f t="shared" si="3"/>
        <v>-19.161333225443627</v>
      </c>
      <c r="F68" s="62">
        <f t="shared" si="4"/>
        <v>-1.5618299149398585</v>
      </c>
      <c r="G68" s="55"/>
    </row>
    <row r="69" spans="1:7" x14ac:dyDescent="0.25">
      <c r="A69" s="20">
        <v>42531</v>
      </c>
      <c r="B69" s="17">
        <v>636.83018749999997</v>
      </c>
      <c r="C69" s="61">
        <f t="shared" ref="C69:C100" si="8">AVERAGE($B$4:$B$171)</f>
        <v>656.0579582254436</v>
      </c>
      <c r="D69" s="61">
        <f t="shared" si="7"/>
        <v>12.268514671254376</v>
      </c>
      <c r="E69" s="62">
        <f t="shared" ref="E69:E129" si="9">B69-C69</f>
        <v>-19.227770725443634</v>
      </c>
      <c r="F69" s="62">
        <f t="shared" ref="F69:F129" si="10">E69/D69</f>
        <v>-1.5672451996568968</v>
      </c>
      <c r="G69" s="55"/>
    </row>
    <row r="70" spans="1:7" x14ac:dyDescent="0.25">
      <c r="A70" s="16">
        <v>42561</v>
      </c>
      <c r="B70" s="17">
        <v>636.73043750000011</v>
      </c>
      <c r="C70" s="61">
        <f t="shared" si="8"/>
        <v>656.0579582254436</v>
      </c>
      <c r="D70" s="61">
        <f t="shared" si="7"/>
        <v>12.268514671254376</v>
      </c>
      <c r="E70" s="62">
        <f t="shared" si="9"/>
        <v>-19.327520725443492</v>
      </c>
      <c r="F70" s="62">
        <f t="shared" si="10"/>
        <v>-1.5753757682442726</v>
      </c>
      <c r="G70" s="55"/>
    </row>
    <row r="71" spans="1:7" x14ac:dyDescent="0.25">
      <c r="A71" s="16">
        <v>42592</v>
      </c>
      <c r="B71" s="17">
        <v>636.65243749999991</v>
      </c>
      <c r="C71" s="61">
        <f t="shared" si="8"/>
        <v>656.0579582254436</v>
      </c>
      <c r="D71" s="61">
        <f t="shared" si="7"/>
        <v>12.268514671254376</v>
      </c>
      <c r="E71" s="62">
        <f t="shared" si="9"/>
        <v>-19.405520725443694</v>
      </c>
      <c r="F71" s="62">
        <f t="shared" si="10"/>
        <v>-1.5817335060870579</v>
      </c>
      <c r="G71" s="55"/>
    </row>
    <row r="72" spans="1:7" x14ac:dyDescent="0.25">
      <c r="A72" s="16">
        <v>42623</v>
      </c>
      <c r="B72" s="17">
        <v>659.08564705882338</v>
      </c>
      <c r="C72" s="61">
        <f t="shared" si="8"/>
        <v>656.0579582254436</v>
      </c>
      <c r="D72" s="61">
        <f t="shared" si="7"/>
        <v>12.268514671254376</v>
      </c>
      <c r="E72" s="62">
        <f t="shared" si="9"/>
        <v>3.0276888333797842</v>
      </c>
      <c r="F72" s="62">
        <f t="shared" si="10"/>
        <v>0.24678528041163622</v>
      </c>
      <c r="G72" s="55"/>
    </row>
    <row r="73" spans="1:7" x14ac:dyDescent="0.25">
      <c r="A73" s="16">
        <v>42653</v>
      </c>
      <c r="B73" s="17">
        <v>643.17943749999984</v>
      </c>
      <c r="C73" s="61">
        <f t="shared" si="8"/>
        <v>656.0579582254436</v>
      </c>
      <c r="D73" s="61">
        <f t="shared" si="7"/>
        <v>12.268514671254376</v>
      </c>
      <c r="E73" s="62">
        <f t="shared" si="9"/>
        <v>-12.878520725443764</v>
      </c>
      <c r="F73" s="62">
        <f t="shared" si="10"/>
        <v>-1.0497212637825388</v>
      </c>
      <c r="G73" s="55"/>
    </row>
    <row r="74" spans="1:7" x14ac:dyDescent="0.25">
      <c r="A74" s="16">
        <v>42684</v>
      </c>
      <c r="B74" s="17">
        <v>643.22643749999986</v>
      </c>
      <c r="C74" s="61">
        <f t="shared" si="8"/>
        <v>656.0579582254436</v>
      </c>
      <c r="D74" s="61">
        <f t="shared" si="7"/>
        <v>12.268514671254376</v>
      </c>
      <c r="E74" s="62">
        <f t="shared" si="9"/>
        <v>-12.831520725443738</v>
      </c>
      <c r="F74" s="62">
        <f t="shared" si="10"/>
        <v>-1.0458903191849709</v>
      </c>
      <c r="G74" s="55"/>
    </row>
    <row r="75" spans="1:7" x14ac:dyDescent="0.25">
      <c r="A75" s="16">
        <v>42714</v>
      </c>
      <c r="B75" s="17">
        <v>643.2806250000001</v>
      </c>
      <c r="C75" s="61">
        <f t="shared" si="8"/>
        <v>656.0579582254436</v>
      </c>
      <c r="D75" s="61">
        <f t="shared" si="7"/>
        <v>12.268514671254376</v>
      </c>
      <c r="E75" s="62">
        <f t="shared" si="9"/>
        <v>-12.777333225443499</v>
      </c>
      <c r="F75" s="62">
        <f t="shared" si="10"/>
        <v>-1.0414735253470662</v>
      </c>
      <c r="G75" s="55"/>
    </row>
    <row r="76" spans="1:7" x14ac:dyDescent="0.25">
      <c r="A76" s="16">
        <v>42745</v>
      </c>
      <c r="B76" s="17">
        <v>667.6728333333333</v>
      </c>
      <c r="C76" s="61">
        <f t="shared" si="8"/>
        <v>656.0579582254436</v>
      </c>
      <c r="D76" s="61">
        <f t="shared" si="7"/>
        <v>12.268514671254376</v>
      </c>
      <c r="E76" s="62">
        <f t="shared" si="9"/>
        <v>11.614875107889702</v>
      </c>
      <c r="F76" s="62">
        <f t="shared" si="10"/>
        <v>0.94672219246750566</v>
      </c>
      <c r="G76" s="55"/>
    </row>
    <row r="77" spans="1:7" x14ac:dyDescent="0.25">
      <c r="A77" s="20">
        <v>42776</v>
      </c>
      <c r="B77" s="17">
        <v>667.91766666666672</v>
      </c>
      <c r="C77" s="61">
        <f t="shared" si="8"/>
        <v>656.0579582254436</v>
      </c>
      <c r="D77" s="61">
        <f t="shared" si="7"/>
        <v>12.268514671254376</v>
      </c>
      <c r="E77" s="62">
        <f t="shared" si="9"/>
        <v>11.85970844122312</v>
      </c>
      <c r="F77" s="62">
        <f t="shared" si="10"/>
        <v>0.96667842514064839</v>
      </c>
      <c r="G77" s="55"/>
    </row>
    <row r="78" spans="1:7" x14ac:dyDescent="0.25">
      <c r="A78" s="16">
        <v>42804</v>
      </c>
      <c r="B78" s="17">
        <v>659.91241176470578</v>
      </c>
      <c r="C78" s="61">
        <f t="shared" si="8"/>
        <v>656.0579582254436</v>
      </c>
      <c r="D78" s="61">
        <f t="shared" si="7"/>
        <v>12.268514671254376</v>
      </c>
      <c r="E78" s="62">
        <f t="shared" si="9"/>
        <v>3.854453539262181</v>
      </c>
      <c r="F78" s="62">
        <f t="shared" si="10"/>
        <v>0.31417442474053692</v>
      </c>
      <c r="G78" s="55"/>
    </row>
    <row r="79" spans="1:7" x14ac:dyDescent="0.25">
      <c r="A79" s="16">
        <v>42835</v>
      </c>
      <c r="B79" s="17">
        <v>659.93429411764714</v>
      </c>
      <c r="C79" s="61">
        <f t="shared" si="8"/>
        <v>656.0579582254436</v>
      </c>
      <c r="D79" s="61">
        <f t="shared" si="7"/>
        <v>12.268514671254376</v>
      </c>
      <c r="E79" s="62">
        <f t="shared" si="9"/>
        <v>3.8763358922035422</v>
      </c>
      <c r="F79" s="62">
        <f t="shared" si="10"/>
        <v>0.31595804350187179</v>
      </c>
      <c r="G79" s="55"/>
    </row>
    <row r="80" spans="1:7" x14ac:dyDescent="0.25">
      <c r="A80" s="16">
        <v>42865</v>
      </c>
      <c r="B80" s="17">
        <v>660.00429411764708</v>
      </c>
      <c r="C80" s="61">
        <f t="shared" si="8"/>
        <v>656.0579582254436</v>
      </c>
      <c r="D80" s="61">
        <f t="shared" si="7"/>
        <v>12.268514671254376</v>
      </c>
      <c r="E80" s="62">
        <f t="shared" si="9"/>
        <v>3.9463358922034786</v>
      </c>
      <c r="F80" s="62">
        <f t="shared" si="10"/>
        <v>0.32166370566845409</v>
      </c>
      <c r="G80" s="55"/>
    </row>
    <row r="81" spans="1:7" x14ac:dyDescent="0.25">
      <c r="A81" s="16">
        <v>42896</v>
      </c>
      <c r="B81" s="17">
        <v>659.96823529411756</v>
      </c>
      <c r="C81" s="61">
        <f t="shared" si="8"/>
        <v>656.0579582254436</v>
      </c>
      <c r="D81" s="61">
        <f t="shared" si="7"/>
        <v>12.268514671254376</v>
      </c>
      <c r="E81" s="62">
        <f t="shared" si="9"/>
        <v>3.9102770686739632</v>
      </c>
      <c r="F81" s="62">
        <f t="shared" si="10"/>
        <v>0.31872457045153962</v>
      </c>
      <c r="G81" s="55"/>
    </row>
    <row r="82" spans="1:7" x14ac:dyDescent="0.25">
      <c r="A82" s="16">
        <v>42926</v>
      </c>
      <c r="B82" s="17">
        <v>659.875</v>
      </c>
      <c r="C82" s="61">
        <f t="shared" si="8"/>
        <v>656.0579582254436</v>
      </c>
      <c r="D82" s="61">
        <f t="shared" si="7"/>
        <v>12.268514671254376</v>
      </c>
      <c r="E82" s="62">
        <f t="shared" si="9"/>
        <v>3.8170417745564009</v>
      </c>
      <c r="F82" s="62">
        <f t="shared" si="10"/>
        <v>0.31112501201957915</v>
      </c>
      <c r="G82" s="55"/>
    </row>
    <row r="83" spans="1:7" x14ac:dyDescent="0.25">
      <c r="A83" s="16">
        <v>42957</v>
      </c>
      <c r="B83" s="17">
        <v>659.80000000000007</v>
      </c>
      <c r="C83" s="61">
        <f t="shared" si="8"/>
        <v>656.0579582254436</v>
      </c>
      <c r="D83" s="61">
        <f t="shared" si="7"/>
        <v>12.268514671254376</v>
      </c>
      <c r="E83" s="62">
        <f t="shared" si="9"/>
        <v>3.7420417745564691</v>
      </c>
      <c r="F83" s="62">
        <f t="shared" si="10"/>
        <v>0.30501180255538379</v>
      </c>
      <c r="G83" s="55"/>
    </row>
    <row r="84" spans="1:7" x14ac:dyDescent="0.25">
      <c r="A84" s="16">
        <v>42988</v>
      </c>
      <c r="B84" s="17">
        <v>659.78794117647067</v>
      </c>
      <c r="C84" s="61">
        <f t="shared" si="8"/>
        <v>656.0579582254436</v>
      </c>
      <c r="D84" s="61">
        <f t="shared" si="7"/>
        <v>12.268514671254376</v>
      </c>
      <c r="E84" s="62">
        <f t="shared" si="9"/>
        <v>3.7299829510270683</v>
      </c>
      <c r="F84" s="62">
        <f t="shared" si="10"/>
        <v>0.30402889436702296</v>
      </c>
      <c r="G84" s="55"/>
    </row>
    <row r="85" spans="1:7" x14ac:dyDescent="0.25">
      <c r="A85" s="20">
        <v>43018</v>
      </c>
      <c r="B85" s="17">
        <v>659.65647058823527</v>
      </c>
      <c r="C85" s="61">
        <f t="shared" si="8"/>
        <v>656.0579582254436</v>
      </c>
      <c r="D85" s="61">
        <f t="shared" si="7"/>
        <v>12.268514671254376</v>
      </c>
      <c r="E85" s="62">
        <f t="shared" si="9"/>
        <v>3.5985123627916664</v>
      </c>
      <c r="F85" s="62">
        <f t="shared" si="10"/>
        <v>0.29331279777682673</v>
      </c>
      <c r="G85" s="55"/>
    </row>
    <row r="86" spans="1:7" x14ac:dyDescent="0.25">
      <c r="A86" s="16">
        <v>43049</v>
      </c>
      <c r="B86" s="17">
        <v>659.6676470588236</v>
      </c>
      <c r="C86" s="61">
        <f t="shared" si="8"/>
        <v>656.0579582254436</v>
      </c>
      <c r="D86" s="61">
        <f t="shared" si="7"/>
        <v>12.268514671254376</v>
      </c>
      <c r="E86" s="62">
        <f t="shared" si="9"/>
        <v>3.6096888333800052</v>
      </c>
      <c r="F86" s="62">
        <f t="shared" si="10"/>
        <v>0.29422378585385334</v>
      </c>
      <c r="G86" s="55"/>
    </row>
    <row r="87" spans="1:7" x14ac:dyDescent="0.25">
      <c r="A87" s="16">
        <v>43079</v>
      </c>
      <c r="B87" s="17">
        <v>659.6270588235293</v>
      </c>
      <c r="C87" s="61">
        <f t="shared" si="8"/>
        <v>656.0579582254436</v>
      </c>
      <c r="D87" s="61">
        <f t="shared" si="7"/>
        <v>12.268514671254376</v>
      </c>
      <c r="E87" s="62">
        <f t="shared" si="9"/>
        <v>3.5691005980856971</v>
      </c>
      <c r="F87" s="62">
        <f t="shared" si="10"/>
        <v>0.29091546073203495</v>
      </c>
      <c r="G87" s="55"/>
    </row>
    <row r="88" spans="1:7" x14ac:dyDescent="0.25">
      <c r="A88" s="16">
        <v>43110</v>
      </c>
      <c r="B88" s="17">
        <v>659.80235294117631</v>
      </c>
      <c r="C88" s="61">
        <f t="shared" si="8"/>
        <v>656.0579582254436</v>
      </c>
      <c r="D88" s="61">
        <f t="shared" si="7"/>
        <v>12.268514671254376</v>
      </c>
      <c r="E88" s="62">
        <f t="shared" si="9"/>
        <v>3.7443947157327102</v>
      </c>
      <c r="F88" s="62">
        <f t="shared" si="10"/>
        <v>0.30520358951894788</v>
      </c>
      <c r="G88" s="55"/>
    </row>
    <row r="89" spans="1:7" x14ac:dyDescent="0.25">
      <c r="A89" s="16">
        <v>43141</v>
      </c>
      <c r="B89" s="17">
        <v>643.88999999999987</v>
      </c>
      <c r="C89" s="61">
        <f t="shared" si="8"/>
        <v>656.0579582254436</v>
      </c>
      <c r="D89" s="61">
        <f t="shared" si="7"/>
        <v>12.268514671254376</v>
      </c>
      <c r="E89" s="62">
        <f t="shared" si="9"/>
        <v>-12.167958225443726</v>
      </c>
      <c r="F89" s="62">
        <f t="shared" si="10"/>
        <v>-0.99180369845045235</v>
      </c>
      <c r="G89" s="55"/>
    </row>
    <row r="90" spans="1:7" x14ac:dyDescent="0.25">
      <c r="A90" s="16">
        <v>43169</v>
      </c>
      <c r="B90" s="17">
        <v>643.87249999999995</v>
      </c>
      <c r="C90" s="61">
        <f t="shared" si="8"/>
        <v>656.0579582254436</v>
      </c>
      <c r="D90" s="61">
        <f t="shared" si="7"/>
        <v>12.268514671254376</v>
      </c>
      <c r="E90" s="62">
        <f t="shared" si="9"/>
        <v>-12.185458225443654</v>
      </c>
      <c r="F90" s="62">
        <f t="shared" si="10"/>
        <v>-0.99323011399209338</v>
      </c>
      <c r="G90" s="55"/>
    </row>
    <row r="91" spans="1:7" x14ac:dyDescent="0.25">
      <c r="A91" s="16">
        <v>43200</v>
      </c>
      <c r="B91" s="17">
        <v>659.79823529411772</v>
      </c>
      <c r="C91" s="61">
        <f t="shared" si="8"/>
        <v>656.0579582254436</v>
      </c>
      <c r="D91" s="61">
        <f t="shared" si="7"/>
        <v>12.268514671254376</v>
      </c>
      <c r="E91" s="62">
        <f t="shared" si="9"/>
        <v>3.7402770686741178</v>
      </c>
      <c r="F91" s="62">
        <f t="shared" si="10"/>
        <v>0.30486796233269686</v>
      </c>
      <c r="G91" s="55"/>
    </row>
    <row r="92" spans="1:7" x14ac:dyDescent="0.25">
      <c r="A92" s="20">
        <v>43230</v>
      </c>
      <c r="B92" s="17">
        <v>659.73647058823531</v>
      </c>
      <c r="C92" s="61">
        <f t="shared" si="8"/>
        <v>656.0579582254436</v>
      </c>
      <c r="D92" s="61">
        <f t="shared" si="7"/>
        <v>12.268514671254376</v>
      </c>
      <c r="E92" s="62">
        <f t="shared" si="9"/>
        <v>3.6785123627917073</v>
      </c>
      <c r="F92" s="62">
        <f t="shared" si="10"/>
        <v>0.29983355453864435</v>
      </c>
      <c r="G92" s="55"/>
    </row>
    <row r="93" spans="1:7" x14ac:dyDescent="0.25">
      <c r="A93" s="16">
        <v>43261</v>
      </c>
      <c r="B93" s="17">
        <v>636.10625000000005</v>
      </c>
      <c r="C93" s="61">
        <f t="shared" si="8"/>
        <v>656.0579582254436</v>
      </c>
      <c r="D93" s="61">
        <f t="shared" si="7"/>
        <v>12.268514671254376</v>
      </c>
      <c r="E93" s="62">
        <f t="shared" si="9"/>
        <v>-19.951708225443554</v>
      </c>
      <c r="F93" s="62">
        <f t="shared" si="10"/>
        <v>-1.6262529540100896</v>
      </c>
      <c r="G93" s="55"/>
    </row>
    <row r="94" spans="1:7" x14ac:dyDescent="0.25">
      <c r="A94" s="16">
        <v>43291</v>
      </c>
      <c r="B94" s="17">
        <v>635.93500000000017</v>
      </c>
      <c r="C94" s="61">
        <f t="shared" si="8"/>
        <v>656.0579582254436</v>
      </c>
      <c r="D94" s="61">
        <f t="shared" si="7"/>
        <v>12.268514671254376</v>
      </c>
      <c r="E94" s="62">
        <f t="shared" si="9"/>
        <v>-20.122958225443426</v>
      </c>
      <c r="F94" s="62">
        <f t="shared" si="10"/>
        <v>-1.6402114489533381</v>
      </c>
      <c r="G94" s="55"/>
    </row>
    <row r="95" spans="1:7" x14ac:dyDescent="0.25">
      <c r="A95" s="16">
        <v>43322</v>
      </c>
      <c r="B95" s="17">
        <v>635.89750000000004</v>
      </c>
      <c r="C95" s="61">
        <f t="shared" si="8"/>
        <v>656.0579582254436</v>
      </c>
      <c r="D95" s="61">
        <f t="shared" si="7"/>
        <v>12.268514671254376</v>
      </c>
      <c r="E95" s="62">
        <f t="shared" si="9"/>
        <v>-20.160458225443563</v>
      </c>
      <c r="F95" s="62">
        <f t="shared" si="10"/>
        <v>-1.6432680536854496</v>
      </c>
      <c r="G95" s="55"/>
    </row>
    <row r="96" spans="1:7" x14ac:dyDescent="0.25">
      <c r="A96" s="16">
        <v>43353</v>
      </c>
      <c r="B96" s="17">
        <v>635.8621875</v>
      </c>
      <c r="C96" s="61">
        <f t="shared" si="8"/>
        <v>656.0579582254436</v>
      </c>
      <c r="D96" s="61">
        <f t="shared" si="7"/>
        <v>12.268514671254376</v>
      </c>
      <c r="E96" s="62">
        <f t="shared" si="9"/>
        <v>-20.195770725443595</v>
      </c>
      <c r="F96" s="62">
        <f t="shared" si="10"/>
        <v>-1.6461463564748469</v>
      </c>
      <c r="G96" s="55"/>
    </row>
    <row r="97" spans="1:7" x14ac:dyDescent="0.25">
      <c r="A97" s="16">
        <v>43383</v>
      </c>
      <c r="B97" s="17">
        <v>659.33764705882345</v>
      </c>
      <c r="C97" s="61">
        <f t="shared" si="8"/>
        <v>656.0579582254436</v>
      </c>
      <c r="D97" s="61">
        <f t="shared" si="7"/>
        <v>12.268514671254376</v>
      </c>
      <c r="E97" s="62">
        <f t="shared" si="9"/>
        <v>3.2796888333798506</v>
      </c>
      <c r="F97" s="62">
        <f t="shared" si="10"/>
        <v>0.26732566421135673</v>
      </c>
      <c r="G97" s="55"/>
    </row>
    <row r="98" spans="1:7" x14ac:dyDescent="0.25">
      <c r="A98" s="16">
        <v>43414</v>
      </c>
      <c r="B98" s="17">
        <v>659.30411764705877</v>
      </c>
      <c r="C98" s="61">
        <f t="shared" si="8"/>
        <v>656.0579582254436</v>
      </c>
      <c r="D98" s="61">
        <f t="shared" si="7"/>
        <v>12.268514671254376</v>
      </c>
      <c r="E98" s="62">
        <f t="shared" si="9"/>
        <v>3.2461594216151752</v>
      </c>
      <c r="F98" s="62">
        <f t="shared" si="10"/>
        <v>0.26459269998030466</v>
      </c>
      <c r="G98" s="55"/>
    </row>
    <row r="99" spans="1:7" x14ac:dyDescent="0.25">
      <c r="A99" s="20">
        <v>43444</v>
      </c>
      <c r="B99" s="17">
        <v>659.27999999999986</v>
      </c>
      <c r="C99" s="61">
        <f t="shared" si="8"/>
        <v>656.0579582254436</v>
      </c>
      <c r="D99" s="61">
        <f t="shared" si="7"/>
        <v>12.268514671254376</v>
      </c>
      <c r="E99" s="62">
        <f t="shared" si="9"/>
        <v>3.22204177455626</v>
      </c>
      <c r="F99" s="62">
        <f t="shared" si="10"/>
        <v>0.26262688360357372</v>
      </c>
      <c r="G99" s="55"/>
    </row>
    <row r="100" spans="1:7" x14ac:dyDescent="0.25">
      <c r="A100" s="16">
        <v>43475</v>
      </c>
      <c r="B100" s="17">
        <v>659.3961764705881</v>
      </c>
      <c r="C100" s="61">
        <f t="shared" si="8"/>
        <v>656.0579582254436</v>
      </c>
      <c r="D100" s="61">
        <f t="shared" ref="D100:D131" si="11">_xlfn.STDEV.S($B$4:$B$171)</f>
        <v>12.268514671254376</v>
      </c>
      <c r="E100" s="62">
        <f t="shared" si="9"/>
        <v>3.3382182451445033</v>
      </c>
      <c r="F100" s="62">
        <f t="shared" si="10"/>
        <v>0.27209636493047384</v>
      </c>
      <c r="G100" s="55"/>
    </row>
    <row r="101" spans="1:7" x14ac:dyDescent="0.25">
      <c r="A101" s="16">
        <v>43506</v>
      </c>
      <c r="B101" s="17">
        <v>659.51235294117657</v>
      </c>
      <c r="C101" s="61">
        <f t="shared" ref="C101:C132" si="12">AVERAGE($B$4:$B$171)</f>
        <v>656.0579582254436</v>
      </c>
      <c r="D101" s="61">
        <f t="shared" si="11"/>
        <v>12.268514671254376</v>
      </c>
      <c r="E101" s="62">
        <f t="shared" si="9"/>
        <v>3.454394715732974</v>
      </c>
      <c r="F101" s="62">
        <f t="shared" si="10"/>
        <v>0.2815658462573925</v>
      </c>
      <c r="G101" s="55"/>
    </row>
    <row r="102" spans="1:7" x14ac:dyDescent="0.25">
      <c r="A102" s="16">
        <v>43534</v>
      </c>
      <c r="B102" s="17">
        <v>659.57764705882346</v>
      </c>
      <c r="C102" s="61">
        <f t="shared" si="12"/>
        <v>656.0579582254436</v>
      </c>
      <c r="D102" s="61">
        <f t="shared" si="11"/>
        <v>12.268514671254376</v>
      </c>
      <c r="E102" s="62">
        <f t="shared" si="9"/>
        <v>3.5196888333798597</v>
      </c>
      <c r="F102" s="62">
        <f t="shared" si="10"/>
        <v>0.28688793449680039</v>
      </c>
      <c r="G102" s="55"/>
    </row>
    <row r="103" spans="1:7" x14ac:dyDescent="0.25">
      <c r="A103" s="16">
        <v>43565</v>
      </c>
      <c r="B103" s="17">
        <v>659.65911764705868</v>
      </c>
      <c r="C103" s="61">
        <f t="shared" si="12"/>
        <v>656.0579582254436</v>
      </c>
      <c r="D103" s="61">
        <f t="shared" si="11"/>
        <v>12.268514671254376</v>
      </c>
      <c r="E103" s="62">
        <f t="shared" si="9"/>
        <v>3.6011594216150797</v>
      </c>
      <c r="F103" s="62">
        <f t="shared" si="10"/>
        <v>0.29352855811084788</v>
      </c>
      <c r="G103" s="55"/>
    </row>
    <row r="104" spans="1:7" x14ac:dyDescent="0.25">
      <c r="A104" s="16">
        <v>43595</v>
      </c>
      <c r="B104" s="17">
        <v>659.63058823529423</v>
      </c>
      <c r="C104" s="61">
        <f t="shared" si="12"/>
        <v>656.0579582254436</v>
      </c>
      <c r="D104" s="61">
        <f t="shared" si="11"/>
        <v>12.268514671254376</v>
      </c>
      <c r="E104" s="62">
        <f t="shared" si="9"/>
        <v>3.5726300098506272</v>
      </c>
      <c r="F104" s="62">
        <f t="shared" si="10"/>
        <v>0.2912031411774274</v>
      </c>
      <c r="G104" s="55"/>
    </row>
    <row r="105" spans="1:7" x14ac:dyDescent="0.25">
      <c r="A105" s="16">
        <v>43626</v>
      </c>
      <c r="B105" s="17">
        <v>659.5723529411764</v>
      </c>
      <c r="C105" s="61">
        <f t="shared" si="12"/>
        <v>656.0579582254436</v>
      </c>
      <c r="D105" s="61">
        <f t="shared" si="11"/>
        <v>12.268514671254376</v>
      </c>
      <c r="E105" s="62">
        <f t="shared" si="9"/>
        <v>3.5143947157328057</v>
      </c>
      <c r="F105" s="62">
        <f t="shared" si="10"/>
        <v>0.28645641382873949</v>
      </c>
      <c r="G105" s="55"/>
    </row>
    <row r="106" spans="1:7" x14ac:dyDescent="0.25">
      <c r="A106" s="20">
        <v>43656</v>
      </c>
      <c r="B106" s="17">
        <v>659.54647058823537</v>
      </c>
      <c r="C106" s="61">
        <f t="shared" si="12"/>
        <v>656.0579582254436</v>
      </c>
      <c r="D106" s="61">
        <f t="shared" si="11"/>
        <v>12.268514671254376</v>
      </c>
      <c r="E106" s="62">
        <f t="shared" si="9"/>
        <v>3.4885123627917665</v>
      </c>
      <c r="F106" s="62">
        <f t="shared" si="10"/>
        <v>0.28434675722934016</v>
      </c>
      <c r="G106" s="55"/>
    </row>
    <row r="107" spans="1:7" x14ac:dyDescent="0.25">
      <c r="A107" s="16">
        <v>43687</v>
      </c>
      <c r="B107" s="17">
        <v>659.40411764705902</v>
      </c>
      <c r="C107" s="61">
        <f t="shared" si="12"/>
        <v>656.0579582254436</v>
      </c>
      <c r="D107" s="61">
        <f t="shared" si="11"/>
        <v>12.268514671254376</v>
      </c>
      <c r="E107" s="62">
        <f t="shared" si="9"/>
        <v>3.3461594216154253</v>
      </c>
      <c r="F107" s="62">
        <f t="shared" si="10"/>
        <v>0.27274364593259293</v>
      </c>
      <c r="G107" s="55"/>
    </row>
    <row r="108" spans="1:7" x14ac:dyDescent="0.25">
      <c r="A108" s="16">
        <v>43718</v>
      </c>
      <c r="B108" s="17">
        <v>659.35352941176473</v>
      </c>
      <c r="C108" s="61">
        <f t="shared" si="12"/>
        <v>656.0579582254436</v>
      </c>
      <c r="D108" s="61">
        <f t="shared" si="11"/>
        <v>12.268514671254376</v>
      </c>
      <c r="E108" s="62">
        <f t="shared" si="9"/>
        <v>3.2955711863211263</v>
      </c>
      <c r="F108" s="62">
        <f t="shared" si="10"/>
        <v>0.26862022621554849</v>
      </c>
      <c r="G108" s="55"/>
    </row>
    <row r="109" spans="1:7" x14ac:dyDescent="0.25">
      <c r="A109" s="16">
        <v>43748</v>
      </c>
      <c r="B109" s="17">
        <v>659.36411764705883</v>
      </c>
      <c r="C109" s="61">
        <f t="shared" si="12"/>
        <v>656.0579582254436</v>
      </c>
      <c r="D109" s="61">
        <f t="shared" si="11"/>
        <v>12.268514671254376</v>
      </c>
      <c r="E109" s="62">
        <f t="shared" si="9"/>
        <v>3.3061594216152344</v>
      </c>
      <c r="F109" s="62">
        <f t="shared" si="10"/>
        <v>0.26948326755167024</v>
      </c>
      <c r="G109" s="55"/>
    </row>
    <row r="110" spans="1:7" x14ac:dyDescent="0.25">
      <c r="A110" s="16">
        <v>43779</v>
      </c>
      <c r="B110" s="17">
        <v>659.28235294117633</v>
      </c>
      <c r="C110" s="61">
        <f t="shared" si="12"/>
        <v>656.0579582254436</v>
      </c>
      <c r="D110" s="61">
        <f t="shared" si="11"/>
        <v>12.268514671254376</v>
      </c>
      <c r="E110" s="62">
        <f t="shared" si="9"/>
        <v>3.2243947157327284</v>
      </c>
      <c r="F110" s="62">
        <f t="shared" si="10"/>
        <v>0.26281867056715635</v>
      </c>
      <c r="G110" s="55"/>
    </row>
    <row r="111" spans="1:7" x14ac:dyDescent="0.25">
      <c r="A111" s="16">
        <v>43809</v>
      </c>
      <c r="B111" s="17">
        <v>659.35411764705873</v>
      </c>
      <c r="C111" s="61">
        <f t="shared" si="12"/>
        <v>656.0579582254436</v>
      </c>
      <c r="D111" s="61">
        <f t="shared" si="11"/>
        <v>12.268514671254376</v>
      </c>
      <c r="E111" s="62">
        <f t="shared" si="9"/>
        <v>3.2961594216151298</v>
      </c>
      <c r="F111" s="62">
        <f t="shared" si="10"/>
        <v>0.26866817295643491</v>
      </c>
      <c r="G111" s="55"/>
    </row>
    <row r="112" spans="1:7" x14ac:dyDescent="0.25">
      <c r="A112" s="16">
        <v>43840</v>
      </c>
      <c r="B112" s="17">
        <v>659.15999999999985</v>
      </c>
      <c r="C112" s="61">
        <f t="shared" si="12"/>
        <v>656.0579582254436</v>
      </c>
      <c r="D112" s="61">
        <f t="shared" si="11"/>
        <v>12.268514671254376</v>
      </c>
      <c r="E112" s="62">
        <f t="shared" si="9"/>
        <v>3.1020417745562554</v>
      </c>
      <c r="F112" s="62">
        <f t="shared" si="10"/>
        <v>0.25284574846085189</v>
      </c>
      <c r="G112" s="55"/>
    </row>
    <row r="113" spans="1:7" x14ac:dyDescent="0.25">
      <c r="A113" s="20">
        <v>43871</v>
      </c>
      <c r="B113" s="17">
        <v>659.25176470588224</v>
      </c>
      <c r="C113" s="61">
        <f t="shared" si="12"/>
        <v>656.0579582254436</v>
      </c>
      <c r="D113" s="61">
        <f t="shared" si="11"/>
        <v>12.268514671254376</v>
      </c>
      <c r="E113" s="62">
        <f t="shared" si="9"/>
        <v>3.1938064804386386</v>
      </c>
      <c r="F113" s="62">
        <f t="shared" si="10"/>
        <v>0.26032544004058256</v>
      </c>
      <c r="G113" s="55"/>
    </row>
    <row r="114" spans="1:7" x14ac:dyDescent="0.25">
      <c r="A114" s="16">
        <v>43900</v>
      </c>
      <c r="B114" s="17">
        <v>668.58699999999999</v>
      </c>
      <c r="C114" s="61">
        <f t="shared" si="12"/>
        <v>656.0579582254436</v>
      </c>
      <c r="D114" s="61">
        <f t="shared" si="11"/>
        <v>12.268514671254376</v>
      </c>
      <c r="E114" s="62">
        <f>B114-C114</f>
        <v>12.52904177455639</v>
      </c>
      <c r="F114" s="62">
        <f>E114/D114</f>
        <v>1.0212354233811562</v>
      </c>
      <c r="G114" s="55"/>
    </row>
    <row r="115" spans="1:7" x14ac:dyDescent="0.25">
      <c r="A115" s="16">
        <v>44022</v>
      </c>
      <c r="B115" s="17">
        <v>659.2741176470588</v>
      </c>
      <c r="C115" s="18">
        <f t="shared" si="12"/>
        <v>656.0579582254436</v>
      </c>
      <c r="D115" s="18">
        <f t="shared" si="11"/>
        <v>12.268514671254376</v>
      </c>
      <c r="E115" s="19">
        <f t="shared" si="9"/>
        <v>3.2161594216152025</v>
      </c>
      <c r="F115" s="19">
        <f t="shared" si="10"/>
        <v>0.2621474161946265</v>
      </c>
      <c r="G115" s="55"/>
    </row>
    <row r="116" spans="1:7" x14ac:dyDescent="0.25">
      <c r="A116" s="16">
        <v>44053</v>
      </c>
      <c r="B116" s="17">
        <v>658.77117647058822</v>
      </c>
      <c r="C116" s="18">
        <f t="shared" si="12"/>
        <v>656.0579582254436</v>
      </c>
      <c r="D116" s="18">
        <f t="shared" si="11"/>
        <v>12.268514671254376</v>
      </c>
      <c r="E116" s="19">
        <f t="shared" si="9"/>
        <v>2.713218245144617</v>
      </c>
      <c r="F116" s="19">
        <f t="shared" si="10"/>
        <v>0.22115295272880886</v>
      </c>
      <c r="G116" s="55"/>
    </row>
    <row r="117" spans="1:7" x14ac:dyDescent="0.25">
      <c r="A117" s="20">
        <v>44084</v>
      </c>
      <c r="B117" s="17">
        <v>658.66705882352937</v>
      </c>
      <c r="C117" s="18">
        <f t="shared" si="12"/>
        <v>656.0579582254436</v>
      </c>
      <c r="D117" s="18">
        <f t="shared" si="11"/>
        <v>12.268514671254376</v>
      </c>
      <c r="E117" s="19">
        <f t="shared" si="9"/>
        <v>2.6091005980857744</v>
      </c>
      <c r="F117" s="19">
        <f t="shared" si="10"/>
        <v>0.21266637959026957</v>
      </c>
      <c r="G117" s="55"/>
    </row>
    <row r="118" spans="1:7" x14ac:dyDescent="0.25">
      <c r="A118" s="16">
        <v>44114</v>
      </c>
      <c r="B118" s="17">
        <v>642.73031250000008</v>
      </c>
      <c r="C118" s="18">
        <f t="shared" si="12"/>
        <v>656.0579582254436</v>
      </c>
      <c r="D118" s="18">
        <f t="shared" si="11"/>
        <v>12.268514671254376</v>
      </c>
      <c r="E118" s="19">
        <f t="shared" si="9"/>
        <v>-13.327645725443517</v>
      </c>
      <c r="F118" s="19">
        <f t="shared" si="10"/>
        <v>-1.0863291997906419</v>
      </c>
      <c r="G118" s="55"/>
    </row>
    <row r="119" spans="1:7" x14ac:dyDescent="0.25">
      <c r="A119" s="16">
        <v>44145</v>
      </c>
      <c r="B119" s="17">
        <v>642.76062500000012</v>
      </c>
      <c r="C119" s="18">
        <f t="shared" si="12"/>
        <v>656.0579582254436</v>
      </c>
      <c r="D119" s="18">
        <f t="shared" si="11"/>
        <v>12.268514671254376</v>
      </c>
      <c r="E119" s="19">
        <f t="shared" si="9"/>
        <v>-13.297333225443481</v>
      </c>
      <c r="F119" s="19">
        <f t="shared" si="10"/>
        <v>-1.0838584442988577</v>
      </c>
      <c r="G119" s="55"/>
    </row>
    <row r="120" spans="1:7" x14ac:dyDescent="0.25">
      <c r="A120" s="16">
        <v>44175</v>
      </c>
      <c r="B120" s="17">
        <v>658.68999999999994</v>
      </c>
      <c r="C120" s="18">
        <f t="shared" si="12"/>
        <v>656.0579582254436</v>
      </c>
      <c r="D120" s="18">
        <f t="shared" si="11"/>
        <v>12.268514671254376</v>
      </c>
      <c r="E120" s="19">
        <f t="shared" si="9"/>
        <v>2.6320417745563418</v>
      </c>
      <c r="F120" s="19">
        <f t="shared" si="10"/>
        <v>0.21453630248519992</v>
      </c>
      <c r="G120" s="55"/>
    </row>
    <row r="121" spans="1:7" x14ac:dyDescent="0.25">
      <c r="A121" s="16">
        <v>44206</v>
      </c>
      <c r="B121" s="17">
        <v>658.85852941176472</v>
      </c>
      <c r="C121" s="18">
        <f t="shared" si="12"/>
        <v>656.0579582254436</v>
      </c>
      <c r="D121" s="18">
        <f t="shared" si="11"/>
        <v>12.268514671254376</v>
      </c>
      <c r="E121" s="19">
        <f t="shared" si="9"/>
        <v>2.8005711863211218</v>
      </c>
      <c r="F121" s="19">
        <f t="shared" si="10"/>
        <v>0.22827304375182211</v>
      </c>
      <c r="G121" s="55"/>
    </row>
    <row r="122" spans="1:7" x14ac:dyDescent="0.25">
      <c r="A122" s="20">
        <v>44237</v>
      </c>
      <c r="B122" s="21">
        <v>660.18764705882347</v>
      </c>
      <c r="C122" s="18">
        <f t="shared" si="12"/>
        <v>656.0579582254436</v>
      </c>
      <c r="D122" s="18">
        <f t="shared" si="11"/>
        <v>12.268514671254376</v>
      </c>
      <c r="E122" s="19">
        <f t="shared" si="9"/>
        <v>4.1296888333798734</v>
      </c>
      <c r="F122" s="19">
        <f t="shared" si="10"/>
        <v>0.33660870480563554</v>
      </c>
      <c r="G122" s="55"/>
    </row>
    <row r="123" spans="1:7" x14ac:dyDescent="0.25">
      <c r="A123" s="16">
        <v>44265</v>
      </c>
      <c r="B123" s="17">
        <v>660.39676470588233</v>
      </c>
      <c r="C123" s="18">
        <f t="shared" si="12"/>
        <v>656.0579582254436</v>
      </c>
      <c r="D123" s="18">
        <f t="shared" si="11"/>
        <v>12.268514671254376</v>
      </c>
      <c r="E123" s="19">
        <f t="shared" si="9"/>
        <v>4.3388064804387341</v>
      </c>
      <c r="F123" s="19">
        <f t="shared" si="10"/>
        <v>0.35365377119405761</v>
      </c>
      <c r="G123" s="55"/>
    </row>
    <row r="124" spans="1:7" x14ac:dyDescent="0.25">
      <c r="A124" s="16">
        <v>44296</v>
      </c>
      <c r="B124" s="17">
        <v>660.28176470588244</v>
      </c>
      <c r="C124" s="18">
        <f t="shared" si="12"/>
        <v>656.0579582254436</v>
      </c>
      <c r="D124" s="18">
        <f t="shared" si="11"/>
        <v>12.268514671254376</v>
      </c>
      <c r="E124" s="19">
        <f t="shared" si="9"/>
        <v>4.2238064804388387</v>
      </c>
      <c r="F124" s="19">
        <f t="shared" si="10"/>
        <v>0.34428018334895805</v>
      </c>
      <c r="G124" s="55"/>
    </row>
    <row r="125" spans="1:7" x14ac:dyDescent="0.25">
      <c r="A125" s="16">
        <v>44326</v>
      </c>
      <c r="B125" s="17">
        <v>659.92882352941183</v>
      </c>
      <c r="C125" s="18">
        <f t="shared" si="12"/>
        <v>656.0579582254436</v>
      </c>
      <c r="D125" s="18">
        <f t="shared" si="11"/>
        <v>12.268514671254376</v>
      </c>
      <c r="E125" s="19">
        <f t="shared" si="9"/>
        <v>3.8708653039682304</v>
      </c>
      <c r="F125" s="19">
        <f t="shared" si="10"/>
        <v>0.31551213881154039</v>
      </c>
      <c r="G125" s="55"/>
    </row>
    <row r="126" spans="1:7" x14ac:dyDescent="0.25">
      <c r="A126" s="16">
        <v>44357</v>
      </c>
      <c r="B126" s="17">
        <v>659.98235294117649</v>
      </c>
      <c r="C126" s="18">
        <f t="shared" si="12"/>
        <v>656.0579582254436</v>
      </c>
      <c r="D126" s="18">
        <f t="shared" si="11"/>
        <v>12.268514671254376</v>
      </c>
      <c r="E126" s="19">
        <f t="shared" si="9"/>
        <v>3.9243947157328876</v>
      </c>
      <c r="F126" s="19">
        <f t="shared" si="10"/>
        <v>0.31987529223304451</v>
      </c>
      <c r="G126" s="55"/>
    </row>
    <row r="127" spans="1:7" x14ac:dyDescent="0.25">
      <c r="A127" s="16">
        <v>44387</v>
      </c>
      <c r="B127" s="17">
        <v>643.85187499999995</v>
      </c>
      <c r="C127" s="18">
        <f t="shared" si="12"/>
        <v>656.0579582254436</v>
      </c>
      <c r="D127" s="18">
        <f t="shared" si="11"/>
        <v>12.268514671254376</v>
      </c>
      <c r="E127" s="19">
        <f t="shared" si="9"/>
        <v>-12.206083225443649</v>
      </c>
      <c r="F127" s="19">
        <f t="shared" si="10"/>
        <v>-0.99491124659474817</v>
      </c>
      <c r="G127" s="55"/>
    </row>
    <row r="128" spans="1:7" x14ac:dyDescent="0.25">
      <c r="A128" s="16">
        <v>44418</v>
      </c>
      <c r="B128" s="17">
        <v>643.80999999999995</v>
      </c>
      <c r="C128" s="18">
        <f t="shared" si="12"/>
        <v>656.0579582254436</v>
      </c>
      <c r="D128" s="18">
        <f t="shared" si="11"/>
        <v>12.268514671254376</v>
      </c>
      <c r="E128" s="19">
        <f t="shared" si="9"/>
        <v>-12.247958225443654</v>
      </c>
      <c r="F128" s="19">
        <f t="shared" si="10"/>
        <v>-0.99832445521226076</v>
      </c>
      <c r="G128" s="55"/>
    </row>
    <row r="129" spans="1:7" x14ac:dyDescent="0.25">
      <c r="A129" s="16">
        <v>44449</v>
      </c>
      <c r="B129" s="17">
        <v>659.65352941176479</v>
      </c>
      <c r="C129" s="18">
        <f t="shared" si="12"/>
        <v>656.0579582254436</v>
      </c>
      <c r="D129" s="18">
        <f t="shared" si="11"/>
        <v>12.268514671254376</v>
      </c>
      <c r="E129" s="19">
        <f t="shared" si="9"/>
        <v>3.5955711863211945</v>
      </c>
      <c r="F129" s="19">
        <f t="shared" si="10"/>
        <v>0.29307306407235773</v>
      </c>
      <c r="G129" s="55"/>
    </row>
    <row r="130" spans="1:7" x14ac:dyDescent="0.25">
      <c r="A130" s="16">
        <v>44479</v>
      </c>
      <c r="B130" s="4">
        <v>659.57</v>
      </c>
      <c r="C130" s="18">
        <f t="shared" si="12"/>
        <v>656.0579582254436</v>
      </c>
      <c r="D130" s="18">
        <f t="shared" si="11"/>
        <v>12.268514671254376</v>
      </c>
      <c r="E130" s="19">
        <f t="shared" ref="E130:E170" si="13">B130-C130</f>
        <v>3.5120417745564509</v>
      </c>
      <c r="F130" s="19">
        <f t="shared" ref="F130:F170" si="14">E130/D130</f>
        <v>0.28626462686516618</v>
      </c>
      <c r="G130" s="55"/>
    </row>
    <row r="131" spans="1:7" x14ac:dyDescent="0.25">
      <c r="A131" s="16">
        <v>44510</v>
      </c>
      <c r="B131" s="42">
        <v>659.46</v>
      </c>
      <c r="C131" s="18">
        <f t="shared" si="12"/>
        <v>656.0579582254436</v>
      </c>
      <c r="D131" s="18">
        <f t="shared" si="11"/>
        <v>12.268514671254376</v>
      </c>
      <c r="E131" s="19">
        <f t="shared" si="13"/>
        <v>3.4020417745564373</v>
      </c>
      <c r="F131" s="19">
        <f t="shared" si="14"/>
        <v>0.2772985863176704</v>
      </c>
      <c r="G131" s="55"/>
    </row>
    <row r="132" spans="1:7" x14ac:dyDescent="0.25">
      <c r="A132" s="16">
        <v>44540</v>
      </c>
      <c r="B132" s="4">
        <f>AVERAGE(B131,B133)</f>
        <v>659.51</v>
      </c>
      <c r="C132" s="18">
        <f t="shared" si="12"/>
        <v>656.0579582254436</v>
      </c>
      <c r="D132" s="18">
        <f t="shared" ref="D132:D163" si="15">_xlfn.STDEV.S($B$4:$B$171)</f>
        <v>12.268514671254376</v>
      </c>
      <c r="E132" s="19">
        <f t="shared" si="13"/>
        <v>3.4520417745563918</v>
      </c>
      <c r="F132" s="19">
        <f t="shared" si="14"/>
        <v>0.2813740592938006</v>
      </c>
      <c r="G132" s="55"/>
    </row>
    <row r="133" spans="1:7" x14ac:dyDescent="0.25">
      <c r="A133" s="16">
        <v>44571</v>
      </c>
      <c r="B133" s="4">
        <v>659.56</v>
      </c>
      <c r="C133" s="18">
        <f t="shared" ref="C133:C164" si="16">AVERAGE($B$4:$B$171)</f>
        <v>656.0579582254436</v>
      </c>
      <c r="D133" s="18">
        <f t="shared" si="15"/>
        <v>12.268514671254376</v>
      </c>
      <c r="E133" s="19">
        <f t="shared" si="13"/>
        <v>3.5020417745563464</v>
      </c>
      <c r="F133" s="19">
        <f t="shared" si="14"/>
        <v>0.28544953226993086</v>
      </c>
      <c r="G133" s="55"/>
    </row>
    <row r="134" spans="1:7" x14ac:dyDescent="0.25">
      <c r="A134" s="16">
        <v>44602</v>
      </c>
      <c r="B134" s="4">
        <v>659.75</v>
      </c>
      <c r="C134" s="18">
        <f t="shared" si="16"/>
        <v>656.0579582254436</v>
      </c>
      <c r="D134" s="18">
        <f t="shared" si="15"/>
        <v>12.268514671254376</v>
      </c>
      <c r="E134" s="19">
        <f t="shared" si="13"/>
        <v>3.6920417745564009</v>
      </c>
      <c r="F134" s="19">
        <f t="shared" si="14"/>
        <v>0.30093632957924432</v>
      </c>
      <c r="G134" s="55"/>
    </row>
    <row r="135" spans="1:7" x14ac:dyDescent="0.25">
      <c r="A135" s="16">
        <v>44630</v>
      </c>
      <c r="B135" s="4">
        <v>659.71</v>
      </c>
      <c r="C135" s="18">
        <f t="shared" si="16"/>
        <v>656.0579582254436</v>
      </c>
      <c r="D135" s="18">
        <f t="shared" si="15"/>
        <v>12.268514671254376</v>
      </c>
      <c r="E135" s="19">
        <f t="shared" si="13"/>
        <v>3.6520417745564373</v>
      </c>
      <c r="F135" s="19">
        <f t="shared" si="14"/>
        <v>0.29767595119834012</v>
      </c>
      <c r="G135" s="55"/>
    </row>
    <row r="136" spans="1:7" x14ac:dyDescent="0.25">
      <c r="A136" s="16">
        <v>44661</v>
      </c>
      <c r="B136" s="4">
        <v>659.7</v>
      </c>
      <c r="C136" s="18">
        <f t="shared" si="16"/>
        <v>656.0579582254436</v>
      </c>
      <c r="D136" s="18">
        <f t="shared" si="15"/>
        <v>12.268514671254376</v>
      </c>
      <c r="E136" s="19">
        <f t="shared" si="13"/>
        <v>3.6420417745564464</v>
      </c>
      <c r="F136" s="19">
        <f t="shared" si="14"/>
        <v>0.29686085660311406</v>
      </c>
      <c r="G136" s="55"/>
    </row>
    <row r="137" spans="1:7" x14ac:dyDescent="0.25">
      <c r="A137" s="16">
        <v>44691</v>
      </c>
      <c r="B137" s="4">
        <v>659.77</v>
      </c>
      <c r="C137" s="18">
        <f t="shared" si="16"/>
        <v>656.0579582254436</v>
      </c>
      <c r="D137" s="18">
        <f t="shared" si="15"/>
        <v>12.268514671254376</v>
      </c>
      <c r="E137" s="19">
        <f t="shared" si="13"/>
        <v>3.7120417745563827</v>
      </c>
      <c r="F137" s="19">
        <f t="shared" si="14"/>
        <v>0.30256651876969637</v>
      </c>
      <c r="G137" s="55"/>
    </row>
    <row r="138" spans="1:7" x14ac:dyDescent="0.25">
      <c r="A138" s="16">
        <v>44722</v>
      </c>
      <c r="B138" s="4">
        <v>659.95</v>
      </c>
      <c r="C138" s="18">
        <f t="shared" si="16"/>
        <v>656.0579582254436</v>
      </c>
      <c r="D138" s="18">
        <f t="shared" si="15"/>
        <v>12.268514671254376</v>
      </c>
      <c r="E138" s="19">
        <f t="shared" si="13"/>
        <v>3.8920417745564464</v>
      </c>
      <c r="F138" s="19">
        <f t="shared" si="14"/>
        <v>0.31723822148378378</v>
      </c>
      <c r="G138" s="55"/>
    </row>
    <row r="139" spans="1:7" x14ac:dyDescent="0.25">
      <c r="A139" s="16">
        <v>44752</v>
      </c>
      <c r="B139" s="4">
        <v>659.86</v>
      </c>
      <c r="C139" s="18">
        <f t="shared" si="16"/>
        <v>656.0579582254436</v>
      </c>
      <c r="D139" s="18">
        <f t="shared" si="15"/>
        <v>12.268514671254376</v>
      </c>
      <c r="E139" s="19">
        <f t="shared" si="13"/>
        <v>3.8020417745564146</v>
      </c>
      <c r="F139" s="19">
        <f t="shared" si="14"/>
        <v>0.3099023701267401</v>
      </c>
      <c r="G139" s="55"/>
    </row>
    <row r="140" spans="1:7" x14ac:dyDescent="0.25">
      <c r="A140" s="16">
        <v>44783</v>
      </c>
      <c r="B140" s="4">
        <v>659.71</v>
      </c>
      <c r="C140" s="18">
        <f t="shared" si="16"/>
        <v>656.0579582254436</v>
      </c>
      <c r="D140" s="18">
        <f t="shared" si="15"/>
        <v>12.268514671254376</v>
      </c>
      <c r="E140" s="19">
        <f t="shared" si="13"/>
        <v>3.6520417745564373</v>
      </c>
      <c r="F140" s="19">
        <f t="shared" si="14"/>
        <v>0.29767595119834012</v>
      </c>
      <c r="G140" s="55"/>
    </row>
    <row r="141" spans="1:7" x14ac:dyDescent="0.25">
      <c r="A141" s="16">
        <v>44814</v>
      </c>
      <c r="B141" s="4">
        <v>659.79</v>
      </c>
      <c r="C141" s="18">
        <f t="shared" si="16"/>
        <v>656.0579582254436</v>
      </c>
      <c r="D141" s="18">
        <f t="shared" si="15"/>
        <v>12.268514671254376</v>
      </c>
      <c r="E141" s="19">
        <f t="shared" si="13"/>
        <v>3.7320417745563645</v>
      </c>
      <c r="F141" s="19">
        <f t="shared" si="14"/>
        <v>0.30419670796014847</v>
      </c>
      <c r="G141" s="55"/>
    </row>
    <row r="142" spans="1:7" x14ac:dyDescent="0.25">
      <c r="A142" s="20">
        <v>44844</v>
      </c>
      <c r="B142" s="4">
        <v>659.68</v>
      </c>
      <c r="C142" s="18">
        <f t="shared" si="16"/>
        <v>656.0579582254436</v>
      </c>
      <c r="D142" s="18">
        <f t="shared" si="15"/>
        <v>12.268514671254376</v>
      </c>
      <c r="E142" s="19">
        <f t="shared" si="13"/>
        <v>3.6220417745563509</v>
      </c>
      <c r="F142" s="19">
        <f t="shared" si="14"/>
        <v>0.29523066741265269</v>
      </c>
      <c r="G142" s="55"/>
    </row>
    <row r="143" spans="1:7" x14ac:dyDescent="0.25">
      <c r="A143" s="16">
        <v>44875</v>
      </c>
      <c r="B143" s="4">
        <v>659.75</v>
      </c>
      <c r="C143" s="18">
        <f t="shared" si="16"/>
        <v>656.0579582254436</v>
      </c>
      <c r="D143" s="18">
        <f t="shared" si="15"/>
        <v>12.268514671254376</v>
      </c>
      <c r="E143" s="19">
        <f t="shared" si="13"/>
        <v>3.6920417745564009</v>
      </c>
      <c r="F143" s="19">
        <f t="shared" si="14"/>
        <v>0.30093632957924432</v>
      </c>
      <c r="G143" s="55"/>
    </row>
    <row r="144" spans="1:7" x14ac:dyDescent="0.25">
      <c r="A144" s="16">
        <v>44905</v>
      </c>
      <c r="B144" s="4">
        <v>660.03</v>
      </c>
      <c r="C144" s="18">
        <f t="shared" si="16"/>
        <v>656.0579582254436</v>
      </c>
      <c r="D144" s="18">
        <f t="shared" si="15"/>
        <v>12.268514671254376</v>
      </c>
      <c r="E144" s="19">
        <f t="shared" si="13"/>
        <v>3.9720417745563736</v>
      </c>
      <c r="F144" s="19">
        <f t="shared" si="14"/>
        <v>0.32375897824559213</v>
      </c>
      <c r="G144" s="55"/>
    </row>
    <row r="145" spans="1:7" x14ac:dyDescent="0.25">
      <c r="A145" s="16">
        <v>44936</v>
      </c>
      <c r="B145" s="4">
        <f>AVERAGE(B144,B146)</f>
        <v>660.125</v>
      </c>
      <c r="C145" s="18">
        <f t="shared" si="16"/>
        <v>656.0579582254436</v>
      </c>
      <c r="D145" s="18">
        <f t="shared" si="15"/>
        <v>12.268514671254376</v>
      </c>
      <c r="E145" s="19">
        <f t="shared" si="13"/>
        <v>4.0670417745564009</v>
      </c>
      <c r="F145" s="19">
        <f t="shared" si="14"/>
        <v>0.33150237690024886</v>
      </c>
      <c r="G145" s="55"/>
    </row>
    <row r="146" spans="1:7" x14ac:dyDescent="0.25">
      <c r="A146" s="16">
        <v>44967</v>
      </c>
      <c r="B146" s="4">
        <v>660.22</v>
      </c>
      <c r="C146" s="18">
        <f t="shared" si="16"/>
        <v>656.0579582254436</v>
      </c>
      <c r="D146" s="18">
        <f t="shared" si="15"/>
        <v>12.268514671254376</v>
      </c>
      <c r="E146" s="19">
        <f t="shared" si="13"/>
        <v>4.1620417745564282</v>
      </c>
      <c r="F146" s="19">
        <f t="shared" si="14"/>
        <v>0.33924577555490559</v>
      </c>
      <c r="G146" s="55"/>
    </row>
    <row r="147" spans="1:7" x14ac:dyDescent="0.25">
      <c r="A147" s="16">
        <v>44995</v>
      </c>
      <c r="B147" s="4">
        <v>660.94</v>
      </c>
      <c r="C147" s="18">
        <f t="shared" si="16"/>
        <v>656.0579582254436</v>
      </c>
      <c r="D147" s="18">
        <f t="shared" si="15"/>
        <v>12.268514671254376</v>
      </c>
      <c r="E147" s="19">
        <f t="shared" si="13"/>
        <v>4.8820417745564555</v>
      </c>
      <c r="F147" s="19">
        <f t="shared" si="14"/>
        <v>0.39793258641123658</v>
      </c>
      <c r="G147" s="55"/>
    </row>
    <row r="148" spans="1:7" x14ac:dyDescent="0.25">
      <c r="A148" s="16">
        <v>45026</v>
      </c>
      <c r="B148" s="4">
        <v>660.91</v>
      </c>
      <c r="C148" s="18">
        <f t="shared" si="16"/>
        <v>656.0579582254436</v>
      </c>
      <c r="D148" s="18">
        <f t="shared" si="15"/>
        <v>12.268514671254376</v>
      </c>
      <c r="E148" s="19">
        <f t="shared" si="13"/>
        <v>4.8520417745563691</v>
      </c>
      <c r="F148" s="19">
        <f t="shared" si="14"/>
        <v>0.39548730262554915</v>
      </c>
      <c r="G148" s="55"/>
    </row>
    <row r="149" spans="1:7" x14ac:dyDescent="0.25">
      <c r="A149" s="16">
        <v>45056</v>
      </c>
      <c r="B149" s="4">
        <v>660.73</v>
      </c>
      <c r="C149" s="18">
        <f t="shared" si="16"/>
        <v>656.0579582254436</v>
      </c>
      <c r="D149" s="18">
        <f t="shared" si="15"/>
        <v>12.268514671254376</v>
      </c>
      <c r="E149" s="19">
        <f t="shared" si="13"/>
        <v>4.6720417745564191</v>
      </c>
      <c r="F149" s="19">
        <f t="shared" si="14"/>
        <v>0.38081559991147101</v>
      </c>
      <c r="G149" s="55"/>
    </row>
    <row r="150" spans="1:7" x14ac:dyDescent="0.25">
      <c r="A150" s="16">
        <v>45087</v>
      </c>
      <c r="B150" s="4">
        <v>660.65</v>
      </c>
      <c r="C150" s="18">
        <f t="shared" si="16"/>
        <v>656.0579582254436</v>
      </c>
      <c r="D150" s="18">
        <f t="shared" si="15"/>
        <v>12.268514671254376</v>
      </c>
      <c r="E150" s="19">
        <f t="shared" si="13"/>
        <v>4.5920417745563782</v>
      </c>
      <c r="F150" s="19">
        <f t="shared" si="14"/>
        <v>0.37429484314965339</v>
      </c>
      <c r="G150" s="55"/>
    </row>
    <row r="151" spans="1:7" x14ac:dyDescent="0.25">
      <c r="A151" s="16">
        <v>45117</v>
      </c>
      <c r="B151" s="42">
        <v>660.34</v>
      </c>
      <c r="C151" s="18">
        <f t="shared" si="16"/>
        <v>656.0579582254436</v>
      </c>
      <c r="D151" s="18">
        <f t="shared" si="15"/>
        <v>12.268514671254376</v>
      </c>
      <c r="E151" s="19">
        <f t="shared" si="13"/>
        <v>4.2820417745564328</v>
      </c>
      <c r="F151" s="19">
        <f t="shared" si="14"/>
        <v>0.34902691069762742</v>
      </c>
      <c r="G151" s="55"/>
    </row>
    <row r="152" spans="1:7" x14ac:dyDescent="0.25">
      <c r="A152" s="16">
        <v>45148</v>
      </c>
      <c r="B152" s="4">
        <v>660.13</v>
      </c>
      <c r="C152" s="18">
        <f t="shared" si="16"/>
        <v>656.0579582254436</v>
      </c>
      <c r="D152" s="18">
        <f t="shared" si="15"/>
        <v>12.268514671254376</v>
      </c>
      <c r="E152" s="19">
        <f t="shared" si="13"/>
        <v>4.0720417745563964</v>
      </c>
      <c r="F152" s="19">
        <f t="shared" si="14"/>
        <v>0.33190992419786186</v>
      </c>
      <c r="G152" s="55"/>
    </row>
    <row r="153" spans="1:7" x14ac:dyDescent="0.25">
      <c r="A153" s="16">
        <v>45179</v>
      </c>
      <c r="B153" s="4">
        <v>659.98</v>
      </c>
      <c r="C153" s="18">
        <f t="shared" si="16"/>
        <v>656.0579582254436</v>
      </c>
      <c r="D153" s="18">
        <f t="shared" si="15"/>
        <v>12.268514671254376</v>
      </c>
      <c r="E153" s="19">
        <f t="shared" si="13"/>
        <v>3.9220417745564191</v>
      </c>
      <c r="F153" s="19">
        <f t="shared" si="14"/>
        <v>0.31968350526946193</v>
      </c>
      <c r="G153" s="55"/>
    </row>
    <row r="154" spans="1:7" x14ac:dyDescent="0.25">
      <c r="A154" s="16">
        <v>45209</v>
      </c>
      <c r="B154" s="4">
        <v>659.82</v>
      </c>
      <c r="C154" s="18">
        <f t="shared" si="16"/>
        <v>656.0579582254436</v>
      </c>
      <c r="D154" s="18">
        <f t="shared" si="15"/>
        <v>12.268514671254376</v>
      </c>
      <c r="E154" s="19">
        <f t="shared" si="13"/>
        <v>3.7620417745564509</v>
      </c>
      <c r="F154" s="19">
        <f t="shared" si="14"/>
        <v>0.3066419917458359</v>
      </c>
      <c r="G154" s="55"/>
    </row>
    <row r="155" spans="1:7" x14ac:dyDescent="0.25">
      <c r="A155" s="16">
        <v>45240</v>
      </c>
      <c r="B155" s="4">
        <v>659.67</v>
      </c>
      <c r="C155" s="18">
        <f t="shared" si="16"/>
        <v>656.0579582254436</v>
      </c>
      <c r="D155" s="18">
        <f t="shared" si="15"/>
        <v>12.268514671254376</v>
      </c>
      <c r="E155" s="19">
        <f t="shared" si="13"/>
        <v>3.61204177455636</v>
      </c>
      <c r="F155" s="19">
        <f t="shared" si="14"/>
        <v>0.29441557281742664</v>
      </c>
      <c r="G155" s="55"/>
    </row>
    <row r="156" spans="1:7" x14ac:dyDescent="0.25">
      <c r="A156" s="16">
        <v>45270</v>
      </c>
      <c r="B156" s="4">
        <v>659.72</v>
      </c>
      <c r="C156" s="18">
        <f t="shared" si="16"/>
        <v>656.0579582254436</v>
      </c>
      <c r="D156" s="18">
        <f t="shared" si="15"/>
        <v>12.268514671254376</v>
      </c>
      <c r="E156" s="19">
        <f t="shared" si="13"/>
        <v>3.6620417745564282</v>
      </c>
      <c r="F156" s="19">
        <f t="shared" si="14"/>
        <v>0.29849104579356617</v>
      </c>
      <c r="G156" s="55"/>
    </row>
    <row r="157" spans="1:7" x14ac:dyDescent="0.25">
      <c r="A157" s="16">
        <v>45301</v>
      </c>
      <c r="B157" s="4">
        <v>659.9</v>
      </c>
      <c r="C157" s="18">
        <f t="shared" si="16"/>
        <v>656.0579582254436</v>
      </c>
      <c r="D157" s="18">
        <f t="shared" si="15"/>
        <v>12.268514671254376</v>
      </c>
      <c r="E157" s="19">
        <f t="shared" si="13"/>
        <v>3.8420417745563782</v>
      </c>
      <c r="F157" s="19">
        <f t="shared" si="14"/>
        <v>0.31316274850764425</v>
      </c>
      <c r="G157" s="55"/>
    </row>
    <row r="158" spans="1:7" x14ac:dyDescent="0.25">
      <c r="A158" s="16">
        <v>45332</v>
      </c>
      <c r="B158" s="4">
        <v>660.09</v>
      </c>
      <c r="C158" s="18">
        <f t="shared" si="16"/>
        <v>656.0579582254436</v>
      </c>
      <c r="D158" s="18">
        <f t="shared" si="15"/>
        <v>12.268514671254376</v>
      </c>
      <c r="E158" s="19">
        <f t="shared" si="13"/>
        <v>4.0320417745564328</v>
      </c>
      <c r="F158" s="19">
        <f t="shared" si="14"/>
        <v>0.32864954581695771</v>
      </c>
      <c r="G158" s="55"/>
    </row>
    <row r="159" spans="1:7" x14ac:dyDescent="0.25">
      <c r="A159" s="16">
        <v>45361</v>
      </c>
      <c r="B159" s="4">
        <v>659.96</v>
      </c>
      <c r="C159" s="18">
        <f t="shared" si="16"/>
        <v>656.0579582254436</v>
      </c>
      <c r="D159" s="18">
        <f t="shared" si="15"/>
        <v>12.268514671254376</v>
      </c>
      <c r="E159" s="19">
        <f t="shared" si="13"/>
        <v>3.9020417745564373</v>
      </c>
      <c r="F159" s="19">
        <f t="shared" si="14"/>
        <v>0.31805331607900983</v>
      </c>
      <c r="G159" s="55"/>
    </row>
    <row r="160" spans="1:7" x14ac:dyDescent="0.25">
      <c r="A160" s="16">
        <v>45392</v>
      </c>
      <c r="B160" s="4">
        <v>659.94</v>
      </c>
      <c r="C160" s="18">
        <f t="shared" si="16"/>
        <v>656.0579582254436</v>
      </c>
      <c r="D160" s="18">
        <f t="shared" si="15"/>
        <v>12.268514671254376</v>
      </c>
      <c r="E160" s="19">
        <f t="shared" si="13"/>
        <v>3.8820417745564555</v>
      </c>
      <c r="F160" s="19">
        <f t="shared" si="14"/>
        <v>0.31642312688855773</v>
      </c>
      <c r="G160" s="55"/>
    </row>
    <row r="161" spans="1:7" x14ac:dyDescent="0.25">
      <c r="A161" s="16">
        <v>45422</v>
      </c>
      <c r="B161" s="4">
        <v>659.83</v>
      </c>
      <c r="C161" s="18">
        <f t="shared" si="16"/>
        <v>656.0579582254436</v>
      </c>
      <c r="D161" s="18">
        <f t="shared" si="15"/>
        <v>12.268514671254376</v>
      </c>
      <c r="E161" s="19">
        <f t="shared" si="13"/>
        <v>3.7720417745564419</v>
      </c>
      <c r="F161" s="19">
        <f t="shared" si="14"/>
        <v>0.30745708634106195</v>
      </c>
      <c r="G161" s="55"/>
    </row>
    <row r="162" spans="1:7" x14ac:dyDescent="0.25">
      <c r="A162" s="16">
        <v>45453</v>
      </c>
      <c r="B162" s="4">
        <v>659.78</v>
      </c>
      <c r="C162" s="18">
        <f t="shared" si="16"/>
        <v>656.0579582254436</v>
      </c>
      <c r="D162" s="18">
        <f t="shared" si="15"/>
        <v>12.268514671254376</v>
      </c>
      <c r="E162" s="19">
        <f t="shared" si="13"/>
        <v>3.7220417745563736</v>
      </c>
      <c r="F162" s="19">
        <f t="shared" si="14"/>
        <v>0.30338161336492242</v>
      </c>
      <c r="G162" s="55"/>
    </row>
    <row r="163" spans="1:7" x14ac:dyDescent="0.25">
      <c r="A163" s="16">
        <v>45483</v>
      </c>
      <c r="B163" s="41">
        <v>659.56</v>
      </c>
      <c r="C163" s="18">
        <f t="shared" si="16"/>
        <v>656.0579582254436</v>
      </c>
      <c r="D163" s="18">
        <f t="shared" si="15"/>
        <v>12.268514671254376</v>
      </c>
      <c r="E163" s="19">
        <f t="shared" si="13"/>
        <v>3.5020417745563464</v>
      </c>
      <c r="F163" s="19">
        <f t="shared" si="14"/>
        <v>0.28544953226993086</v>
      </c>
      <c r="G163" s="55"/>
    </row>
    <row r="164" spans="1:7" x14ac:dyDescent="0.25">
      <c r="A164" s="16">
        <v>45514</v>
      </c>
      <c r="B164" s="43">
        <v>659.4764705882352</v>
      </c>
      <c r="C164" s="18">
        <f t="shared" si="16"/>
        <v>656.0579582254436</v>
      </c>
      <c r="D164" s="18">
        <f t="shared" ref="D164:D171" si="17">_xlfn.STDEV.S($B$4:$B$171)</f>
        <v>12.268514671254376</v>
      </c>
      <c r="E164" s="19">
        <f t="shared" si="13"/>
        <v>3.4185123627916028</v>
      </c>
      <c r="F164" s="19">
        <f t="shared" si="14"/>
        <v>0.27864109506273932</v>
      </c>
      <c r="G164" s="55"/>
    </row>
    <row r="165" spans="1:7" x14ac:dyDescent="0.25">
      <c r="A165" s="16">
        <v>45545</v>
      </c>
      <c r="B165" s="44">
        <v>659.29294117647055</v>
      </c>
      <c r="C165" s="18">
        <f t="shared" ref="C165:C171" si="18">AVERAGE($B$4:$B$171)</f>
        <v>656.0579582254436</v>
      </c>
      <c r="D165" s="18">
        <f t="shared" si="17"/>
        <v>12.268514671254376</v>
      </c>
      <c r="E165" s="19">
        <f t="shared" si="13"/>
        <v>3.2349829510269501</v>
      </c>
      <c r="F165" s="19">
        <f t="shared" si="14"/>
        <v>0.26368171190328732</v>
      </c>
      <c r="G165" s="55"/>
    </row>
    <row r="166" spans="1:7" x14ac:dyDescent="0.25">
      <c r="A166" s="16">
        <v>45575</v>
      </c>
      <c r="B166" s="44">
        <v>659.48647058823531</v>
      </c>
      <c r="C166" s="18">
        <f t="shared" si="18"/>
        <v>656.0579582254436</v>
      </c>
      <c r="D166" s="18">
        <f t="shared" si="17"/>
        <v>12.268514671254376</v>
      </c>
      <c r="E166" s="19">
        <f t="shared" si="13"/>
        <v>3.4285123627917073</v>
      </c>
      <c r="F166" s="19">
        <f t="shared" si="14"/>
        <v>0.27945618965797464</v>
      </c>
      <c r="G166" s="55"/>
    </row>
    <row r="167" spans="1:7" x14ac:dyDescent="0.25">
      <c r="A167" s="16">
        <v>45606</v>
      </c>
      <c r="B167" s="45">
        <v>659.52</v>
      </c>
      <c r="C167" s="18">
        <f t="shared" si="18"/>
        <v>656.0579582254436</v>
      </c>
      <c r="D167" s="18">
        <f t="shared" si="17"/>
        <v>12.268514671254376</v>
      </c>
      <c r="E167" s="19">
        <f t="shared" si="13"/>
        <v>3.4620417745563827</v>
      </c>
      <c r="F167" s="19">
        <f t="shared" si="14"/>
        <v>0.28218915388902666</v>
      </c>
      <c r="G167" s="55"/>
    </row>
    <row r="168" spans="1:7" x14ac:dyDescent="0.25">
      <c r="A168" s="16">
        <v>45636</v>
      </c>
      <c r="B168" s="46">
        <v>659.48</v>
      </c>
      <c r="C168" s="18">
        <f t="shared" si="18"/>
        <v>656.0579582254436</v>
      </c>
      <c r="D168" s="18">
        <f t="shared" si="17"/>
        <v>12.268514671254376</v>
      </c>
      <c r="E168" s="19">
        <f t="shared" si="13"/>
        <v>3.4220417745564191</v>
      </c>
      <c r="F168" s="19">
        <f t="shared" si="14"/>
        <v>0.27892877550812251</v>
      </c>
      <c r="G168" s="55"/>
    </row>
    <row r="169" spans="1:7" x14ac:dyDescent="0.25">
      <c r="A169" s="16">
        <v>45667</v>
      </c>
      <c r="B169" s="46">
        <v>659.45647059999999</v>
      </c>
      <c r="C169" s="18">
        <f t="shared" si="18"/>
        <v>656.0579582254436</v>
      </c>
      <c r="D169" s="18">
        <f t="shared" si="17"/>
        <v>12.268514671254376</v>
      </c>
      <c r="E169" s="19">
        <f t="shared" si="13"/>
        <v>3.3985123745563897</v>
      </c>
      <c r="F169" s="19">
        <f t="shared" si="14"/>
        <v>0.27701090683122714</v>
      </c>
      <c r="G169" s="55"/>
    </row>
    <row r="170" spans="1:7" x14ac:dyDescent="0.25">
      <c r="A170" s="16">
        <v>45698</v>
      </c>
      <c r="B170" s="46">
        <v>659.58</v>
      </c>
      <c r="C170" s="18">
        <f t="shared" si="18"/>
        <v>656.0579582254436</v>
      </c>
      <c r="D170" s="18">
        <f t="shared" si="17"/>
        <v>12.268514671254376</v>
      </c>
      <c r="E170" s="19">
        <f t="shared" si="13"/>
        <v>3.5220417745564419</v>
      </c>
      <c r="F170" s="19">
        <f t="shared" si="14"/>
        <v>0.28707972146039223</v>
      </c>
      <c r="G170" s="55"/>
    </row>
    <row r="171" spans="1:7" x14ac:dyDescent="0.25">
      <c r="A171" s="40">
        <v>45735</v>
      </c>
      <c r="B171" s="46">
        <v>659.52</v>
      </c>
      <c r="C171" s="18">
        <f t="shared" si="18"/>
        <v>656.0579582254436</v>
      </c>
      <c r="D171" s="18">
        <f t="shared" si="17"/>
        <v>12.268514671254376</v>
      </c>
      <c r="E171" s="19">
        <f t="shared" ref="E171" si="19">B171-C171</f>
        <v>3.4620417745563827</v>
      </c>
      <c r="F171" s="19">
        <f t="shared" ref="F171" si="20">E171/D171</f>
        <v>0.28218915388902666</v>
      </c>
      <c r="G171" s="55"/>
    </row>
  </sheetData>
  <mergeCells count="8">
    <mergeCell ref="X3:Z3"/>
    <mergeCell ref="T3:V3"/>
    <mergeCell ref="AB3:AD3"/>
    <mergeCell ref="A2:F2"/>
    <mergeCell ref="A1:F1"/>
    <mergeCell ref="M3:N3"/>
    <mergeCell ref="O3:P3"/>
    <mergeCell ref="Q3:R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H174"/>
  <sheetViews>
    <sheetView zoomScaleNormal="100" workbookViewId="0">
      <selection activeCell="G1" sqref="G1:G1048576"/>
    </sheetView>
  </sheetViews>
  <sheetFormatPr defaultRowHeight="15" x14ac:dyDescent="0.25"/>
  <cols>
    <col min="1" max="1" width="15.5703125" style="25" customWidth="1"/>
    <col min="2" max="2" width="19.5703125" style="27" customWidth="1"/>
    <col min="3" max="3" width="22.85546875" style="1" customWidth="1"/>
    <col min="4" max="4" width="16" style="1" customWidth="1"/>
    <col min="5" max="5" width="13.7109375" style="1" customWidth="1"/>
    <col min="6" max="6" width="25.7109375" style="1" customWidth="1"/>
    <col min="7" max="7" width="21.85546875" bestFit="1" customWidth="1"/>
    <col min="8" max="11" width="8.85546875"/>
  </cols>
  <sheetData>
    <row r="1" spans="1:8" ht="20.25" customHeight="1" x14ac:dyDescent="0.25">
      <c r="A1" s="75" t="s">
        <v>3</v>
      </c>
      <c r="B1" s="76"/>
      <c r="C1" s="76"/>
      <c r="D1" s="76"/>
      <c r="E1" s="76"/>
      <c r="F1" s="76"/>
    </row>
    <row r="2" spans="1:8" x14ac:dyDescent="0.25">
      <c r="A2" s="73" t="s">
        <v>5</v>
      </c>
      <c r="B2" s="74"/>
      <c r="C2" s="74"/>
      <c r="D2" s="74"/>
      <c r="E2" s="74"/>
      <c r="F2" s="74"/>
    </row>
    <row r="3" spans="1:8" x14ac:dyDescent="0.25">
      <c r="A3" s="22" t="s">
        <v>4</v>
      </c>
      <c r="B3" s="26" t="s">
        <v>5</v>
      </c>
      <c r="C3" s="7" t="s">
        <v>6</v>
      </c>
      <c r="D3" s="7" t="s">
        <v>2</v>
      </c>
      <c r="E3" s="6"/>
      <c r="F3" s="6" t="s">
        <v>12</v>
      </c>
      <c r="G3" s="28"/>
      <c r="H3" s="28"/>
    </row>
    <row r="4" spans="1:8" x14ac:dyDescent="0.25">
      <c r="A4" s="23">
        <v>40553</v>
      </c>
      <c r="B4" s="56">
        <v>652.42571428571432</v>
      </c>
      <c r="C4" s="58">
        <f>AVERAGE($B$4:$B$174)</f>
        <v>626.05211908304989</v>
      </c>
      <c r="D4" s="58">
        <f>_xlfn.STDEV.S($B$4:$B$174)</f>
        <v>9.8134492865977929</v>
      </c>
      <c r="E4" s="58">
        <f>B4-C4</f>
        <v>26.373595202664433</v>
      </c>
      <c r="F4" s="58">
        <f>E4/D4</f>
        <v>2.6874949299104034</v>
      </c>
      <c r="G4" s="57"/>
      <c r="H4" s="29"/>
    </row>
    <row r="5" spans="1:8" x14ac:dyDescent="0.25">
      <c r="A5" s="24">
        <v>40584</v>
      </c>
      <c r="B5" s="56">
        <v>652.35428571428577</v>
      </c>
      <c r="C5" s="58">
        <f t="shared" ref="C5:C68" si="0">AVERAGE($B$4:$B$174)</f>
        <v>626.05211908304989</v>
      </c>
      <c r="D5" s="58">
        <f t="shared" ref="D5:D68" si="1">_xlfn.STDEV.S($B$4:$B$174)</f>
        <v>9.8134492865977929</v>
      </c>
      <c r="E5" s="58">
        <f t="shared" ref="E5:E68" si="2">B5-C5</f>
        <v>26.302166631235878</v>
      </c>
      <c r="F5" s="58">
        <f t="shared" ref="F5:F68" si="3">E5/D5</f>
        <v>2.6802162892059465</v>
      </c>
      <c r="G5" s="57"/>
      <c r="H5" s="29"/>
    </row>
    <row r="6" spans="1:8" x14ac:dyDescent="0.25">
      <c r="A6" s="23">
        <v>40612</v>
      </c>
      <c r="B6" s="56">
        <v>652.41000000000008</v>
      </c>
      <c r="C6" s="58">
        <f t="shared" si="0"/>
        <v>626.05211908304989</v>
      </c>
      <c r="D6" s="58">
        <f t="shared" si="1"/>
        <v>9.8134492865977929</v>
      </c>
      <c r="E6" s="58">
        <f t="shared" si="2"/>
        <v>26.357880916950194</v>
      </c>
      <c r="F6" s="58">
        <f t="shared" si="3"/>
        <v>2.6858936289554269</v>
      </c>
      <c r="G6" s="57"/>
      <c r="H6" s="29"/>
    </row>
    <row r="7" spans="1:8" x14ac:dyDescent="0.25">
      <c r="A7" s="23">
        <v>40643</v>
      </c>
      <c r="B7" s="56">
        <v>652.4242857142857</v>
      </c>
      <c r="C7" s="58">
        <f t="shared" si="0"/>
        <v>626.05211908304989</v>
      </c>
      <c r="D7" s="58">
        <f t="shared" si="1"/>
        <v>9.8134492865977929</v>
      </c>
      <c r="E7" s="58">
        <f t="shared" si="2"/>
        <v>26.372166631235814</v>
      </c>
      <c r="F7" s="58">
        <f t="shared" si="3"/>
        <v>2.6873493570963092</v>
      </c>
      <c r="G7" s="57"/>
      <c r="H7" s="29"/>
    </row>
    <row r="8" spans="1:8" x14ac:dyDescent="0.25">
      <c r="A8" s="23">
        <v>40673</v>
      </c>
      <c r="B8" s="56">
        <v>652.39492857142852</v>
      </c>
      <c r="C8" s="58">
        <f t="shared" si="0"/>
        <v>626.05211908304989</v>
      </c>
      <c r="D8" s="58">
        <f t="shared" si="1"/>
        <v>9.8134492865977929</v>
      </c>
      <c r="E8" s="58">
        <f t="shared" si="2"/>
        <v>26.342809488378634</v>
      </c>
      <c r="F8" s="58">
        <f t="shared" si="3"/>
        <v>2.684357835766773</v>
      </c>
      <c r="G8" s="57"/>
      <c r="H8" s="29"/>
    </row>
    <row r="9" spans="1:8" x14ac:dyDescent="0.25">
      <c r="A9" s="23">
        <v>40704</v>
      </c>
      <c r="B9" s="56">
        <v>652.43842857142863</v>
      </c>
      <c r="C9" s="58">
        <f t="shared" si="0"/>
        <v>626.05211908304989</v>
      </c>
      <c r="D9" s="58">
        <f t="shared" si="1"/>
        <v>9.8134492865977929</v>
      </c>
      <c r="E9" s="58">
        <f t="shared" si="2"/>
        <v>26.386309488378743</v>
      </c>
      <c r="F9" s="58">
        <f t="shared" si="3"/>
        <v>2.6887905279557995</v>
      </c>
      <c r="G9" s="57"/>
      <c r="H9" s="29"/>
    </row>
    <row r="10" spans="1:8" x14ac:dyDescent="0.25">
      <c r="A10" s="23">
        <v>40734</v>
      </c>
      <c r="B10" s="56">
        <v>626.42750000000001</v>
      </c>
      <c r="C10" s="58">
        <f t="shared" si="0"/>
        <v>626.05211908304989</v>
      </c>
      <c r="D10" s="58">
        <f t="shared" si="1"/>
        <v>9.8134492865977929</v>
      </c>
      <c r="E10" s="58">
        <f t="shared" si="2"/>
        <v>0.37538091695012099</v>
      </c>
      <c r="F10" s="58">
        <f t="shared" si="3"/>
        <v>3.8251679505062294E-2</v>
      </c>
      <c r="G10" s="57"/>
      <c r="H10" s="29"/>
    </row>
    <row r="11" spans="1:8" x14ac:dyDescent="0.25">
      <c r="A11" s="23">
        <v>40765</v>
      </c>
      <c r="B11" s="56">
        <v>626.3850000000001</v>
      </c>
      <c r="C11" s="58">
        <f t="shared" si="0"/>
        <v>626.05211908304989</v>
      </c>
      <c r="D11" s="58">
        <f t="shared" si="1"/>
        <v>9.8134492865977929</v>
      </c>
      <c r="E11" s="58">
        <f t="shared" si="2"/>
        <v>0.33288091695021649</v>
      </c>
      <c r="F11" s="58">
        <f t="shared" si="3"/>
        <v>3.3920888285919125E-2</v>
      </c>
      <c r="G11" s="57"/>
      <c r="H11" s="29"/>
    </row>
    <row r="12" spans="1:8" x14ac:dyDescent="0.25">
      <c r="A12" s="23">
        <v>40796</v>
      </c>
      <c r="B12" s="56">
        <v>626.34</v>
      </c>
      <c r="C12" s="58">
        <f t="shared" si="0"/>
        <v>626.05211908304989</v>
      </c>
      <c r="D12" s="58">
        <f t="shared" si="1"/>
        <v>9.8134492865977929</v>
      </c>
      <c r="E12" s="58">
        <f t="shared" si="2"/>
        <v>0.28788091695014373</v>
      </c>
      <c r="F12" s="58">
        <f t="shared" si="3"/>
        <v>2.9335344642102763E-2</v>
      </c>
      <c r="G12" s="57"/>
      <c r="H12" s="29"/>
    </row>
    <row r="13" spans="1:8" x14ac:dyDescent="0.25">
      <c r="A13" s="24">
        <v>40826</v>
      </c>
      <c r="B13" s="56">
        <v>652.35142857142853</v>
      </c>
      <c r="C13" s="58">
        <f t="shared" si="0"/>
        <v>626.05211908304989</v>
      </c>
      <c r="D13" s="58">
        <f t="shared" si="1"/>
        <v>9.8134492865977929</v>
      </c>
      <c r="E13" s="58">
        <f t="shared" si="2"/>
        <v>26.29930948837864</v>
      </c>
      <c r="F13" s="58">
        <f t="shared" si="3"/>
        <v>2.6799251435777585</v>
      </c>
      <c r="G13" s="57"/>
      <c r="H13" s="29"/>
    </row>
    <row r="14" spans="1:8" x14ac:dyDescent="0.25">
      <c r="A14" s="23">
        <v>40857</v>
      </c>
      <c r="B14" s="56">
        <v>652.31857142857132</v>
      </c>
      <c r="C14" s="58">
        <f t="shared" si="0"/>
        <v>626.05211908304989</v>
      </c>
      <c r="D14" s="58">
        <f t="shared" si="1"/>
        <v>9.8134492865977929</v>
      </c>
      <c r="E14" s="58">
        <f t="shared" si="2"/>
        <v>26.266452345521429</v>
      </c>
      <c r="F14" s="58">
        <f t="shared" si="3"/>
        <v>2.6765769688537002</v>
      </c>
      <c r="G14" s="57"/>
      <c r="H14" s="29"/>
    </row>
    <row r="15" spans="1:8" x14ac:dyDescent="0.25">
      <c r="A15" s="23">
        <v>40887</v>
      </c>
      <c r="B15" s="56">
        <v>626.78249999999991</v>
      </c>
      <c r="C15" s="58">
        <f t="shared" si="0"/>
        <v>626.05211908304989</v>
      </c>
      <c r="D15" s="58">
        <f t="shared" si="1"/>
        <v>9.8134492865977929</v>
      </c>
      <c r="E15" s="58">
        <f t="shared" si="2"/>
        <v>0.73038091695002549</v>
      </c>
      <c r="F15" s="58">
        <f t="shared" si="3"/>
        <v>7.4426523806212064E-2</v>
      </c>
      <c r="G15" s="57"/>
      <c r="H15" s="29"/>
    </row>
    <row r="16" spans="1:8" x14ac:dyDescent="0.25">
      <c r="A16" s="23">
        <v>40918</v>
      </c>
      <c r="B16" s="56">
        <v>638.95857142857142</v>
      </c>
      <c r="C16" s="58">
        <f t="shared" si="0"/>
        <v>626.05211908304989</v>
      </c>
      <c r="D16" s="58">
        <f t="shared" si="1"/>
        <v>9.8134492865977929</v>
      </c>
      <c r="E16" s="58">
        <f t="shared" si="2"/>
        <v>12.906452345521529</v>
      </c>
      <c r="F16" s="58">
        <f t="shared" si="3"/>
        <v>1.315180011491764</v>
      </c>
      <c r="G16" s="57"/>
      <c r="H16" s="29"/>
    </row>
    <row r="17" spans="1:8" x14ac:dyDescent="0.25">
      <c r="A17" s="23">
        <v>40949</v>
      </c>
      <c r="B17" s="56">
        <v>638.86714285714299</v>
      </c>
      <c r="C17" s="58">
        <f t="shared" si="0"/>
        <v>626.05211908304989</v>
      </c>
      <c r="D17" s="58">
        <f t="shared" si="1"/>
        <v>9.8134492865977929</v>
      </c>
      <c r="E17" s="58">
        <f t="shared" si="2"/>
        <v>12.815023774093106</v>
      </c>
      <c r="F17" s="58">
        <f t="shared" si="3"/>
        <v>1.3058633513900721</v>
      </c>
      <c r="G17" s="57"/>
      <c r="H17" s="29"/>
    </row>
    <row r="18" spans="1:8" x14ac:dyDescent="0.25">
      <c r="A18" s="23">
        <v>40978</v>
      </c>
      <c r="B18" s="56">
        <v>638.79</v>
      </c>
      <c r="C18" s="58">
        <f t="shared" si="0"/>
        <v>626.05211908304989</v>
      </c>
      <c r="D18" s="58">
        <f t="shared" si="1"/>
        <v>9.8134492865977929</v>
      </c>
      <c r="E18" s="58">
        <f t="shared" si="2"/>
        <v>12.737880916950076</v>
      </c>
      <c r="F18" s="58">
        <f t="shared" si="3"/>
        <v>1.298002419429239</v>
      </c>
      <c r="G18" s="57"/>
      <c r="H18" s="29"/>
    </row>
    <row r="19" spans="1:8" x14ac:dyDescent="0.25">
      <c r="A19" s="23">
        <v>41009</v>
      </c>
      <c r="B19" s="56">
        <v>638.86142857142852</v>
      </c>
      <c r="C19" s="58">
        <f t="shared" si="0"/>
        <v>626.05211908304989</v>
      </c>
      <c r="D19" s="58">
        <f t="shared" si="1"/>
        <v>9.8134492865977929</v>
      </c>
      <c r="E19" s="58">
        <f t="shared" si="2"/>
        <v>12.809309488378631</v>
      </c>
      <c r="F19" s="58">
        <f t="shared" si="3"/>
        <v>1.3052810601336962</v>
      </c>
      <c r="G19" s="57"/>
      <c r="H19" s="29"/>
    </row>
    <row r="20" spans="1:8" x14ac:dyDescent="0.25">
      <c r="A20" s="23">
        <v>41039</v>
      </c>
      <c r="B20" s="56">
        <v>626.94312500000001</v>
      </c>
      <c r="C20" s="58">
        <f t="shared" si="0"/>
        <v>626.05211908304989</v>
      </c>
      <c r="D20" s="58">
        <f t="shared" si="1"/>
        <v>9.8134492865977929</v>
      </c>
      <c r="E20" s="58">
        <f t="shared" si="2"/>
        <v>0.89100591695012099</v>
      </c>
      <c r="F20" s="58">
        <f t="shared" si="3"/>
        <v>9.0794367090373196E-2</v>
      </c>
      <c r="G20" s="57"/>
      <c r="H20" s="29"/>
    </row>
    <row r="21" spans="1:8" x14ac:dyDescent="0.25">
      <c r="A21" s="24">
        <v>41070</v>
      </c>
      <c r="B21" s="56">
        <v>611.09571428571428</v>
      </c>
      <c r="C21" s="58">
        <f t="shared" si="0"/>
        <v>626.05211908304989</v>
      </c>
      <c r="D21" s="58">
        <f t="shared" si="1"/>
        <v>9.8134492865977929</v>
      </c>
      <c r="E21" s="58">
        <f t="shared" si="2"/>
        <v>-14.956404797335608</v>
      </c>
      <c r="F21" s="58">
        <f t="shared" si="3"/>
        <v>-1.5240721545034668</v>
      </c>
      <c r="G21" s="57"/>
      <c r="H21" s="29"/>
    </row>
    <row r="22" spans="1:8" x14ac:dyDescent="0.25">
      <c r="A22" s="23">
        <v>41100</v>
      </c>
      <c r="B22" s="56">
        <v>611.08428571428578</v>
      </c>
      <c r="C22" s="58">
        <f t="shared" si="0"/>
        <v>626.05211908304989</v>
      </c>
      <c r="D22" s="58">
        <f t="shared" si="1"/>
        <v>9.8134492865977929</v>
      </c>
      <c r="E22" s="58">
        <f t="shared" si="2"/>
        <v>-14.967833368764104</v>
      </c>
      <c r="F22" s="58">
        <f t="shared" si="3"/>
        <v>-1.5252367370161726</v>
      </c>
      <c r="G22" s="57"/>
    </row>
    <row r="23" spans="1:8" x14ac:dyDescent="0.25">
      <c r="A23" s="23">
        <v>41131</v>
      </c>
      <c r="B23" s="56">
        <v>626.78125</v>
      </c>
      <c r="C23" s="58">
        <f t="shared" si="0"/>
        <v>626.05211908304989</v>
      </c>
      <c r="D23" s="58">
        <f t="shared" si="1"/>
        <v>9.8134492865977929</v>
      </c>
      <c r="E23" s="58">
        <f t="shared" si="2"/>
        <v>0.7291309169501119</v>
      </c>
      <c r="F23" s="58">
        <f t="shared" si="3"/>
        <v>7.4299147593892848E-2</v>
      </c>
      <c r="G23" s="57"/>
    </row>
    <row r="24" spans="1:8" x14ac:dyDescent="0.25">
      <c r="A24" s="23">
        <v>41162</v>
      </c>
      <c r="B24" s="56">
        <v>626.87125000000003</v>
      </c>
      <c r="C24" s="58">
        <f t="shared" si="0"/>
        <v>626.05211908304989</v>
      </c>
      <c r="D24" s="58">
        <f t="shared" si="1"/>
        <v>9.8134492865977929</v>
      </c>
      <c r="E24" s="58">
        <f t="shared" si="2"/>
        <v>0.81913091695014373</v>
      </c>
      <c r="F24" s="58">
        <f t="shared" si="3"/>
        <v>8.3470234881513991E-2</v>
      </c>
      <c r="G24" s="57"/>
    </row>
    <row r="25" spans="1:8" x14ac:dyDescent="0.25">
      <c r="A25" s="23">
        <v>41192</v>
      </c>
      <c r="B25" s="56">
        <v>626.8125</v>
      </c>
      <c r="C25" s="58">
        <f t="shared" si="0"/>
        <v>626.05211908304989</v>
      </c>
      <c r="D25" s="58">
        <f t="shared" si="1"/>
        <v>9.8134492865977929</v>
      </c>
      <c r="E25" s="58">
        <f t="shared" si="2"/>
        <v>0.7603809169501119</v>
      </c>
      <c r="F25" s="58">
        <f t="shared" si="3"/>
        <v>7.7483552902093508E-2</v>
      </c>
      <c r="G25" s="57"/>
    </row>
    <row r="26" spans="1:8" x14ac:dyDescent="0.25">
      <c r="A26" s="23">
        <v>41223</v>
      </c>
      <c r="B26" s="56">
        <v>626.78875000000005</v>
      </c>
      <c r="C26" s="58">
        <f t="shared" si="0"/>
        <v>626.05211908304989</v>
      </c>
      <c r="D26" s="58">
        <f t="shared" si="1"/>
        <v>9.8134492865977929</v>
      </c>
      <c r="E26" s="58">
        <f t="shared" si="2"/>
        <v>0.73663091695016192</v>
      </c>
      <c r="F26" s="58">
        <f t="shared" si="3"/>
        <v>7.5063404867866099E-2</v>
      </c>
      <c r="G26" s="57"/>
    </row>
    <row r="27" spans="1:8" x14ac:dyDescent="0.25">
      <c r="A27" s="23">
        <v>41253</v>
      </c>
      <c r="B27" s="56">
        <v>626.83125000000007</v>
      </c>
      <c r="C27" s="58">
        <f t="shared" si="0"/>
        <v>626.05211908304989</v>
      </c>
      <c r="D27" s="58">
        <f t="shared" si="1"/>
        <v>9.8134492865977929</v>
      </c>
      <c r="E27" s="58">
        <f t="shared" si="2"/>
        <v>0.77913091695018011</v>
      </c>
      <c r="F27" s="58">
        <f t="shared" si="3"/>
        <v>7.9394196087020863E-2</v>
      </c>
      <c r="G27" s="57"/>
    </row>
    <row r="28" spans="1:8" x14ac:dyDescent="0.25">
      <c r="A28" s="23">
        <v>41284</v>
      </c>
      <c r="B28" s="56">
        <v>626.92375000000004</v>
      </c>
      <c r="C28" s="58">
        <f t="shared" si="0"/>
        <v>626.05211908304989</v>
      </c>
      <c r="D28" s="58">
        <f t="shared" si="1"/>
        <v>9.8134492865977929</v>
      </c>
      <c r="E28" s="58">
        <f t="shared" si="2"/>
        <v>0.87163091695015282</v>
      </c>
      <c r="F28" s="58">
        <f t="shared" si="3"/>
        <v>8.8820035799292027E-2</v>
      </c>
      <c r="G28" s="57"/>
    </row>
    <row r="29" spans="1:8" x14ac:dyDescent="0.25">
      <c r="A29" s="24">
        <v>41315</v>
      </c>
      <c r="B29" s="56">
        <v>627.10500000000002</v>
      </c>
      <c r="C29" s="58">
        <f t="shared" si="0"/>
        <v>626.05211908304989</v>
      </c>
      <c r="D29" s="58">
        <f t="shared" si="1"/>
        <v>9.8134492865977929</v>
      </c>
      <c r="E29" s="58">
        <f t="shared" si="2"/>
        <v>1.0528809169501301</v>
      </c>
      <c r="F29" s="58">
        <f t="shared" si="3"/>
        <v>0.10728958658685354</v>
      </c>
      <c r="G29" s="57"/>
    </row>
    <row r="30" spans="1:8" x14ac:dyDescent="0.25">
      <c r="A30" s="23">
        <v>41343</v>
      </c>
      <c r="B30" s="56">
        <v>627.17124999999999</v>
      </c>
      <c r="C30" s="58">
        <f t="shared" si="0"/>
        <v>626.05211908304989</v>
      </c>
      <c r="D30" s="58">
        <f t="shared" si="1"/>
        <v>9.8134492865977929</v>
      </c>
      <c r="E30" s="58">
        <f t="shared" si="2"/>
        <v>1.1191309169500983</v>
      </c>
      <c r="F30" s="58">
        <f t="shared" si="3"/>
        <v>0.1140405258402357</v>
      </c>
      <c r="G30" s="57"/>
    </row>
    <row r="31" spans="1:8" x14ac:dyDescent="0.25">
      <c r="A31" s="23">
        <v>41374</v>
      </c>
      <c r="B31" s="56">
        <v>627.19374999999991</v>
      </c>
      <c r="C31" s="58">
        <f t="shared" si="0"/>
        <v>626.05211908304989</v>
      </c>
      <c r="D31" s="58">
        <f t="shared" si="1"/>
        <v>9.8134492865977929</v>
      </c>
      <c r="E31" s="58">
        <f t="shared" si="2"/>
        <v>1.1416309169500209</v>
      </c>
      <c r="F31" s="58">
        <f t="shared" si="3"/>
        <v>0.11633329766213231</v>
      </c>
      <c r="G31" s="57"/>
    </row>
    <row r="32" spans="1:8" x14ac:dyDescent="0.25">
      <c r="A32" s="23">
        <v>41404</v>
      </c>
      <c r="B32" s="56">
        <v>627.25125000000003</v>
      </c>
      <c r="C32" s="58">
        <f t="shared" si="0"/>
        <v>626.05211908304989</v>
      </c>
      <c r="D32" s="58">
        <f t="shared" si="1"/>
        <v>9.8134492865977929</v>
      </c>
      <c r="E32" s="58">
        <f t="shared" si="2"/>
        <v>1.1991309169501392</v>
      </c>
      <c r="F32" s="58">
        <f t="shared" si="3"/>
        <v>0.12219260342923356</v>
      </c>
      <c r="G32" s="57"/>
    </row>
    <row r="33" spans="1:7" x14ac:dyDescent="0.25">
      <c r="A33" s="23">
        <v>41435</v>
      </c>
      <c r="B33" s="56">
        <v>611.4028571428571</v>
      </c>
      <c r="C33" s="58">
        <f t="shared" si="0"/>
        <v>626.05211908304989</v>
      </c>
      <c r="D33" s="58">
        <f t="shared" si="1"/>
        <v>9.8134492865977929</v>
      </c>
      <c r="E33" s="58">
        <f t="shared" si="2"/>
        <v>-14.649261940192787</v>
      </c>
      <c r="F33" s="58">
        <f t="shared" si="3"/>
        <v>-1.4927739994742983</v>
      </c>
      <c r="G33" s="57"/>
    </row>
    <row r="34" spans="1:7" x14ac:dyDescent="0.25">
      <c r="A34" s="23">
        <v>41465</v>
      </c>
      <c r="B34" s="56">
        <v>611.24</v>
      </c>
      <c r="C34" s="58">
        <f t="shared" si="0"/>
        <v>626.05211908304989</v>
      </c>
      <c r="D34" s="58">
        <f t="shared" si="1"/>
        <v>9.8134492865977929</v>
      </c>
      <c r="E34" s="58">
        <f t="shared" si="2"/>
        <v>-14.812119083049879</v>
      </c>
      <c r="F34" s="58">
        <f t="shared" si="3"/>
        <v>-1.5093693002804589</v>
      </c>
      <c r="G34" s="57"/>
    </row>
    <row r="35" spans="1:7" x14ac:dyDescent="0.25">
      <c r="A35" s="23">
        <v>41496</v>
      </c>
      <c r="B35" s="56">
        <v>600.60142857142853</v>
      </c>
      <c r="C35" s="58">
        <f t="shared" si="0"/>
        <v>626.05211908304989</v>
      </c>
      <c r="D35" s="58">
        <f t="shared" si="1"/>
        <v>9.8134492865977929</v>
      </c>
      <c r="E35" s="58">
        <f t="shared" si="2"/>
        <v>-25.45069051162136</v>
      </c>
      <c r="F35" s="58">
        <f t="shared" si="3"/>
        <v>-2.5934500468025359</v>
      </c>
      <c r="G35" s="57"/>
    </row>
    <row r="36" spans="1:7" x14ac:dyDescent="0.25">
      <c r="A36" s="23">
        <v>41527</v>
      </c>
      <c r="B36" s="56">
        <v>600.49771428571421</v>
      </c>
      <c r="C36" s="58">
        <f t="shared" si="0"/>
        <v>626.05211908304989</v>
      </c>
      <c r="D36" s="58">
        <f t="shared" si="1"/>
        <v>9.8134492865977929</v>
      </c>
      <c r="E36" s="58">
        <f t="shared" si="2"/>
        <v>-25.554404797335678</v>
      </c>
      <c r="F36" s="58">
        <f t="shared" si="3"/>
        <v>-2.6040186331054134</v>
      </c>
      <c r="G36" s="57"/>
    </row>
    <row r="37" spans="1:7" x14ac:dyDescent="0.25">
      <c r="A37" s="24">
        <v>41557</v>
      </c>
      <c r="B37" s="56">
        <v>626.85500000000002</v>
      </c>
      <c r="C37" s="58">
        <f t="shared" si="0"/>
        <v>626.05211908304989</v>
      </c>
      <c r="D37" s="58">
        <f t="shared" si="1"/>
        <v>9.8134492865977929</v>
      </c>
      <c r="E37" s="58">
        <f t="shared" si="2"/>
        <v>0.80288091695013009</v>
      </c>
      <c r="F37" s="58">
        <f t="shared" si="3"/>
        <v>8.1814344121248259E-2</v>
      </c>
      <c r="G37" s="57"/>
    </row>
    <row r="38" spans="1:7" x14ac:dyDescent="0.25">
      <c r="A38" s="23">
        <v>41588</v>
      </c>
      <c r="B38" s="56">
        <v>627.09</v>
      </c>
      <c r="C38" s="58">
        <f t="shared" si="0"/>
        <v>626.05211908304989</v>
      </c>
      <c r="D38" s="58">
        <f t="shared" si="1"/>
        <v>9.8134492865977929</v>
      </c>
      <c r="E38" s="58">
        <f t="shared" si="2"/>
        <v>1.0378809169501437</v>
      </c>
      <c r="F38" s="58">
        <f t="shared" si="3"/>
        <v>0.10576107203891862</v>
      </c>
      <c r="G38" s="57"/>
    </row>
    <row r="39" spans="1:7" x14ac:dyDescent="0.25">
      <c r="A39" s="23">
        <v>41618</v>
      </c>
      <c r="B39" s="56">
        <v>627.20625000000007</v>
      </c>
      <c r="C39" s="58">
        <f t="shared" si="0"/>
        <v>626.05211908304989</v>
      </c>
      <c r="D39" s="58">
        <f t="shared" si="1"/>
        <v>9.8134492865977929</v>
      </c>
      <c r="E39" s="58">
        <f t="shared" si="2"/>
        <v>1.1541309169501801</v>
      </c>
      <c r="F39" s="58">
        <f t="shared" si="3"/>
        <v>0.11760705978542879</v>
      </c>
      <c r="G39" s="57"/>
    </row>
    <row r="40" spans="1:7" x14ac:dyDescent="0.25">
      <c r="A40" s="23">
        <v>41649</v>
      </c>
      <c r="B40" s="56">
        <v>627.27875000000006</v>
      </c>
      <c r="C40" s="58">
        <f t="shared" si="0"/>
        <v>626.05211908304989</v>
      </c>
      <c r="D40" s="58">
        <f t="shared" si="1"/>
        <v>9.8134492865977929</v>
      </c>
      <c r="E40" s="58">
        <f t="shared" si="2"/>
        <v>1.226630916950171</v>
      </c>
      <c r="F40" s="58">
        <f t="shared" si="3"/>
        <v>0.1249948801004534</v>
      </c>
      <c r="G40" s="57"/>
    </row>
    <row r="41" spans="1:7" x14ac:dyDescent="0.25">
      <c r="A41" s="23">
        <v>41680</v>
      </c>
      <c r="B41" s="56">
        <v>627.37000000000012</v>
      </c>
      <c r="C41" s="58">
        <f t="shared" si="0"/>
        <v>626.05211908304989</v>
      </c>
      <c r="D41" s="58">
        <f t="shared" si="1"/>
        <v>9.8134492865977929</v>
      </c>
      <c r="E41" s="58">
        <f t="shared" si="2"/>
        <v>1.3178809169502301</v>
      </c>
      <c r="F41" s="58">
        <f t="shared" si="3"/>
        <v>0.13429334360040535</v>
      </c>
      <c r="G41" s="57"/>
    </row>
    <row r="42" spans="1:7" x14ac:dyDescent="0.25">
      <c r="A42" s="23">
        <v>41708</v>
      </c>
      <c r="B42" s="56">
        <v>627.60799999999995</v>
      </c>
      <c r="C42" s="58">
        <f t="shared" si="0"/>
        <v>626.05211908304989</v>
      </c>
      <c r="D42" s="58">
        <f t="shared" si="1"/>
        <v>9.8134492865977929</v>
      </c>
      <c r="E42" s="58">
        <f t="shared" si="2"/>
        <v>1.5558809169500591</v>
      </c>
      <c r="F42" s="58">
        <f t="shared" si="3"/>
        <v>0.15854577442764414</v>
      </c>
      <c r="G42" s="57"/>
    </row>
    <row r="43" spans="1:7" x14ac:dyDescent="0.25">
      <c r="A43" s="23">
        <v>41739</v>
      </c>
      <c r="B43" s="56">
        <v>627.50250000000005</v>
      </c>
      <c r="C43" s="58">
        <f t="shared" si="0"/>
        <v>626.05211908304989</v>
      </c>
      <c r="D43" s="58">
        <f t="shared" si="1"/>
        <v>9.8134492865977929</v>
      </c>
      <c r="E43" s="58">
        <f t="shared" si="2"/>
        <v>1.4503809169501665</v>
      </c>
      <c r="F43" s="58">
        <f t="shared" si="3"/>
        <v>0.14779522210716967</v>
      </c>
      <c r="G43" s="57"/>
    </row>
    <row r="44" spans="1:7" x14ac:dyDescent="0.25">
      <c r="A44" s="23">
        <v>41769</v>
      </c>
      <c r="B44" s="56">
        <v>627.49824999999998</v>
      </c>
      <c r="C44" s="58">
        <f t="shared" si="0"/>
        <v>626.05211908304989</v>
      </c>
      <c r="D44" s="58">
        <f t="shared" si="1"/>
        <v>9.8134492865977929</v>
      </c>
      <c r="E44" s="58">
        <f t="shared" si="2"/>
        <v>1.4461309169500964</v>
      </c>
      <c r="F44" s="58">
        <f t="shared" si="3"/>
        <v>0.14736214298524725</v>
      </c>
      <c r="G44" s="57"/>
    </row>
    <row r="45" spans="1:7" x14ac:dyDescent="0.25">
      <c r="A45" s="24">
        <v>41800</v>
      </c>
      <c r="B45" s="56">
        <v>627.43124999999998</v>
      </c>
      <c r="C45" s="58">
        <f t="shared" si="0"/>
        <v>626.05211908304989</v>
      </c>
      <c r="D45" s="58">
        <f t="shared" si="1"/>
        <v>9.8134492865977929</v>
      </c>
      <c r="E45" s="58">
        <f t="shared" si="2"/>
        <v>1.3791309169500892</v>
      </c>
      <c r="F45" s="58">
        <f t="shared" si="3"/>
        <v>0.14053477800446429</v>
      </c>
      <c r="G45" s="57"/>
    </row>
    <row r="46" spans="1:7" x14ac:dyDescent="0.25">
      <c r="A46" s="23">
        <v>41830</v>
      </c>
      <c r="B46" s="56">
        <v>627.43500000000006</v>
      </c>
      <c r="C46" s="58">
        <f t="shared" si="0"/>
        <v>626.05211908304989</v>
      </c>
      <c r="D46" s="58">
        <f t="shared" si="1"/>
        <v>9.8134492865977929</v>
      </c>
      <c r="E46" s="58">
        <f t="shared" si="2"/>
        <v>1.382880916950171</v>
      </c>
      <c r="F46" s="58">
        <f t="shared" si="3"/>
        <v>0.1409169066414567</v>
      </c>
      <c r="G46" s="57"/>
    </row>
    <row r="47" spans="1:7" x14ac:dyDescent="0.25">
      <c r="A47" s="23">
        <v>41861</v>
      </c>
      <c r="B47" s="56">
        <v>627.48500000000001</v>
      </c>
      <c r="C47" s="58">
        <f t="shared" si="0"/>
        <v>626.05211908304989</v>
      </c>
      <c r="D47" s="58">
        <f t="shared" si="1"/>
        <v>9.8134492865977929</v>
      </c>
      <c r="E47" s="58">
        <f t="shared" si="2"/>
        <v>1.4328809169501255</v>
      </c>
      <c r="F47" s="58">
        <f t="shared" si="3"/>
        <v>0.14601195513457313</v>
      </c>
      <c r="G47" s="57"/>
    </row>
    <row r="48" spans="1:7" x14ac:dyDescent="0.25">
      <c r="A48" s="23">
        <v>41892</v>
      </c>
      <c r="B48" s="56">
        <v>627.45499999999993</v>
      </c>
      <c r="C48" s="58">
        <f t="shared" si="0"/>
        <v>626.05211908304989</v>
      </c>
      <c r="D48" s="58">
        <f t="shared" si="1"/>
        <v>9.8134492865977929</v>
      </c>
      <c r="E48" s="58">
        <f t="shared" si="2"/>
        <v>1.4028809169500391</v>
      </c>
      <c r="F48" s="58">
        <f t="shared" si="3"/>
        <v>0.14295492603869167</v>
      </c>
      <c r="G48" s="57"/>
    </row>
    <row r="49" spans="1:7" x14ac:dyDescent="0.25">
      <c r="A49" s="23">
        <v>41922</v>
      </c>
      <c r="B49" s="56">
        <v>627.4162500000001</v>
      </c>
      <c r="C49" s="58">
        <f t="shared" si="0"/>
        <v>626.05211908304989</v>
      </c>
      <c r="D49" s="58">
        <f t="shared" si="1"/>
        <v>9.8134492865977929</v>
      </c>
      <c r="E49" s="58">
        <f t="shared" si="2"/>
        <v>1.3641309169502165</v>
      </c>
      <c r="F49" s="58">
        <f t="shared" si="3"/>
        <v>0.13900626345654093</v>
      </c>
      <c r="G49" s="57"/>
    </row>
    <row r="50" spans="1:7" x14ac:dyDescent="0.25">
      <c r="A50" s="23">
        <v>41953</v>
      </c>
      <c r="B50" s="56">
        <v>627.41499999999996</v>
      </c>
      <c r="C50" s="58">
        <f t="shared" si="0"/>
        <v>626.05211908304989</v>
      </c>
      <c r="D50" s="58">
        <f t="shared" si="1"/>
        <v>9.8134492865977929</v>
      </c>
      <c r="E50" s="58">
        <f t="shared" si="2"/>
        <v>1.3628809169500755</v>
      </c>
      <c r="F50" s="58">
        <f t="shared" si="3"/>
        <v>0.13887888724419856</v>
      </c>
      <c r="G50" s="57"/>
    </row>
    <row r="51" spans="1:7" x14ac:dyDescent="0.25">
      <c r="A51" s="23">
        <v>41983</v>
      </c>
      <c r="B51" s="56">
        <v>627.4162500000001</v>
      </c>
      <c r="C51" s="58">
        <f t="shared" si="0"/>
        <v>626.05211908304989</v>
      </c>
      <c r="D51" s="58">
        <f t="shared" si="1"/>
        <v>9.8134492865977929</v>
      </c>
      <c r="E51" s="58">
        <f t="shared" si="2"/>
        <v>1.3641309169502165</v>
      </c>
      <c r="F51" s="58">
        <f t="shared" si="3"/>
        <v>0.13900626345654093</v>
      </c>
      <c r="G51" s="57"/>
    </row>
    <row r="52" spans="1:7" x14ac:dyDescent="0.25">
      <c r="A52" s="23">
        <v>42014</v>
      </c>
      <c r="B52" s="56">
        <v>627.54500000000007</v>
      </c>
      <c r="C52" s="58">
        <f t="shared" si="0"/>
        <v>626.05211908304989</v>
      </c>
      <c r="D52" s="58">
        <f t="shared" si="1"/>
        <v>9.8134492865977929</v>
      </c>
      <c r="E52" s="58">
        <f t="shared" si="2"/>
        <v>1.4928809169501847</v>
      </c>
      <c r="F52" s="58">
        <f t="shared" si="3"/>
        <v>0.15212601332632442</v>
      </c>
      <c r="G52" s="57"/>
    </row>
    <row r="53" spans="1:7" x14ac:dyDescent="0.25">
      <c r="A53" s="24">
        <v>42045</v>
      </c>
      <c r="B53" s="56">
        <v>627.505</v>
      </c>
      <c r="C53" s="58">
        <f t="shared" si="0"/>
        <v>626.05211908304989</v>
      </c>
      <c r="D53" s="58">
        <f t="shared" si="1"/>
        <v>9.8134492865977929</v>
      </c>
      <c r="E53" s="58">
        <f t="shared" si="2"/>
        <v>1.4528809169501073</v>
      </c>
      <c r="F53" s="58">
        <f t="shared" si="3"/>
        <v>0.1480499745318197</v>
      </c>
      <c r="G53" s="57"/>
    </row>
    <row r="54" spans="1:7" x14ac:dyDescent="0.25">
      <c r="A54" s="23">
        <v>42073</v>
      </c>
      <c r="B54" s="56">
        <v>627.3275000000001</v>
      </c>
      <c r="C54" s="58">
        <f t="shared" si="0"/>
        <v>626.05211908304989</v>
      </c>
      <c r="D54" s="58">
        <f t="shared" si="1"/>
        <v>9.8134492865977929</v>
      </c>
      <c r="E54" s="58">
        <f t="shared" si="2"/>
        <v>1.2753809169502119</v>
      </c>
      <c r="F54" s="58">
        <f t="shared" si="3"/>
        <v>0.1299625523812506</v>
      </c>
      <c r="G54" s="57"/>
    </row>
    <row r="55" spans="1:7" x14ac:dyDescent="0.25">
      <c r="A55" s="23">
        <v>42104</v>
      </c>
      <c r="B55" s="56">
        <v>627.27500000000009</v>
      </c>
      <c r="C55" s="58">
        <f t="shared" si="0"/>
        <v>626.05211908304989</v>
      </c>
      <c r="D55" s="58">
        <f t="shared" si="1"/>
        <v>9.8134492865977929</v>
      </c>
      <c r="E55" s="58">
        <f t="shared" si="2"/>
        <v>1.2228809169502028</v>
      </c>
      <c r="F55" s="58">
        <f t="shared" si="3"/>
        <v>0.12461275146347256</v>
      </c>
      <c r="G55" s="57"/>
    </row>
    <row r="56" spans="1:7" x14ac:dyDescent="0.25">
      <c r="A56" s="23">
        <v>42134</v>
      </c>
      <c r="B56" s="56">
        <v>627.21375</v>
      </c>
      <c r="C56" s="58">
        <f t="shared" si="0"/>
        <v>626.05211908304989</v>
      </c>
      <c r="D56" s="58">
        <f t="shared" si="1"/>
        <v>9.8134492865977929</v>
      </c>
      <c r="E56" s="58">
        <f t="shared" si="2"/>
        <v>1.1616309169501164</v>
      </c>
      <c r="F56" s="58">
        <f t="shared" si="3"/>
        <v>0.11837131705939045</v>
      </c>
      <c r="G56" s="57"/>
    </row>
    <row r="57" spans="1:7" x14ac:dyDescent="0.25">
      <c r="A57" s="23">
        <v>42165</v>
      </c>
      <c r="B57" s="56">
        <v>627.16750000000002</v>
      </c>
      <c r="C57" s="58">
        <f t="shared" si="0"/>
        <v>626.05211908304989</v>
      </c>
      <c r="D57" s="58">
        <f t="shared" si="1"/>
        <v>9.8134492865977929</v>
      </c>
      <c r="E57" s="58">
        <f t="shared" si="2"/>
        <v>1.1153809169501301</v>
      </c>
      <c r="F57" s="58">
        <f t="shared" si="3"/>
        <v>0.11365839720325487</v>
      </c>
      <c r="G57" s="57"/>
    </row>
    <row r="58" spans="1:7" x14ac:dyDescent="0.25">
      <c r="A58" s="23">
        <v>42195</v>
      </c>
      <c r="B58" s="56">
        <v>611.47714285714289</v>
      </c>
      <c r="C58" s="58">
        <f t="shared" si="0"/>
        <v>626.05211908304989</v>
      </c>
      <c r="D58" s="58">
        <f t="shared" si="1"/>
        <v>9.8134492865977929</v>
      </c>
      <c r="E58" s="58">
        <f t="shared" si="2"/>
        <v>-14.574976225906994</v>
      </c>
      <c r="F58" s="58">
        <f t="shared" si="3"/>
        <v>-1.4852042131416534</v>
      </c>
      <c r="G58" s="57"/>
    </row>
    <row r="59" spans="1:7" x14ac:dyDescent="0.25">
      <c r="A59" s="23">
        <v>42226</v>
      </c>
      <c r="B59" s="56">
        <v>626.94500000000005</v>
      </c>
      <c r="C59" s="58">
        <f t="shared" si="0"/>
        <v>626.05211908304989</v>
      </c>
      <c r="D59" s="58">
        <f t="shared" si="1"/>
        <v>9.8134492865977929</v>
      </c>
      <c r="E59" s="58">
        <f t="shared" si="2"/>
        <v>0.89288091695016192</v>
      </c>
      <c r="F59" s="58">
        <f t="shared" si="3"/>
        <v>9.0985431408869402E-2</v>
      </c>
      <c r="G59" s="57"/>
    </row>
    <row r="60" spans="1:7" x14ac:dyDescent="0.25">
      <c r="A60" s="23">
        <v>42257</v>
      </c>
      <c r="B60" s="56">
        <v>627.08249999999998</v>
      </c>
      <c r="C60" s="58">
        <f t="shared" si="0"/>
        <v>626.05211908304989</v>
      </c>
      <c r="D60" s="58">
        <f t="shared" si="1"/>
        <v>9.8134492865977929</v>
      </c>
      <c r="E60" s="58">
        <f t="shared" si="2"/>
        <v>1.0303809169500937</v>
      </c>
      <c r="F60" s="58">
        <f t="shared" si="3"/>
        <v>0.10499681476494536</v>
      </c>
      <c r="G60" s="57"/>
    </row>
    <row r="61" spans="1:7" x14ac:dyDescent="0.25">
      <c r="A61" s="24">
        <v>42287</v>
      </c>
      <c r="B61" s="56">
        <v>626.89750000000004</v>
      </c>
      <c r="C61" s="58">
        <f t="shared" si="0"/>
        <v>626.05211908304989</v>
      </c>
      <c r="D61" s="58">
        <f t="shared" si="1"/>
        <v>9.8134492865977929</v>
      </c>
      <c r="E61" s="58">
        <f t="shared" si="2"/>
        <v>0.84538091695014828</v>
      </c>
      <c r="F61" s="58">
        <f t="shared" si="3"/>
        <v>8.6145135340403009E-2</v>
      </c>
      <c r="G61" s="57"/>
    </row>
    <row r="62" spans="1:7" x14ac:dyDescent="0.25">
      <c r="A62" s="23">
        <v>42318</v>
      </c>
      <c r="B62" s="56">
        <v>626.84</v>
      </c>
      <c r="C62" s="58">
        <f t="shared" si="0"/>
        <v>626.05211908304989</v>
      </c>
      <c r="D62" s="58">
        <f t="shared" si="1"/>
        <v>9.8134492865977929</v>
      </c>
      <c r="E62" s="58">
        <f t="shared" si="2"/>
        <v>0.78788091695014373</v>
      </c>
      <c r="F62" s="58">
        <f t="shared" si="3"/>
        <v>8.028582957331333E-2</v>
      </c>
      <c r="G62" s="57"/>
    </row>
    <row r="63" spans="1:7" x14ac:dyDescent="0.25">
      <c r="A63" s="23">
        <v>42348</v>
      </c>
      <c r="B63" s="56">
        <v>626.76750000000015</v>
      </c>
      <c r="C63" s="58">
        <f t="shared" si="0"/>
        <v>626.05211908304989</v>
      </c>
      <c r="D63" s="58">
        <f t="shared" si="1"/>
        <v>9.8134492865977929</v>
      </c>
      <c r="E63" s="58">
        <f t="shared" si="2"/>
        <v>0.71538091695026651</v>
      </c>
      <c r="F63" s="58">
        <f t="shared" si="3"/>
        <v>7.2898009258300311E-2</v>
      </c>
      <c r="G63" s="57"/>
    </row>
    <row r="64" spans="1:7" x14ac:dyDescent="0.25">
      <c r="A64" s="23">
        <v>42379</v>
      </c>
      <c r="B64" s="56">
        <v>626.70625000000007</v>
      </c>
      <c r="C64" s="58">
        <f t="shared" si="0"/>
        <v>626.05211908304989</v>
      </c>
      <c r="D64" s="58">
        <f t="shared" si="1"/>
        <v>9.8134492865977929</v>
      </c>
      <c r="E64" s="58">
        <f t="shared" si="2"/>
        <v>0.65413091695018011</v>
      </c>
      <c r="F64" s="58">
        <f t="shared" si="3"/>
        <v>6.665657485421822E-2</v>
      </c>
      <c r="G64" s="57"/>
    </row>
    <row r="65" spans="1:7" x14ac:dyDescent="0.25">
      <c r="A65" s="23">
        <v>42410</v>
      </c>
      <c r="B65" s="56">
        <v>626.63499999999999</v>
      </c>
      <c r="C65" s="58">
        <f t="shared" si="0"/>
        <v>626.05211908304989</v>
      </c>
      <c r="D65" s="58">
        <f t="shared" si="1"/>
        <v>9.8134492865977929</v>
      </c>
      <c r="E65" s="58">
        <f t="shared" si="2"/>
        <v>0.5828809169501028</v>
      </c>
      <c r="F65" s="58">
        <f t="shared" si="3"/>
        <v>5.939613075151283E-2</v>
      </c>
      <c r="G65" s="57"/>
    </row>
    <row r="66" spans="1:7" x14ac:dyDescent="0.25">
      <c r="A66" s="23">
        <v>42439</v>
      </c>
      <c r="B66" s="56">
        <v>626.61249999999995</v>
      </c>
      <c r="C66" s="58">
        <f t="shared" si="0"/>
        <v>626.05211908304989</v>
      </c>
      <c r="D66" s="58">
        <f t="shared" si="1"/>
        <v>9.8134492865977929</v>
      </c>
      <c r="E66" s="58">
        <f t="shared" si="2"/>
        <v>0.56038091695006642</v>
      </c>
      <c r="F66" s="58">
        <f t="shared" si="3"/>
        <v>5.7103358929604643E-2</v>
      </c>
      <c r="G66" s="57"/>
    </row>
    <row r="67" spans="1:7" x14ac:dyDescent="0.25">
      <c r="A67" s="23">
        <v>42470</v>
      </c>
      <c r="B67" s="56">
        <v>626.57625000000007</v>
      </c>
      <c r="C67" s="58">
        <f t="shared" si="0"/>
        <v>626.05211908304989</v>
      </c>
      <c r="D67" s="58">
        <f t="shared" si="1"/>
        <v>9.8134492865977929</v>
      </c>
      <c r="E67" s="58">
        <f t="shared" si="2"/>
        <v>0.52413091695018466</v>
      </c>
      <c r="F67" s="58">
        <f t="shared" si="3"/>
        <v>5.3409448772103928E-2</v>
      </c>
      <c r="G67" s="57"/>
    </row>
    <row r="68" spans="1:7" x14ac:dyDescent="0.25">
      <c r="A68" s="23">
        <v>42500</v>
      </c>
      <c r="B68" s="56">
        <v>626.44625000000008</v>
      </c>
      <c r="C68" s="58">
        <f t="shared" si="0"/>
        <v>626.05211908304989</v>
      </c>
      <c r="D68" s="58">
        <f t="shared" si="1"/>
        <v>9.8134492865977929</v>
      </c>
      <c r="E68" s="58">
        <f t="shared" si="2"/>
        <v>0.3941309169501892</v>
      </c>
      <c r="F68" s="58">
        <f t="shared" si="3"/>
        <v>4.0162322689989642E-2</v>
      </c>
      <c r="G68" s="57"/>
    </row>
    <row r="69" spans="1:7" x14ac:dyDescent="0.25">
      <c r="A69" s="24">
        <v>42531</v>
      </c>
      <c r="B69" s="56">
        <v>610.71285714285716</v>
      </c>
      <c r="C69" s="58">
        <f t="shared" ref="C69:C132" si="4">AVERAGE($B$4:$B$174)</f>
        <v>626.05211908304989</v>
      </c>
      <c r="D69" s="58">
        <f t="shared" ref="D69:D132" si="5">_xlfn.STDEV.S($B$4:$B$174)</f>
        <v>9.8134492865977929</v>
      </c>
      <c r="E69" s="58">
        <f t="shared" ref="E69:E132" si="6">B69-C69</f>
        <v>-15.339261940192728</v>
      </c>
      <c r="F69" s="58">
        <f t="shared" ref="F69:F132" si="7">E69/D69</f>
        <v>-1.5630856686793628</v>
      </c>
      <c r="G69" s="57"/>
    </row>
    <row r="70" spans="1:7" x14ac:dyDescent="0.25">
      <c r="A70" s="23">
        <v>42561</v>
      </c>
      <c r="B70" s="56">
        <v>610.62571428571425</v>
      </c>
      <c r="C70" s="58">
        <f t="shared" si="4"/>
        <v>626.05211908304989</v>
      </c>
      <c r="D70" s="58">
        <f t="shared" si="5"/>
        <v>9.8134492865977929</v>
      </c>
      <c r="E70" s="58">
        <f t="shared" si="6"/>
        <v>-15.426404797335636</v>
      </c>
      <c r="F70" s="58">
        <f t="shared" si="7"/>
        <v>-1.5719656103388076</v>
      </c>
      <c r="G70" s="57"/>
    </row>
    <row r="71" spans="1:7" x14ac:dyDescent="0.25">
      <c r="A71" s="23">
        <v>42592</v>
      </c>
      <c r="B71" s="56">
        <v>626.23625000000004</v>
      </c>
      <c r="C71" s="58">
        <f t="shared" si="4"/>
        <v>626.05211908304989</v>
      </c>
      <c r="D71" s="58">
        <f t="shared" si="5"/>
        <v>9.8134492865977929</v>
      </c>
      <c r="E71" s="58">
        <f t="shared" si="6"/>
        <v>0.18413091695015282</v>
      </c>
      <c r="F71" s="58">
        <f t="shared" si="7"/>
        <v>1.8763119018877495E-2</v>
      </c>
      <c r="G71" s="57"/>
    </row>
    <row r="72" spans="1:7" x14ac:dyDescent="0.25">
      <c r="A72" s="23">
        <v>42623</v>
      </c>
      <c r="B72" s="56">
        <v>626.23249999999996</v>
      </c>
      <c r="C72" s="58">
        <f t="shared" si="4"/>
        <v>626.05211908304989</v>
      </c>
      <c r="D72" s="58">
        <f t="shared" si="5"/>
        <v>9.8134492865977929</v>
      </c>
      <c r="E72" s="58">
        <f t="shared" si="6"/>
        <v>0.18038091695007097</v>
      </c>
      <c r="F72" s="58">
        <f t="shared" si="7"/>
        <v>1.8380990381885072E-2</v>
      </c>
      <c r="G72" s="57"/>
    </row>
    <row r="73" spans="1:7" x14ac:dyDescent="0.25">
      <c r="A73" s="23">
        <v>42653</v>
      </c>
      <c r="B73" s="56">
        <v>626.16250000000002</v>
      </c>
      <c r="C73" s="58">
        <f t="shared" si="4"/>
        <v>626.05211908304989</v>
      </c>
      <c r="D73" s="58">
        <f t="shared" si="5"/>
        <v>9.8134492865977929</v>
      </c>
      <c r="E73" s="58">
        <f t="shared" si="6"/>
        <v>0.11038091695013463</v>
      </c>
      <c r="F73" s="58">
        <f t="shared" si="7"/>
        <v>1.124792249152208E-2</v>
      </c>
      <c r="G73" s="57"/>
    </row>
    <row r="74" spans="1:7" x14ac:dyDescent="0.25">
      <c r="A74" s="23">
        <v>42684</v>
      </c>
      <c r="B74" s="56">
        <v>626.1712500000001</v>
      </c>
      <c r="C74" s="58">
        <f t="shared" si="4"/>
        <v>626.05211908304989</v>
      </c>
      <c r="D74" s="58">
        <f t="shared" si="5"/>
        <v>9.8134492865977929</v>
      </c>
      <c r="E74" s="58">
        <f t="shared" si="6"/>
        <v>0.11913091695021194</v>
      </c>
      <c r="F74" s="58">
        <f t="shared" si="7"/>
        <v>1.2139555977826143E-2</v>
      </c>
      <c r="G74" s="57"/>
    </row>
    <row r="75" spans="1:7" x14ac:dyDescent="0.25">
      <c r="A75" s="23">
        <v>42714</v>
      </c>
      <c r="B75" s="56">
        <v>625.64</v>
      </c>
      <c r="C75" s="58">
        <f t="shared" si="4"/>
        <v>626.05211908304989</v>
      </c>
      <c r="D75" s="58">
        <f t="shared" si="5"/>
        <v>9.8134492865977929</v>
      </c>
      <c r="E75" s="58">
        <f t="shared" si="6"/>
        <v>-0.41211908304990175</v>
      </c>
      <c r="F75" s="58">
        <f t="shared" si="7"/>
        <v>-4.1995334261596677E-2</v>
      </c>
      <c r="G75" s="57"/>
    </row>
    <row r="76" spans="1:7" x14ac:dyDescent="0.25">
      <c r="A76" s="23">
        <v>42745</v>
      </c>
      <c r="B76" s="56">
        <v>625.85250000000008</v>
      </c>
      <c r="C76" s="58">
        <f t="shared" si="4"/>
        <v>626.05211908304989</v>
      </c>
      <c r="D76" s="58">
        <f t="shared" si="5"/>
        <v>9.8134492865977929</v>
      </c>
      <c r="E76" s="58">
        <f t="shared" si="6"/>
        <v>-0.1996190830498108</v>
      </c>
      <c r="F76" s="58">
        <f t="shared" si="7"/>
        <v>-2.0341378165822915E-2</v>
      </c>
      <c r="G76" s="57"/>
    </row>
    <row r="77" spans="1:7" x14ac:dyDescent="0.25">
      <c r="A77" s="24">
        <v>42776</v>
      </c>
      <c r="B77" s="56">
        <v>626.45500000000004</v>
      </c>
      <c r="C77" s="58">
        <f t="shared" si="4"/>
        <v>626.05211908304989</v>
      </c>
      <c r="D77" s="58">
        <f t="shared" si="5"/>
        <v>9.8134492865977929</v>
      </c>
      <c r="E77" s="58">
        <f t="shared" si="6"/>
        <v>0.40288091695015282</v>
      </c>
      <c r="F77" s="58">
        <f t="shared" si="7"/>
        <v>4.1053956176282116E-2</v>
      </c>
      <c r="G77" s="57"/>
    </row>
    <row r="78" spans="1:7" x14ac:dyDescent="0.25">
      <c r="A78" s="23">
        <v>42804</v>
      </c>
      <c r="B78" s="56">
        <v>626.48249999999996</v>
      </c>
      <c r="C78" s="58">
        <f t="shared" si="4"/>
        <v>626.05211908304989</v>
      </c>
      <c r="D78" s="58">
        <f t="shared" si="5"/>
        <v>9.8134492865977929</v>
      </c>
      <c r="E78" s="58">
        <f t="shared" si="6"/>
        <v>0.43038091695007097</v>
      </c>
      <c r="F78" s="58">
        <f t="shared" si="7"/>
        <v>4.3856232847490358E-2</v>
      </c>
      <c r="G78" s="57"/>
    </row>
    <row r="79" spans="1:7" x14ac:dyDescent="0.25">
      <c r="A79" s="23">
        <v>42835</v>
      </c>
      <c r="B79" s="56">
        <v>626.41</v>
      </c>
      <c r="C79" s="58">
        <f t="shared" si="4"/>
        <v>626.05211908304989</v>
      </c>
      <c r="D79" s="58">
        <f t="shared" si="5"/>
        <v>9.8134492865977929</v>
      </c>
      <c r="E79" s="58">
        <f t="shared" si="6"/>
        <v>0.35788091695008006</v>
      </c>
      <c r="F79" s="58">
        <f t="shared" si="7"/>
        <v>3.6468412532465751E-2</v>
      </c>
      <c r="G79" s="57"/>
    </row>
    <row r="80" spans="1:7" x14ac:dyDescent="0.25">
      <c r="A80" s="23">
        <v>42865</v>
      </c>
      <c r="B80" s="56">
        <v>626.31312500000001</v>
      </c>
      <c r="C80" s="58">
        <f t="shared" si="4"/>
        <v>626.05211908304989</v>
      </c>
      <c r="D80" s="58">
        <f t="shared" si="5"/>
        <v>9.8134492865977929</v>
      </c>
      <c r="E80" s="58">
        <f t="shared" si="6"/>
        <v>0.26100591695012554</v>
      </c>
      <c r="F80" s="58">
        <f t="shared" si="7"/>
        <v>2.6596756077048339E-2</v>
      </c>
      <c r="G80" s="57"/>
    </row>
    <row r="81" spans="1:7" x14ac:dyDescent="0.25">
      <c r="A81" s="23">
        <v>42896</v>
      </c>
      <c r="B81" s="56">
        <v>626.29875000000004</v>
      </c>
      <c r="C81" s="58">
        <f t="shared" si="4"/>
        <v>626.05211908304989</v>
      </c>
      <c r="D81" s="58">
        <f t="shared" si="5"/>
        <v>9.8134492865977929</v>
      </c>
      <c r="E81" s="58">
        <f t="shared" si="6"/>
        <v>0.24663091695015282</v>
      </c>
      <c r="F81" s="58">
        <f t="shared" si="7"/>
        <v>2.5131929635278816E-2</v>
      </c>
      <c r="G81" s="57"/>
    </row>
    <row r="82" spans="1:7" x14ac:dyDescent="0.25">
      <c r="A82" s="23">
        <v>42926</v>
      </c>
      <c r="B82" s="56">
        <v>626.208125</v>
      </c>
      <c r="C82" s="58">
        <f t="shared" si="4"/>
        <v>626.05211908304989</v>
      </c>
      <c r="D82" s="58">
        <f t="shared" si="5"/>
        <v>9.8134492865977929</v>
      </c>
      <c r="E82" s="58">
        <f t="shared" si="6"/>
        <v>0.15600591695010735</v>
      </c>
      <c r="F82" s="58">
        <f t="shared" si="7"/>
        <v>1.5897154241492264E-2</v>
      </c>
      <c r="G82" s="57"/>
    </row>
    <row r="83" spans="1:7" x14ac:dyDescent="0.25">
      <c r="A83" s="23">
        <v>42957</v>
      </c>
      <c r="B83" s="56">
        <v>632.3257142857143</v>
      </c>
      <c r="C83" s="58">
        <f t="shared" si="4"/>
        <v>626.05211908304989</v>
      </c>
      <c r="D83" s="58">
        <f t="shared" si="5"/>
        <v>9.8134492865977929</v>
      </c>
      <c r="E83" s="58">
        <f t="shared" si="6"/>
        <v>6.27359520266441</v>
      </c>
      <c r="F83" s="58">
        <f t="shared" si="7"/>
        <v>0.63928543567573592</v>
      </c>
      <c r="G83" s="57"/>
    </row>
    <row r="84" spans="1:7" x14ac:dyDescent="0.25">
      <c r="A84" s="23">
        <v>42988</v>
      </c>
      <c r="B84" s="56">
        <v>632.29714285714283</v>
      </c>
      <c r="C84" s="58">
        <f t="shared" si="4"/>
        <v>626.05211908304989</v>
      </c>
      <c r="D84" s="58">
        <f t="shared" si="5"/>
        <v>9.8134492865977929</v>
      </c>
      <c r="E84" s="58">
        <f t="shared" si="6"/>
        <v>6.2450237740929424</v>
      </c>
      <c r="F84" s="58">
        <f t="shared" si="7"/>
        <v>0.63637397939394846</v>
      </c>
      <c r="G84" s="57"/>
    </row>
    <row r="85" spans="1:7" x14ac:dyDescent="0.25">
      <c r="A85" s="24">
        <v>43018</v>
      </c>
      <c r="B85" s="56">
        <v>632.24571428571437</v>
      </c>
      <c r="C85" s="58">
        <f t="shared" si="4"/>
        <v>626.05211908304989</v>
      </c>
      <c r="D85" s="58">
        <f t="shared" si="5"/>
        <v>9.8134492865977929</v>
      </c>
      <c r="E85" s="58">
        <f t="shared" si="6"/>
        <v>6.1935952026644827</v>
      </c>
      <c r="F85" s="58">
        <f t="shared" si="7"/>
        <v>0.63113335808674964</v>
      </c>
      <c r="G85" s="57"/>
    </row>
    <row r="86" spans="1:7" x14ac:dyDescent="0.25">
      <c r="A86" s="23">
        <v>43049</v>
      </c>
      <c r="B86" s="56">
        <v>632.16428571428582</v>
      </c>
      <c r="C86" s="58">
        <f t="shared" si="4"/>
        <v>626.05211908304989</v>
      </c>
      <c r="D86" s="58">
        <f t="shared" si="5"/>
        <v>9.8134492865977929</v>
      </c>
      <c r="E86" s="58">
        <f t="shared" si="6"/>
        <v>6.1121666312359366</v>
      </c>
      <c r="F86" s="58">
        <f t="shared" si="7"/>
        <v>0.62283570768366936</v>
      </c>
      <c r="G86" s="57"/>
    </row>
    <row r="87" spans="1:7" x14ac:dyDescent="0.25">
      <c r="A87" s="23">
        <v>43079</v>
      </c>
      <c r="B87" s="56">
        <v>632.13285714285723</v>
      </c>
      <c r="C87" s="58">
        <f t="shared" si="4"/>
        <v>626.05211908304989</v>
      </c>
      <c r="D87" s="58">
        <f t="shared" si="5"/>
        <v>9.8134492865977929</v>
      </c>
      <c r="E87" s="58">
        <f t="shared" si="6"/>
        <v>6.0807380598073451</v>
      </c>
      <c r="F87" s="58">
        <f t="shared" si="7"/>
        <v>0.61963310577370545</v>
      </c>
      <c r="G87" s="57"/>
    </row>
    <row r="88" spans="1:7" x14ac:dyDescent="0.25">
      <c r="A88" s="23">
        <v>43110</v>
      </c>
      <c r="B88" s="56">
        <v>632.10142857142876</v>
      </c>
      <c r="C88" s="58">
        <f t="shared" si="4"/>
        <v>626.05211908304989</v>
      </c>
      <c r="D88" s="58">
        <f t="shared" si="5"/>
        <v>9.8134492865977929</v>
      </c>
      <c r="E88" s="58">
        <f t="shared" si="6"/>
        <v>6.0493094883788672</v>
      </c>
      <c r="F88" s="58">
        <f t="shared" si="7"/>
        <v>0.6164305038637532</v>
      </c>
      <c r="G88" s="57"/>
    </row>
    <row r="89" spans="1:7" x14ac:dyDescent="0.25">
      <c r="A89" s="23">
        <v>43141</v>
      </c>
      <c r="B89" s="56">
        <v>632.10571428571427</v>
      </c>
      <c r="C89" s="58">
        <f t="shared" si="4"/>
        <v>626.05211908304989</v>
      </c>
      <c r="D89" s="58">
        <f t="shared" si="5"/>
        <v>9.8134492865977929</v>
      </c>
      <c r="E89" s="58">
        <f t="shared" si="6"/>
        <v>6.0535952026643827</v>
      </c>
      <c r="F89" s="58">
        <f t="shared" si="7"/>
        <v>0.61686722230600044</v>
      </c>
      <c r="G89" s="57"/>
    </row>
    <row r="90" spans="1:7" x14ac:dyDescent="0.25">
      <c r="A90" s="23">
        <v>43169</v>
      </c>
      <c r="B90" s="56">
        <v>632.10857142857151</v>
      </c>
      <c r="C90" s="58">
        <f t="shared" si="4"/>
        <v>626.05211908304989</v>
      </c>
      <c r="D90" s="58">
        <f t="shared" si="5"/>
        <v>9.8134492865977929</v>
      </c>
      <c r="E90" s="58">
        <f t="shared" si="6"/>
        <v>6.0564523455216204</v>
      </c>
      <c r="F90" s="58">
        <f t="shared" si="7"/>
        <v>0.61715836793418855</v>
      </c>
      <c r="G90" s="57"/>
    </row>
    <row r="91" spans="1:7" x14ac:dyDescent="0.25">
      <c r="A91" s="23">
        <v>43200</v>
      </c>
      <c r="B91" s="56">
        <v>632.10428571428577</v>
      </c>
      <c r="C91" s="58">
        <f t="shared" si="4"/>
        <v>626.05211908304989</v>
      </c>
      <c r="D91" s="58">
        <f t="shared" si="5"/>
        <v>9.8134492865977929</v>
      </c>
      <c r="E91" s="58">
        <f t="shared" si="6"/>
        <v>6.0521666312358775</v>
      </c>
      <c r="F91" s="58">
        <f t="shared" si="7"/>
        <v>0.6167216494919181</v>
      </c>
      <c r="G91" s="57"/>
    </row>
    <row r="92" spans="1:7" x14ac:dyDescent="0.25">
      <c r="A92" s="24">
        <v>43230</v>
      </c>
      <c r="B92" s="56">
        <v>632.02285714285711</v>
      </c>
      <c r="C92" s="58">
        <f t="shared" si="4"/>
        <v>626.05211908304989</v>
      </c>
      <c r="D92" s="58">
        <f t="shared" si="5"/>
        <v>9.8134492865977929</v>
      </c>
      <c r="E92" s="58">
        <f t="shared" si="6"/>
        <v>5.9707380598072177</v>
      </c>
      <c r="F92" s="58">
        <f t="shared" si="7"/>
        <v>0.60842399908882616</v>
      </c>
      <c r="G92" s="57"/>
    </row>
    <row r="93" spans="1:7" x14ac:dyDescent="0.25">
      <c r="A93" s="23">
        <v>43261</v>
      </c>
      <c r="B93" s="56">
        <v>608.65750000000003</v>
      </c>
      <c r="C93" s="58">
        <f t="shared" si="4"/>
        <v>626.05211908304989</v>
      </c>
      <c r="D93" s="58">
        <f t="shared" si="5"/>
        <v>9.8134492865977929</v>
      </c>
      <c r="E93" s="58">
        <f t="shared" si="6"/>
        <v>-17.394619083049861</v>
      </c>
      <c r="F93" s="58">
        <f t="shared" si="7"/>
        <v>-1.7725285549501597</v>
      </c>
      <c r="G93" s="57"/>
    </row>
    <row r="94" spans="1:7" x14ac:dyDescent="0.25">
      <c r="A94" s="23">
        <v>43291</v>
      </c>
      <c r="B94" s="56">
        <v>608.59749999999997</v>
      </c>
      <c r="C94" s="58">
        <f t="shared" si="4"/>
        <v>626.05211908304989</v>
      </c>
      <c r="D94" s="58">
        <f t="shared" si="5"/>
        <v>9.8134492865977929</v>
      </c>
      <c r="E94" s="58">
        <f t="shared" si="6"/>
        <v>-17.45461908304992</v>
      </c>
      <c r="F94" s="58">
        <f t="shared" si="7"/>
        <v>-1.7786426131419109</v>
      </c>
      <c r="G94" s="57"/>
    </row>
    <row r="95" spans="1:7" x14ac:dyDescent="0.25">
      <c r="A95" s="23">
        <v>43322</v>
      </c>
      <c r="B95" s="56">
        <v>631.8271428571428</v>
      </c>
      <c r="C95" s="58">
        <f t="shared" si="4"/>
        <v>626.05211908304989</v>
      </c>
      <c r="D95" s="58">
        <f t="shared" si="5"/>
        <v>9.8134492865977929</v>
      </c>
      <c r="E95" s="58">
        <f t="shared" si="6"/>
        <v>5.7750237740929151</v>
      </c>
      <c r="F95" s="58">
        <f t="shared" si="7"/>
        <v>0.5884805235586078</v>
      </c>
      <c r="G95" s="57"/>
    </row>
    <row r="96" spans="1:7" x14ac:dyDescent="0.25">
      <c r="A96" s="23">
        <v>43353</v>
      </c>
      <c r="B96" s="56">
        <v>631.82857142857142</v>
      </c>
      <c r="C96" s="58">
        <f t="shared" si="4"/>
        <v>626.05211908304989</v>
      </c>
      <c r="D96" s="58">
        <f t="shared" si="5"/>
        <v>9.8134492865977929</v>
      </c>
      <c r="E96" s="58">
        <f t="shared" si="6"/>
        <v>5.776452345521534</v>
      </c>
      <c r="F96" s="58">
        <f t="shared" si="7"/>
        <v>0.5886260963727018</v>
      </c>
      <c r="G96" s="57"/>
    </row>
    <row r="97" spans="1:7" x14ac:dyDescent="0.25">
      <c r="A97" s="23">
        <v>43383</v>
      </c>
      <c r="B97" s="56">
        <v>631.78857142857146</v>
      </c>
      <c r="C97" s="58">
        <f t="shared" si="4"/>
        <v>626.05211908304989</v>
      </c>
      <c r="D97" s="58">
        <f t="shared" si="5"/>
        <v>9.8134492865977929</v>
      </c>
      <c r="E97" s="58">
        <f t="shared" si="6"/>
        <v>5.7364523455215704</v>
      </c>
      <c r="F97" s="58">
        <f t="shared" si="7"/>
        <v>0.58455005757820866</v>
      </c>
      <c r="G97" s="57"/>
    </row>
    <row r="98" spans="1:7" x14ac:dyDescent="0.25">
      <c r="A98" s="23">
        <v>43414</v>
      </c>
      <c r="B98" s="56">
        <v>631.77714285714285</v>
      </c>
      <c r="C98" s="58">
        <f t="shared" si="4"/>
        <v>626.05211908304989</v>
      </c>
      <c r="D98" s="58">
        <f t="shared" si="5"/>
        <v>9.8134492865977929</v>
      </c>
      <c r="E98" s="58">
        <f t="shared" si="6"/>
        <v>5.7250237740929606</v>
      </c>
      <c r="F98" s="58">
        <f t="shared" si="7"/>
        <v>0.58338547506549132</v>
      </c>
      <c r="G98" s="57"/>
    </row>
    <row r="99" spans="1:7" x14ac:dyDescent="0.25">
      <c r="A99" s="24">
        <v>43444</v>
      </c>
      <c r="B99" s="56">
        <v>631.73857142857139</v>
      </c>
      <c r="C99" s="58">
        <f t="shared" si="4"/>
        <v>626.05211908304989</v>
      </c>
      <c r="D99" s="58">
        <f t="shared" si="5"/>
        <v>9.8134492865977929</v>
      </c>
      <c r="E99" s="58">
        <f t="shared" si="6"/>
        <v>5.6864523455215021</v>
      </c>
      <c r="F99" s="58">
        <f t="shared" si="7"/>
        <v>0.57945500908508063</v>
      </c>
      <c r="G99" s="57"/>
    </row>
    <row r="100" spans="1:7" x14ac:dyDescent="0.25">
      <c r="A100" s="23">
        <v>43475</v>
      </c>
      <c r="B100" s="56">
        <v>631.74571428571414</v>
      </c>
      <c r="C100" s="58">
        <f t="shared" si="4"/>
        <v>626.05211908304989</v>
      </c>
      <c r="D100" s="58">
        <f t="shared" si="5"/>
        <v>9.8134492865977929</v>
      </c>
      <c r="E100" s="58">
        <f t="shared" si="6"/>
        <v>5.6935952026642553</v>
      </c>
      <c r="F100" s="58">
        <f t="shared" si="7"/>
        <v>0.58018287315551587</v>
      </c>
      <c r="G100" s="57"/>
    </row>
    <row r="101" spans="1:7" x14ac:dyDescent="0.25">
      <c r="A101" s="23">
        <v>43506</v>
      </c>
      <c r="B101" s="56">
        <v>631.80857142857155</v>
      </c>
      <c r="C101" s="58">
        <f t="shared" si="4"/>
        <v>626.05211908304989</v>
      </c>
      <c r="D101" s="58">
        <f t="shared" si="5"/>
        <v>9.8134492865977929</v>
      </c>
      <c r="E101" s="58">
        <f t="shared" si="6"/>
        <v>5.7564523455216658</v>
      </c>
      <c r="F101" s="58">
        <f t="shared" si="7"/>
        <v>0.58658807697546678</v>
      </c>
      <c r="G101" s="57"/>
    </row>
    <row r="102" spans="1:7" x14ac:dyDescent="0.25">
      <c r="A102" s="23">
        <v>43534</v>
      </c>
      <c r="B102" s="56">
        <v>631.72428571428566</v>
      </c>
      <c r="C102" s="58">
        <f t="shared" si="4"/>
        <v>626.05211908304989</v>
      </c>
      <c r="D102" s="58">
        <f t="shared" si="5"/>
        <v>9.8134492865977929</v>
      </c>
      <c r="E102" s="58">
        <f t="shared" si="6"/>
        <v>5.6721666312357684</v>
      </c>
      <c r="F102" s="58">
        <f t="shared" si="7"/>
        <v>0.57799928094418696</v>
      </c>
      <c r="G102" s="57"/>
    </row>
    <row r="103" spans="1:7" x14ac:dyDescent="0.25">
      <c r="A103" s="23">
        <v>43565</v>
      </c>
      <c r="B103" s="56">
        <v>631.78428571428572</v>
      </c>
      <c r="C103" s="58">
        <f t="shared" si="4"/>
        <v>626.05211908304989</v>
      </c>
      <c r="D103" s="58">
        <f t="shared" si="5"/>
        <v>9.8134492865977929</v>
      </c>
      <c r="E103" s="58">
        <f t="shared" si="6"/>
        <v>5.7321666312358275</v>
      </c>
      <c r="F103" s="58">
        <f t="shared" si="7"/>
        <v>0.58411333913593821</v>
      </c>
      <c r="G103" s="57"/>
    </row>
    <row r="104" spans="1:7" x14ac:dyDescent="0.25">
      <c r="A104" s="23">
        <v>43595</v>
      </c>
      <c r="B104" s="56">
        <v>631.65428571428572</v>
      </c>
      <c r="C104" s="58">
        <f t="shared" si="4"/>
        <v>626.05211908304989</v>
      </c>
      <c r="D104" s="58">
        <f t="shared" si="5"/>
        <v>9.8134492865977929</v>
      </c>
      <c r="E104" s="58">
        <f t="shared" si="6"/>
        <v>5.602166631235832</v>
      </c>
      <c r="F104" s="58">
        <f t="shared" si="7"/>
        <v>0.5708662130538239</v>
      </c>
      <c r="G104" s="57"/>
    </row>
    <row r="105" spans="1:7" x14ac:dyDescent="0.25">
      <c r="A105" s="23">
        <v>43626</v>
      </c>
      <c r="B105" s="56">
        <v>614.22</v>
      </c>
      <c r="C105" s="58">
        <f t="shared" si="4"/>
        <v>626.05211908304989</v>
      </c>
      <c r="D105" s="58">
        <f t="shared" si="5"/>
        <v>9.8134492865977929</v>
      </c>
      <c r="E105" s="58">
        <f t="shared" si="6"/>
        <v>-11.832119083049861</v>
      </c>
      <c r="F105" s="58">
        <f t="shared" si="7"/>
        <v>-1.2057044100904419</v>
      </c>
      <c r="G105" s="57"/>
    </row>
    <row r="106" spans="1:7" x14ac:dyDescent="0.25">
      <c r="A106" s="24">
        <v>43656</v>
      </c>
      <c r="B106" s="56">
        <v>614.13833333333343</v>
      </c>
      <c r="C106" s="58">
        <f t="shared" si="4"/>
        <v>626.05211908304989</v>
      </c>
      <c r="D106" s="58">
        <f t="shared" si="5"/>
        <v>9.8134492865977929</v>
      </c>
      <c r="E106" s="58">
        <f t="shared" si="6"/>
        <v>-11.913785749716453</v>
      </c>
      <c r="F106" s="58">
        <f t="shared" si="7"/>
        <v>-1.2140263226291987</v>
      </c>
      <c r="G106" s="57"/>
    </row>
    <row r="107" spans="1:7" x14ac:dyDescent="0.25">
      <c r="A107" s="23">
        <v>43687</v>
      </c>
      <c r="B107" s="56">
        <v>631.45142857142855</v>
      </c>
      <c r="C107" s="58">
        <f t="shared" si="4"/>
        <v>626.05211908304989</v>
      </c>
      <c r="D107" s="58">
        <f t="shared" si="5"/>
        <v>9.8134492865977929</v>
      </c>
      <c r="E107" s="58">
        <f t="shared" si="6"/>
        <v>5.3993094883786625</v>
      </c>
      <c r="F107" s="58">
        <f t="shared" si="7"/>
        <v>0.55019487345315865</v>
      </c>
      <c r="G107" s="57"/>
    </row>
    <row r="108" spans="1:7" x14ac:dyDescent="0.25">
      <c r="A108" s="23">
        <v>43718</v>
      </c>
      <c r="B108" s="56">
        <v>631.41285714285721</v>
      </c>
      <c r="C108" s="58">
        <f t="shared" si="4"/>
        <v>626.05211908304989</v>
      </c>
      <c r="D108" s="58">
        <f t="shared" si="5"/>
        <v>9.8134492865977929</v>
      </c>
      <c r="E108" s="58">
        <f t="shared" si="6"/>
        <v>5.3607380598073178</v>
      </c>
      <c r="F108" s="58">
        <f t="shared" si="7"/>
        <v>0.54626440747275951</v>
      </c>
      <c r="G108" s="57"/>
    </row>
    <row r="109" spans="1:7" x14ac:dyDescent="0.25">
      <c r="A109" s="23">
        <v>43748</v>
      </c>
      <c r="B109" s="56">
        <v>631.39428571428573</v>
      </c>
      <c r="C109" s="58">
        <f t="shared" si="4"/>
        <v>626.05211908304989</v>
      </c>
      <c r="D109" s="58">
        <f t="shared" si="5"/>
        <v>9.8134492865977929</v>
      </c>
      <c r="E109" s="58">
        <f t="shared" si="6"/>
        <v>5.3421666312358411</v>
      </c>
      <c r="F109" s="58">
        <f t="shared" si="7"/>
        <v>0.54437196088959539</v>
      </c>
      <c r="G109" s="57"/>
    </row>
    <row r="110" spans="1:7" x14ac:dyDescent="0.25">
      <c r="A110" s="23">
        <v>43779</v>
      </c>
      <c r="B110" s="56">
        <v>631.36714285714299</v>
      </c>
      <c r="C110" s="58">
        <f t="shared" si="4"/>
        <v>626.05211908304989</v>
      </c>
      <c r="D110" s="58">
        <f t="shared" si="5"/>
        <v>9.8134492865977929</v>
      </c>
      <c r="E110" s="58">
        <f t="shared" si="6"/>
        <v>5.3150237740931061</v>
      </c>
      <c r="F110" s="58">
        <f t="shared" si="7"/>
        <v>0.54160607742191347</v>
      </c>
      <c r="G110" s="57"/>
    </row>
    <row r="111" spans="1:7" x14ac:dyDescent="0.25">
      <c r="A111" s="23">
        <v>43809</v>
      </c>
      <c r="B111" s="56">
        <v>631.36571428571438</v>
      </c>
      <c r="C111" s="58">
        <f t="shared" si="4"/>
        <v>626.05211908304989</v>
      </c>
      <c r="D111" s="58">
        <f t="shared" si="5"/>
        <v>9.8134492865977929</v>
      </c>
      <c r="E111" s="58">
        <f t="shared" si="6"/>
        <v>5.3135952026644873</v>
      </c>
      <c r="F111" s="58">
        <f t="shared" si="7"/>
        <v>0.54146050460781947</v>
      </c>
      <c r="G111" s="57"/>
    </row>
    <row r="112" spans="1:7" x14ac:dyDescent="0.25">
      <c r="A112" s="23">
        <v>43840</v>
      </c>
      <c r="B112" s="56">
        <v>631.48571428571427</v>
      </c>
      <c r="C112" s="58">
        <f t="shared" si="4"/>
        <v>626.05211908304989</v>
      </c>
      <c r="D112" s="58">
        <f t="shared" si="5"/>
        <v>9.8134492865977929</v>
      </c>
      <c r="E112" s="58">
        <f t="shared" si="6"/>
        <v>5.4335952026643781</v>
      </c>
      <c r="F112" s="58">
        <f t="shared" si="7"/>
        <v>0.5536886209912989</v>
      </c>
      <c r="G112" s="57"/>
    </row>
    <row r="113" spans="1:7" x14ac:dyDescent="0.25">
      <c r="A113" s="24">
        <v>43871</v>
      </c>
      <c r="B113" s="56">
        <v>631.56214285714293</v>
      </c>
      <c r="C113" s="58">
        <f t="shared" si="4"/>
        <v>626.05211908304989</v>
      </c>
      <c r="D113" s="58">
        <f t="shared" si="5"/>
        <v>9.8134492865977929</v>
      </c>
      <c r="E113" s="58">
        <f t="shared" si="6"/>
        <v>5.5100237740930424</v>
      </c>
      <c r="F113" s="58">
        <f t="shared" si="7"/>
        <v>0.56147676654507916</v>
      </c>
      <c r="G113" s="57"/>
    </row>
    <row r="114" spans="1:7" x14ac:dyDescent="0.25">
      <c r="A114" s="23">
        <v>43900</v>
      </c>
      <c r="B114" s="56">
        <v>633.81000000000006</v>
      </c>
      <c r="C114" s="58">
        <f t="shared" si="4"/>
        <v>626.05211908304989</v>
      </c>
      <c r="D114" s="58">
        <f t="shared" si="5"/>
        <v>9.8134492865977929</v>
      </c>
      <c r="E114" s="58">
        <f t="shared" si="6"/>
        <v>7.757880916950171</v>
      </c>
      <c r="F114" s="58">
        <f t="shared" si="7"/>
        <v>0.79053558951439151</v>
      </c>
      <c r="G114" s="57"/>
    </row>
    <row r="115" spans="1:7" x14ac:dyDescent="0.25">
      <c r="A115" s="48">
        <v>43931</v>
      </c>
      <c r="B115" s="59"/>
      <c r="C115" s="60"/>
      <c r="D115" s="60"/>
      <c r="E115" s="60"/>
      <c r="F115" s="60"/>
      <c r="G115" s="57"/>
    </row>
    <row r="116" spans="1:7" x14ac:dyDescent="0.25">
      <c r="A116" s="48">
        <v>43961</v>
      </c>
      <c r="B116" s="59"/>
      <c r="C116" s="60"/>
      <c r="D116" s="60"/>
      <c r="E116" s="60"/>
      <c r="F116" s="60"/>
      <c r="G116" s="57"/>
    </row>
    <row r="117" spans="1:7" x14ac:dyDescent="0.25">
      <c r="A117" s="48">
        <v>43992</v>
      </c>
      <c r="B117" s="59"/>
      <c r="C117" s="60"/>
      <c r="D117" s="60"/>
      <c r="E117" s="60"/>
      <c r="F117" s="60"/>
      <c r="G117" s="57"/>
    </row>
    <row r="118" spans="1:7" x14ac:dyDescent="0.25">
      <c r="A118" s="23">
        <v>44022</v>
      </c>
      <c r="B118" s="56">
        <v>599.29571428571421</v>
      </c>
      <c r="C118" s="58">
        <f t="shared" si="4"/>
        <v>626.05211908304989</v>
      </c>
      <c r="D118" s="58">
        <f t="shared" si="5"/>
        <v>9.8134492865977929</v>
      </c>
      <c r="E118" s="58">
        <f t="shared" si="6"/>
        <v>-26.756404797335676</v>
      </c>
      <c r="F118" s="58">
        <f t="shared" si="7"/>
        <v>-2.7265035988800435</v>
      </c>
      <c r="G118" s="57"/>
    </row>
    <row r="119" spans="1:7" x14ac:dyDescent="0.25">
      <c r="A119" s="23">
        <v>44053</v>
      </c>
      <c r="B119" s="56">
        <v>599.10857142857151</v>
      </c>
      <c r="C119" s="58">
        <f t="shared" si="4"/>
        <v>626.05211908304989</v>
      </c>
      <c r="D119" s="58">
        <f t="shared" si="5"/>
        <v>9.8134492865977929</v>
      </c>
      <c r="E119" s="58">
        <f t="shared" si="6"/>
        <v>-26.94354765447838</v>
      </c>
      <c r="F119" s="58">
        <f t="shared" si="7"/>
        <v>-2.7455736375257094</v>
      </c>
      <c r="G119" s="57"/>
    </row>
    <row r="120" spans="1:7" x14ac:dyDescent="0.25">
      <c r="A120" s="24">
        <v>44084</v>
      </c>
      <c r="B120" s="56">
        <v>624.18833333333339</v>
      </c>
      <c r="C120" s="58">
        <f t="shared" si="4"/>
        <v>626.05211908304989</v>
      </c>
      <c r="D120" s="58">
        <f t="shared" si="5"/>
        <v>9.8134492865977929</v>
      </c>
      <c r="E120" s="58">
        <f t="shared" si="6"/>
        <v>-1.8637857497164987</v>
      </c>
      <c r="F120" s="58">
        <f t="shared" si="7"/>
        <v>-0.18992157551187094</v>
      </c>
      <c r="G120" s="57"/>
    </row>
    <row r="121" spans="1:7" x14ac:dyDescent="0.25">
      <c r="A121" s="23">
        <v>44114</v>
      </c>
      <c r="B121" s="56">
        <v>624.23333333333335</v>
      </c>
      <c r="C121" s="58">
        <f t="shared" si="4"/>
        <v>626.05211908304989</v>
      </c>
      <c r="D121" s="58">
        <f t="shared" si="5"/>
        <v>9.8134492865977929</v>
      </c>
      <c r="E121" s="58">
        <f t="shared" si="6"/>
        <v>-1.8187857497165396</v>
      </c>
      <c r="F121" s="58">
        <f t="shared" si="7"/>
        <v>-0.18533603186806616</v>
      </c>
      <c r="G121" s="57"/>
    </row>
    <row r="122" spans="1:7" x14ac:dyDescent="0.25">
      <c r="A122" s="23">
        <v>44145</v>
      </c>
      <c r="B122" s="56">
        <v>624.57499999999993</v>
      </c>
      <c r="C122" s="58">
        <f t="shared" si="4"/>
        <v>626.05211908304989</v>
      </c>
      <c r="D122" s="58">
        <f t="shared" si="5"/>
        <v>9.8134492865977929</v>
      </c>
      <c r="E122" s="58">
        <f t="shared" si="6"/>
        <v>-1.4771190830499563</v>
      </c>
      <c r="F122" s="58">
        <f t="shared" si="7"/>
        <v>-0.15051986716508076</v>
      </c>
      <c r="G122" s="57"/>
    </row>
    <row r="123" spans="1:7" x14ac:dyDescent="0.25">
      <c r="A123" s="23">
        <v>44175</v>
      </c>
      <c r="B123" s="56">
        <v>599.13571428571424</v>
      </c>
      <c r="C123" s="58">
        <f t="shared" si="4"/>
        <v>626.05211908304989</v>
      </c>
      <c r="D123" s="58">
        <f t="shared" si="5"/>
        <v>9.8134492865977929</v>
      </c>
      <c r="E123" s="58">
        <f t="shared" si="6"/>
        <v>-26.916404797335645</v>
      </c>
      <c r="F123" s="58">
        <f t="shared" si="7"/>
        <v>-2.7428077540580276</v>
      </c>
      <c r="G123" s="57"/>
    </row>
    <row r="124" spans="1:7" x14ac:dyDescent="0.25">
      <c r="A124" s="23">
        <v>44206</v>
      </c>
      <c r="B124" s="56">
        <v>599.28</v>
      </c>
      <c r="C124" s="58">
        <f t="shared" si="4"/>
        <v>626.05211908304989</v>
      </c>
      <c r="D124" s="58">
        <f t="shared" si="5"/>
        <v>9.8134492865977929</v>
      </c>
      <c r="E124" s="58">
        <f t="shared" si="6"/>
        <v>-26.772119083049915</v>
      </c>
      <c r="F124" s="58">
        <f t="shared" si="7"/>
        <v>-2.7281048998350195</v>
      </c>
      <c r="G124" s="57"/>
    </row>
    <row r="125" spans="1:7" x14ac:dyDescent="0.25">
      <c r="A125" s="24">
        <v>44237</v>
      </c>
      <c r="B125" s="56">
        <v>599.5757142857143</v>
      </c>
      <c r="C125" s="58">
        <f t="shared" si="4"/>
        <v>626.05211908304989</v>
      </c>
      <c r="D125" s="58">
        <f t="shared" si="5"/>
        <v>9.8134492865977929</v>
      </c>
      <c r="E125" s="58">
        <f t="shared" si="6"/>
        <v>-26.47640479733559</v>
      </c>
      <c r="F125" s="58">
        <f t="shared" si="7"/>
        <v>-2.6979713273185566</v>
      </c>
      <c r="G125" s="57"/>
    </row>
    <row r="126" spans="1:7" x14ac:dyDescent="0.25">
      <c r="A126" s="23">
        <v>44265</v>
      </c>
      <c r="B126" s="56">
        <v>599.53857142857146</v>
      </c>
      <c r="C126" s="58">
        <f t="shared" si="4"/>
        <v>626.05211908304989</v>
      </c>
      <c r="D126" s="58">
        <f t="shared" si="5"/>
        <v>9.8134492865977929</v>
      </c>
      <c r="E126" s="58">
        <f t="shared" si="6"/>
        <v>-26.51354765447843</v>
      </c>
      <c r="F126" s="58">
        <f t="shared" si="7"/>
        <v>-2.7017562204848735</v>
      </c>
      <c r="G126" s="57"/>
    </row>
    <row r="127" spans="1:7" x14ac:dyDescent="0.25">
      <c r="A127" s="23">
        <v>44296</v>
      </c>
      <c r="B127" s="56">
        <v>599.46142857142854</v>
      </c>
      <c r="C127" s="58">
        <f t="shared" si="4"/>
        <v>626.05211908304989</v>
      </c>
      <c r="D127" s="58">
        <f t="shared" si="5"/>
        <v>9.8134492865977929</v>
      </c>
      <c r="E127" s="58">
        <f t="shared" si="6"/>
        <v>-26.590690511621347</v>
      </c>
      <c r="F127" s="58">
        <f t="shared" si="7"/>
        <v>-2.7096171524456949</v>
      </c>
      <c r="G127" s="57"/>
    </row>
    <row r="128" spans="1:7" x14ac:dyDescent="0.25">
      <c r="A128" s="23">
        <v>44326</v>
      </c>
      <c r="B128" s="56">
        <v>624.94125000000008</v>
      </c>
      <c r="C128" s="58">
        <f t="shared" si="4"/>
        <v>626.05211908304989</v>
      </c>
      <c r="D128" s="58">
        <f t="shared" si="5"/>
        <v>9.8134492865977929</v>
      </c>
      <c r="E128" s="58">
        <f t="shared" si="6"/>
        <v>-1.1108690830498062</v>
      </c>
      <c r="F128" s="58">
        <f t="shared" si="7"/>
        <v>-0.11319863695295372</v>
      </c>
      <c r="G128" s="57"/>
    </row>
    <row r="129" spans="1:7" x14ac:dyDescent="0.25">
      <c r="A129" s="23">
        <v>44357</v>
      </c>
      <c r="B129" s="56">
        <v>624.92250000000001</v>
      </c>
      <c r="C129" s="58">
        <f t="shared" si="4"/>
        <v>626.05211908304989</v>
      </c>
      <c r="D129" s="58">
        <f t="shared" si="5"/>
        <v>9.8134492865977929</v>
      </c>
      <c r="E129" s="58">
        <f t="shared" si="6"/>
        <v>-1.1296190830498745</v>
      </c>
      <c r="F129" s="58">
        <f t="shared" si="7"/>
        <v>-0.11510928013788106</v>
      </c>
      <c r="G129" s="57"/>
    </row>
    <row r="130" spans="1:7" x14ac:dyDescent="0.25">
      <c r="A130" s="23">
        <v>44387</v>
      </c>
      <c r="B130" s="56">
        <v>624.88625000000002</v>
      </c>
      <c r="C130" s="58">
        <f t="shared" si="4"/>
        <v>626.05211908304989</v>
      </c>
      <c r="D130" s="58">
        <f t="shared" si="5"/>
        <v>9.8134492865977929</v>
      </c>
      <c r="E130" s="58">
        <f t="shared" si="6"/>
        <v>-1.1658690830498699</v>
      </c>
      <c r="F130" s="58">
        <f t="shared" si="7"/>
        <v>-0.11880319029539337</v>
      </c>
      <c r="G130" s="57"/>
    </row>
    <row r="131" spans="1:7" x14ac:dyDescent="0.25">
      <c r="A131" s="23">
        <v>44418</v>
      </c>
      <c r="B131" s="56">
        <v>625</v>
      </c>
      <c r="C131" s="58">
        <f t="shared" si="4"/>
        <v>626.05211908304989</v>
      </c>
      <c r="D131" s="58">
        <f t="shared" si="5"/>
        <v>9.8134492865977929</v>
      </c>
      <c r="E131" s="58">
        <f t="shared" si="6"/>
        <v>-1.0521190830498881</v>
      </c>
      <c r="F131" s="58">
        <f t="shared" si="7"/>
        <v>-0.10721195497354483</v>
      </c>
      <c r="G131" s="57"/>
    </row>
    <row r="132" spans="1:7" x14ac:dyDescent="0.25">
      <c r="A132" s="23">
        <v>44449</v>
      </c>
      <c r="B132" s="56">
        <v>624.8805000000001</v>
      </c>
      <c r="C132" s="58">
        <f t="shared" si="4"/>
        <v>626.05211908304989</v>
      </c>
      <c r="D132" s="58">
        <f t="shared" si="5"/>
        <v>9.8134492865977929</v>
      </c>
      <c r="E132" s="58">
        <f t="shared" si="6"/>
        <v>-1.1716190830497908</v>
      </c>
      <c r="F132" s="58">
        <f t="shared" si="7"/>
        <v>-0.11938912087209423</v>
      </c>
      <c r="G132" s="57"/>
    </row>
    <row r="133" spans="1:7" x14ac:dyDescent="0.25">
      <c r="A133" s="23">
        <v>44479</v>
      </c>
      <c r="B133" s="56">
        <v>624.29499999999996</v>
      </c>
      <c r="C133" s="58">
        <f t="shared" ref="C133:C174" si="8">AVERAGE($B$4:$B$174)</f>
        <v>626.05211908304989</v>
      </c>
      <c r="D133" s="58">
        <f t="shared" ref="D133:D174" si="9">_xlfn.STDEV.S($B$4:$B$174)</f>
        <v>9.8134492865977929</v>
      </c>
      <c r="E133" s="58">
        <f t="shared" ref="E133:E165" si="10">B133-C133</f>
        <v>-1.757119083049929</v>
      </c>
      <c r="F133" s="58">
        <f t="shared" ref="F133:F144" si="11">E133/D133</f>
        <v>-0.1790521387265559</v>
      </c>
      <c r="G133" s="57"/>
    </row>
    <row r="134" spans="1:7" x14ac:dyDescent="0.25">
      <c r="A134" s="23">
        <v>44510</v>
      </c>
      <c r="B134" s="56">
        <v>624.25687499999992</v>
      </c>
      <c r="C134" s="58">
        <f t="shared" si="8"/>
        <v>626.05211908304989</v>
      </c>
      <c r="D134" s="58">
        <f t="shared" si="9"/>
        <v>9.8134492865977929</v>
      </c>
      <c r="E134" s="58">
        <f t="shared" si="10"/>
        <v>-1.7952440830499654</v>
      </c>
      <c r="F134" s="58">
        <f t="shared" si="11"/>
        <v>-0.18293711320256442</v>
      </c>
      <c r="G134" s="57"/>
    </row>
    <row r="135" spans="1:7" x14ac:dyDescent="0.25">
      <c r="A135" s="23">
        <v>44540</v>
      </c>
      <c r="B135" s="56">
        <v>624.36374999999998</v>
      </c>
      <c r="C135" s="58">
        <f t="shared" si="8"/>
        <v>626.05211908304989</v>
      </c>
      <c r="D135" s="58">
        <f t="shared" si="9"/>
        <v>9.8134492865977929</v>
      </c>
      <c r="E135" s="58">
        <f t="shared" si="10"/>
        <v>-1.6883690830499063</v>
      </c>
      <c r="F135" s="58">
        <f t="shared" si="11"/>
        <v>-0.17204644704851213</v>
      </c>
      <c r="G135" s="57"/>
    </row>
    <row r="136" spans="1:7" x14ac:dyDescent="0.25">
      <c r="A136" s="23">
        <v>44571</v>
      </c>
      <c r="B136" s="56">
        <v>624.30624999999998</v>
      </c>
      <c r="C136" s="58">
        <f t="shared" si="8"/>
        <v>626.05211908304989</v>
      </c>
      <c r="D136" s="58">
        <f t="shared" si="9"/>
        <v>9.8134492865977929</v>
      </c>
      <c r="E136" s="58">
        <f t="shared" si="10"/>
        <v>-1.7458690830499108</v>
      </c>
      <c r="F136" s="58">
        <f t="shared" si="11"/>
        <v>-0.17790575281560181</v>
      </c>
      <c r="G136" s="57"/>
    </row>
    <row r="137" spans="1:7" x14ac:dyDescent="0.25">
      <c r="A137" s="23">
        <v>44602</v>
      </c>
      <c r="B137" s="56">
        <v>624.36374999999998</v>
      </c>
      <c r="C137" s="58">
        <f t="shared" si="8"/>
        <v>626.05211908304989</v>
      </c>
      <c r="D137" s="58">
        <f t="shared" si="9"/>
        <v>9.8134492865977929</v>
      </c>
      <c r="E137" s="58">
        <f t="shared" si="10"/>
        <v>-1.6883690830499063</v>
      </c>
      <c r="F137" s="58">
        <f t="shared" si="11"/>
        <v>-0.17204644704851213</v>
      </c>
      <c r="G137" s="57"/>
    </row>
    <row r="138" spans="1:7" x14ac:dyDescent="0.25">
      <c r="A138" s="23">
        <v>44630</v>
      </c>
      <c r="B138" s="56">
        <v>624.36124999999993</v>
      </c>
      <c r="C138" s="58">
        <f t="shared" si="8"/>
        <v>626.05211908304989</v>
      </c>
      <c r="D138" s="58">
        <f t="shared" si="9"/>
        <v>9.8134492865977929</v>
      </c>
      <c r="E138" s="58">
        <f t="shared" si="10"/>
        <v>-1.6908690830499609</v>
      </c>
      <c r="F138" s="58">
        <f t="shared" si="11"/>
        <v>-0.17230119947317374</v>
      </c>
      <c r="G138" s="57"/>
    </row>
    <row r="139" spans="1:7" x14ac:dyDescent="0.25">
      <c r="A139" s="23">
        <v>44661</v>
      </c>
      <c r="B139" s="56">
        <v>624.29000000000008</v>
      </c>
      <c r="C139" s="58">
        <f t="shared" si="8"/>
        <v>626.05211908304989</v>
      </c>
      <c r="D139" s="58">
        <f t="shared" si="9"/>
        <v>9.8134492865977929</v>
      </c>
      <c r="E139" s="58">
        <f t="shared" si="10"/>
        <v>-1.7621190830498108</v>
      </c>
      <c r="F139" s="58">
        <f t="shared" si="11"/>
        <v>-0.17956164357585597</v>
      </c>
      <c r="G139" s="57"/>
    </row>
    <row r="140" spans="1:7" x14ac:dyDescent="0.25">
      <c r="A140" s="23">
        <v>44691</v>
      </c>
      <c r="B140" s="56">
        <v>624.3125</v>
      </c>
      <c r="C140" s="58">
        <f t="shared" si="8"/>
        <v>626.05211908304989</v>
      </c>
      <c r="D140" s="58">
        <f t="shared" si="9"/>
        <v>9.8134492865977929</v>
      </c>
      <c r="E140" s="58">
        <f t="shared" si="10"/>
        <v>-1.7396190830498881</v>
      </c>
      <c r="F140" s="58">
        <f t="shared" si="11"/>
        <v>-0.17726887175395936</v>
      </c>
      <c r="G140" s="57"/>
    </row>
    <row r="141" spans="1:7" x14ac:dyDescent="0.25">
      <c r="A141" s="23">
        <v>44722</v>
      </c>
      <c r="B141" s="56">
        <v>624.21187499999996</v>
      </c>
      <c r="C141" s="58">
        <f t="shared" si="8"/>
        <v>626.05211908304989</v>
      </c>
      <c r="D141" s="58">
        <f t="shared" si="9"/>
        <v>9.8134492865977929</v>
      </c>
      <c r="E141" s="58">
        <f t="shared" si="10"/>
        <v>-1.8402440830499245</v>
      </c>
      <c r="F141" s="58">
        <f t="shared" si="11"/>
        <v>-0.18752265684636921</v>
      </c>
      <c r="G141" s="57"/>
    </row>
    <row r="142" spans="1:7" x14ac:dyDescent="0.25">
      <c r="A142" s="23">
        <v>44752</v>
      </c>
      <c r="B142" s="56">
        <v>624.18125000000009</v>
      </c>
      <c r="C142" s="58">
        <f t="shared" si="8"/>
        <v>626.05211908304989</v>
      </c>
      <c r="D142" s="58">
        <f t="shared" si="9"/>
        <v>9.8134492865977929</v>
      </c>
      <c r="E142" s="58">
        <f t="shared" si="10"/>
        <v>-1.8708690830497972</v>
      </c>
      <c r="F142" s="58">
        <f t="shared" si="11"/>
        <v>-0.19064337404839288</v>
      </c>
      <c r="G142" s="57"/>
    </row>
    <row r="143" spans="1:7" x14ac:dyDescent="0.25">
      <c r="A143" s="23">
        <v>44783</v>
      </c>
      <c r="B143" s="56">
        <v>624.25250000000005</v>
      </c>
      <c r="C143" s="58">
        <f t="shared" si="8"/>
        <v>626.05211908304989</v>
      </c>
      <c r="D143" s="58">
        <f t="shared" si="9"/>
        <v>9.8134492865977929</v>
      </c>
      <c r="E143" s="58">
        <f t="shared" si="10"/>
        <v>-1.7996190830498335</v>
      </c>
      <c r="F143" s="58">
        <f t="shared" si="11"/>
        <v>-0.18338292994569907</v>
      </c>
      <c r="G143" s="57"/>
    </row>
    <row r="144" spans="1:7" x14ac:dyDescent="0.25">
      <c r="A144" s="23">
        <v>44814</v>
      </c>
      <c r="B144" s="56">
        <v>624.21874999999989</v>
      </c>
      <c r="C144" s="58">
        <f t="shared" si="8"/>
        <v>626.05211908304989</v>
      </c>
      <c r="D144" s="58">
        <f t="shared" si="9"/>
        <v>9.8134492865977929</v>
      </c>
      <c r="E144" s="58">
        <f t="shared" si="10"/>
        <v>-1.8333690830500018</v>
      </c>
      <c r="F144" s="58">
        <f t="shared" si="11"/>
        <v>-0.18682208767857292</v>
      </c>
      <c r="G144" s="57"/>
    </row>
    <row r="145" spans="1:7" x14ac:dyDescent="0.25">
      <c r="A145" s="23">
        <v>44844</v>
      </c>
      <c r="B145" s="56">
        <v>624.1825</v>
      </c>
      <c r="C145" s="58">
        <f t="shared" si="8"/>
        <v>626.05211908304989</v>
      </c>
      <c r="D145" s="58">
        <f t="shared" si="9"/>
        <v>9.8134492865977929</v>
      </c>
      <c r="E145" s="58">
        <f t="shared" si="10"/>
        <v>-1.8696190830498836</v>
      </c>
      <c r="F145" s="58">
        <f>E145/D145</f>
        <v>-0.19051599783607365</v>
      </c>
      <c r="G145" s="57"/>
    </row>
    <row r="146" spans="1:7" x14ac:dyDescent="0.25">
      <c r="A146" s="23">
        <v>44875</v>
      </c>
      <c r="B146" s="56">
        <v>624.18375000000003</v>
      </c>
      <c r="C146" s="58">
        <f t="shared" si="8"/>
        <v>626.05211908304989</v>
      </c>
      <c r="D146" s="58">
        <f t="shared" si="9"/>
        <v>9.8134492865977929</v>
      </c>
      <c r="E146" s="58">
        <f t="shared" si="10"/>
        <v>-1.8683690830498563</v>
      </c>
      <c r="F146" s="58">
        <f t="shared" ref="F146:F166" si="12">E146/D146</f>
        <v>-0.19038862162374284</v>
      </c>
      <c r="G146" s="57"/>
    </row>
    <row r="147" spans="1:7" x14ac:dyDescent="0.25">
      <c r="A147" s="23">
        <v>44905</v>
      </c>
      <c r="B147" s="56">
        <v>624.12875000000008</v>
      </c>
      <c r="C147" s="58">
        <f t="shared" si="8"/>
        <v>626.05211908304989</v>
      </c>
      <c r="D147" s="58">
        <f t="shared" si="9"/>
        <v>9.8134492865977929</v>
      </c>
      <c r="E147" s="58">
        <f t="shared" si="10"/>
        <v>-1.9233690830498062</v>
      </c>
      <c r="F147" s="58">
        <f t="shared" si="12"/>
        <v>-0.19599317496617091</v>
      </c>
      <c r="G147" s="57"/>
    </row>
    <row r="148" spans="1:7" x14ac:dyDescent="0.25">
      <c r="A148" s="23">
        <v>44936</v>
      </c>
      <c r="B148" s="56">
        <v>624.39374999999995</v>
      </c>
      <c r="C148" s="58">
        <f t="shared" si="8"/>
        <v>626.05211908304989</v>
      </c>
      <c r="D148" s="58">
        <f t="shared" si="9"/>
        <v>9.8134492865977929</v>
      </c>
      <c r="E148" s="58">
        <f t="shared" si="10"/>
        <v>-1.6583690830499336</v>
      </c>
      <c r="F148" s="58">
        <f t="shared" si="12"/>
        <v>-0.16898941795264227</v>
      </c>
      <c r="G148" s="57"/>
    </row>
    <row r="149" spans="1:7" x14ac:dyDescent="0.25">
      <c r="A149" s="23">
        <v>44967</v>
      </c>
      <c r="B149" s="56">
        <v>624.59625000000005</v>
      </c>
      <c r="C149" s="58">
        <f t="shared" si="8"/>
        <v>626.05211908304989</v>
      </c>
      <c r="D149" s="58">
        <f t="shared" si="9"/>
        <v>9.8134492865977929</v>
      </c>
      <c r="E149" s="58">
        <f t="shared" si="10"/>
        <v>-1.4558690830498335</v>
      </c>
      <c r="F149" s="58">
        <f t="shared" si="12"/>
        <v>-0.14835447155549181</v>
      </c>
      <c r="G149" s="57"/>
    </row>
    <row r="150" spans="1:7" x14ac:dyDescent="0.25">
      <c r="A150" s="23">
        <v>44995</v>
      </c>
      <c r="B150" s="56">
        <v>624.71500000000003</v>
      </c>
      <c r="C150" s="58">
        <f t="shared" si="8"/>
        <v>626.05211908304989</v>
      </c>
      <c r="D150" s="58">
        <f t="shared" si="9"/>
        <v>9.8134492865977929</v>
      </c>
      <c r="E150" s="58">
        <f t="shared" si="10"/>
        <v>-1.3371190830498563</v>
      </c>
      <c r="F150" s="58">
        <f t="shared" si="12"/>
        <v>-0.13625373138433161</v>
      </c>
      <c r="G150" s="57"/>
    </row>
    <row r="151" spans="1:7" x14ac:dyDescent="0.25">
      <c r="A151" s="23">
        <v>45026</v>
      </c>
      <c r="B151" s="56">
        <v>624.71</v>
      </c>
      <c r="C151" s="58">
        <f t="shared" si="8"/>
        <v>626.05211908304989</v>
      </c>
      <c r="D151" s="58">
        <f t="shared" si="9"/>
        <v>9.8134492865977929</v>
      </c>
      <c r="E151" s="58">
        <f t="shared" si="10"/>
        <v>-1.3421190830498517</v>
      </c>
      <c r="F151" s="58">
        <f t="shared" si="12"/>
        <v>-0.13676323623364325</v>
      </c>
      <c r="G151" s="57"/>
    </row>
    <row r="152" spans="1:7" x14ac:dyDescent="0.25">
      <c r="A152" s="23">
        <v>45056</v>
      </c>
      <c r="B152" s="56">
        <v>624.7075000000001</v>
      </c>
      <c r="C152" s="58">
        <f t="shared" si="8"/>
        <v>626.05211908304989</v>
      </c>
      <c r="D152" s="58">
        <f t="shared" si="9"/>
        <v>9.8134492865977929</v>
      </c>
      <c r="E152" s="58">
        <f t="shared" si="10"/>
        <v>-1.3446190830497926</v>
      </c>
      <c r="F152" s="58">
        <f t="shared" si="12"/>
        <v>-0.13701798865829326</v>
      </c>
      <c r="G152" s="57"/>
    </row>
    <row r="153" spans="1:7" x14ac:dyDescent="0.25">
      <c r="A153" s="23">
        <v>45087</v>
      </c>
      <c r="B153" s="56">
        <v>624.64</v>
      </c>
      <c r="C153" s="58">
        <f t="shared" si="8"/>
        <v>626.05211908304989</v>
      </c>
      <c r="D153" s="58">
        <f t="shared" si="9"/>
        <v>9.8134492865977929</v>
      </c>
      <c r="E153" s="58">
        <f t="shared" si="10"/>
        <v>-1.4121190830499017</v>
      </c>
      <c r="F153" s="58">
        <f t="shared" si="12"/>
        <v>-0.14389630412401783</v>
      </c>
      <c r="G153" s="57"/>
    </row>
    <row r="154" spans="1:7" x14ac:dyDescent="0.25">
      <c r="A154" s="23">
        <v>45117</v>
      </c>
      <c r="B154" s="56">
        <v>624.63</v>
      </c>
      <c r="C154" s="58">
        <f t="shared" si="8"/>
        <v>626.05211908304989</v>
      </c>
      <c r="D154" s="58">
        <f t="shared" si="9"/>
        <v>9.8134492865977929</v>
      </c>
      <c r="E154" s="58">
        <f t="shared" si="10"/>
        <v>-1.4221190830498927</v>
      </c>
      <c r="F154" s="58">
        <f t="shared" si="12"/>
        <v>-0.14491531382264111</v>
      </c>
      <c r="G154" s="57"/>
    </row>
    <row r="155" spans="1:7" x14ac:dyDescent="0.25">
      <c r="A155" s="23">
        <v>45148</v>
      </c>
      <c r="B155" s="56">
        <v>624.67999999999995</v>
      </c>
      <c r="C155" s="58">
        <f t="shared" si="8"/>
        <v>626.05211908304989</v>
      </c>
      <c r="D155" s="58">
        <f t="shared" si="9"/>
        <v>9.8134492865977929</v>
      </c>
      <c r="E155" s="58">
        <f t="shared" si="10"/>
        <v>-1.3721190830499381</v>
      </c>
      <c r="F155" s="58">
        <f t="shared" si="12"/>
        <v>-0.13982026532952468</v>
      </c>
      <c r="G155" s="57"/>
    </row>
    <row r="156" spans="1:7" x14ac:dyDescent="0.25">
      <c r="A156" s="23">
        <v>45179</v>
      </c>
      <c r="B156" s="56">
        <v>624.6</v>
      </c>
      <c r="C156" s="58">
        <f t="shared" si="8"/>
        <v>626.05211908304989</v>
      </c>
      <c r="D156" s="58">
        <f t="shared" si="9"/>
        <v>9.8134492865977929</v>
      </c>
      <c r="E156" s="58">
        <f t="shared" si="10"/>
        <v>-1.4521190830498654</v>
      </c>
      <c r="F156" s="58">
        <f t="shared" si="12"/>
        <v>-0.14797234291851097</v>
      </c>
      <c r="G156" s="57"/>
    </row>
    <row r="157" spans="1:7" x14ac:dyDescent="0.25">
      <c r="A157" s="23">
        <v>45209</v>
      </c>
      <c r="B157" s="56">
        <v>624.63</v>
      </c>
      <c r="C157" s="58">
        <f t="shared" si="8"/>
        <v>626.05211908304989</v>
      </c>
      <c r="D157" s="58">
        <f t="shared" si="9"/>
        <v>9.8134492865977929</v>
      </c>
      <c r="E157" s="58">
        <f t="shared" si="10"/>
        <v>-1.4221190830498927</v>
      </c>
      <c r="F157" s="58">
        <f t="shared" si="12"/>
        <v>-0.14491531382264111</v>
      </c>
      <c r="G157" s="57"/>
    </row>
    <row r="158" spans="1:7" x14ac:dyDescent="0.25">
      <c r="A158" s="23">
        <v>45240</v>
      </c>
      <c r="B158" s="56">
        <v>624.66999999999996</v>
      </c>
      <c r="C158" s="58">
        <f t="shared" si="8"/>
        <v>626.05211908304989</v>
      </c>
      <c r="D158" s="58">
        <f t="shared" si="9"/>
        <v>9.8134492865977929</v>
      </c>
      <c r="E158" s="58">
        <f t="shared" si="10"/>
        <v>-1.382119083049929</v>
      </c>
      <c r="F158" s="58">
        <f t="shared" si="12"/>
        <v>-0.14083927502814797</v>
      </c>
      <c r="G158" s="57"/>
    </row>
    <row r="159" spans="1:7" x14ac:dyDescent="0.25">
      <c r="A159" s="23">
        <v>45270</v>
      </c>
      <c r="B159" s="56">
        <v>624.66</v>
      </c>
      <c r="C159" s="58">
        <f t="shared" si="8"/>
        <v>626.05211908304989</v>
      </c>
      <c r="D159" s="58">
        <f t="shared" si="9"/>
        <v>9.8134492865977929</v>
      </c>
      <c r="E159" s="58">
        <f t="shared" si="10"/>
        <v>-1.3921190830499199</v>
      </c>
      <c r="F159" s="58">
        <f t="shared" si="12"/>
        <v>-0.14185828472677126</v>
      </c>
      <c r="G159" s="57"/>
    </row>
    <row r="160" spans="1:7" x14ac:dyDescent="0.25">
      <c r="A160" s="23">
        <v>45301</v>
      </c>
      <c r="B160" s="56">
        <v>624.92000000000007</v>
      </c>
      <c r="C160" s="58">
        <f t="shared" si="8"/>
        <v>626.05211908304989</v>
      </c>
      <c r="D160" s="58">
        <f t="shared" si="9"/>
        <v>9.8134492865977929</v>
      </c>
      <c r="E160" s="58">
        <f t="shared" si="10"/>
        <v>-1.1321190830498153</v>
      </c>
      <c r="F160" s="58">
        <f t="shared" si="12"/>
        <v>-0.1153640325625311</v>
      </c>
      <c r="G160" s="57"/>
    </row>
    <row r="161" spans="1:7" x14ac:dyDescent="0.25">
      <c r="A161" s="23">
        <v>45332</v>
      </c>
      <c r="B161" s="56">
        <v>625.02</v>
      </c>
      <c r="C161" s="58">
        <f t="shared" si="8"/>
        <v>626.05211908304989</v>
      </c>
      <c r="D161" s="58">
        <f t="shared" si="9"/>
        <v>9.8134492865977929</v>
      </c>
      <c r="E161" s="58">
        <f t="shared" si="10"/>
        <v>-1.0321190830499063</v>
      </c>
      <c r="F161" s="58">
        <f t="shared" si="12"/>
        <v>-0.10517393557629826</v>
      </c>
      <c r="G161" s="57"/>
    </row>
    <row r="162" spans="1:7" x14ac:dyDescent="0.25">
      <c r="A162" s="23">
        <v>45361</v>
      </c>
      <c r="B162" s="56">
        <v>624.97</v>
      </c>
      <c r="C162" s="58">
        <f t="shared" si="8"/>
        <v>626.05211908304989</v>
      </c>
      <c r="D162" s="58">
        <f t="shared" si="9"/>
        <v>9.8134492865977929</v>
      </c>
      <c r="E162" s="58">
        <f t="shared" si="10"/>
        <v>-1.0821190830498608</v>
      </c>
      <c r="F162" s="58">
        <f t="shared" si="12"/>
        <v>-0.11026898406941467</v>
      </c>
      <c r="G162" s="57"/>
    </row>
    <row r="163" spans="1:7" x14ac:dyDescent="0.25">
      <c r="A163" s="23">
        <v>45392</v>
      </c>
      <c r="B163" s="56">
        <v>625</v>
      </c>
      <c r="C163" s="58">
        <f t="shared" si="8"/>
        <v>626.05211908304989</v>
      </c>
      <c r="D163" s="58">
        <f t="shared" si="9"/>
        <v>9.8134492865977929</v>
      </c>
      <c r="E163" s="58">
        <f t="shared" si="10"/>
        <v>-1.0521190830498881</v>
      </c>
      <c r="F163" s="58">
        <f t="shared" si="12"/>
        <v>-0.10721195497354483</v>
      </c>
      <c r="G163" s="57"/>
    </row>
    <row r="164" spans="1:7" x14ac:dyDescent="0.25">
      <c r="A164" s="23">
        <v>45422</v>
      </c>
      <c r="B164" s="56">
        <v>624.9</v>
      </c>
      <c r="C164" s="58">
        <f t="shared" si="8"/>
        <v>626.05211908304989</v>
      </c>
      <c r="D164" s="58">
        <f t="shared" si="9"/>
        <v>9.8134492865977929</v>
      </c>
      <c r="E164" s="58">
        <f t="shared" si="10"/>
        <v>-1.1521190830499108</v>
      </c>
      <c r="F164" s="58">
        <f t="shared" si="12"/>
        <v>-0.11740205195978926</v>
      </c>
      <c r="G164" s="57"/>
    </row>
    <row r="165" spans="1:7" x14ac:dyDescent="0.25">
      <c r="A165" s="23">
        <v>45453</v>
      </c>
      <c r="B165" s="56">
        <v>624.83000000000004</v>
      </c>
      <c r="C165" s="58">
        <f t="shared" si="8"/>
        <v>626.05211908304989</v>
      </c>
      <c r="D165" s="58">
        <f t="shared" si="9"/>
        <v>9.8134492865977929</v>
      </c>
      <c r="E165" s="58">
        <f t="shared" si="10"/>
        <v>-1.2221190830498472</v>
      </c>
      <c r="F165" s="58">
        <f t="shared" si="12"/>
        <v>-0.12453511985015224</v>
      </c>
      <c r="G165" s="57"/>
    </row>
    <row r="166" spans="1:7" x14ac:dyDescent="0.25">
      <c r="A166" s="23">
        <v>45483</v>
      </c>
      <c r="B166" s="56">
        <v>624.92541666666671</v>
      </c>
      <c r="C166" s="58">
        <f t="shared" si="8"/>
        <v>626.05211908304989</v>
      </c>
      <c r="D166" s="58">
        <f t="shared" si="9"/>
        <v>9.8134492865977929</v>
      </c>
      <c r="E166" s="58">
        <f>B166-C166</f>
        <v>-1.126702416383182</v>
      </c>
      <c r="F166" s="58">
        <f t="shared" si="12"/>
        <v>-0.11481206897577971</v>
      </c>
      <c r="G166" s="57"/>
    </row>
    <row r="167" spans="1:7" x14ac:dyDescent="0.25">
      <c r="A167" s="23">
        <v>45514</v>
      </c>
      <c r="B167" s="56">
        <v>624.79</v>
      </c>
      <c r="C167" s="58">
        <f t="shared" si="8"/>
        <v>626.05211908304989</v>
      </c>
      <c r="D167" s="58">
        <f t="shared" si="9"/>
        <v>9.8134492865977929</v>
      </c>
      <c r="E167" s="58">
        <f t="shared" ref="E167:E173" si="13">B167-C167</f>
        <v>-1.2621190830499245</v>
      </c>
      <c r="F167" s="58">
        <f t="shared" ref="F167:F173" si="14">E167/D167</f>
        <v>-0.12861115864465697</v>
      </c>
      <c r="G167" s="57"/>
    </row>
    <row r="168" spans="1:7" x14ac:dyDescent="0.25">
      <c r="A168" s="23">
        <v>45545</v>
      </c>
      <c r="B168" s="56">
        <v>624.78</v>
      </c>
      <c r="C168" s="58">
        <f t="shared" si="8"/>
        <v>626.05211908304989</v>
      </c>
      <c r="D168" s="58">
        <f t="shared" si="9"/>
        <v>9.8134492865977929</v>
      </c>
      <c r="E168" s="58">
        <f t="shared" si="13"/>
        <v>-1.2721190830499154</v>
      </c>
      <c r="F168" s="58">
        <f t="shared" si="14"/>
        <v>-0.12963016834328026</v>
      </c>
      <c r="G168" s="57"/>
    </row>
    <row r="169" spans="1:7" x14ac:dyDescent="0.25">
      <c r="A169" s="23">
        <v>45575</v>
      </c>
      <c r="B169" s="56">
        <v>624.76</v>
      </c>
      <c r="C169" s="58">
        <f t="shared" si="8"/>
        <v>626.05211908304989</v>
      </c>
      <c r="D169" s="58">
        <f t="shared" si="9"/>
        <v>9.8134492865977929</v>
      </c>
      <c r="E169" s="58">
        <f t="shared" si="13"/>
        <v>-1.2921190830498972</v>
      </c>
      <c r="F169" s="58">
        <f t="shared" si="14"/>
        <v>-0.13166818774052683</v>
      </c>
      <c r="G169" s="57"/>
    </row>
    <row r="170" spans="1:7" x14ac:dyDescent="0.25">
      <c r="A170" s="23">
        <v>45606</v>
      </c>
      <c r="B170" s="56">
        <v>624.79</v>
      </c>
      <c r="C170" s="58">
        <f t="shared" si="8"/>
        <v>626.05211908304989</v>
      </c>
      <c r="D170" s="58">
        <f t="shared" si="9"/>
        <v>9.8134492865977929</v>
      </c>
      <c r="E170" s="58">
        <f t="shared" si="13"/>
        <v>-1.2621190830499245</v>
      </c>
      <c r="F170" s="58">
        <f t="shared" si="14"/>
        <v>-0.12861115864465697</v>
      </c>
      <c r="G170" s="57"/>
    </row>
    <row r="171" spans="1:7" x14ac:dyDescent="0.25">
      <c r="A171" s="23">
        <v>45636</v>
      </c>
      <c r="B171" s="56">
        <v>624.67999999999995</v>
      </c>
      <c r="C171" s="58">
        <f t="shared" si="8"/>
        <v>626.05211908304989</v>
      </c>
      <c r="D171" s="58">
        <f t="shared" si="9"/>
        <v>9.8134492865977929</v>
      </c>
      <c r="E171" s="58">
        <f t="shared" si="13"/>
        <v>-1.3721190830499381</v>
      </c>
      <c r="F171" s="58">
        <f t="shared" si="14"/>
        <v>-0.13982026532952468</v>
      </c>
      <c r="G171" s="57"/>
    </row>
    <row r="172" spans="1:7" x14ac:dyDescent="0.25">
      <c r="A172" s="23">
        <v>45667</v>
      </c>
      <c r="B172" s="56">
        <v>624.80999999999995</v>
      </c>
      <c r="C172" s="58">
        <f t="shared" si="8"/>
        <v>626.05211908304989</v>
      </c>
      <c r="D172" s="58">
        <f t="shared" si="9"/>
        <v>9.8134492865977929</v>
      </c>
      <c r="E172" s="58">
        <f t="shared" si="13"/>
        <v>-1.2421190830499427</v>
      </c>
      <c r="F172" s="58">
        <f t="shared" si="14"/>
        <v>-0.1265731392474104</v>
      </c>
      <c r="G172" s="57"/>
    </row>
    <row r="173" spans="1:7" x14ac:dyDescent="0.25">
      <c r="A173" s="23">
        <v>45698</v>
      </c>
      <c r="B173" s="56">
        <v>624.97</v>
      </c>
      <c r="C173" s="58">
        <f t="shared" si="8"/>
        <v>626.05211908304989</v>
      </c>
      <c r="D173" s="58">
        <f t="shared" si="9"/>
        <v>9.8134492865977929</v>
      </c>
      <c r="E173" s="58">
        <f t="shared" si="13"/>
        <v>-1.0821190830498608</v>
      </c>
      <c r="F173" s="58">
        <f t="shared" si="14"/>
        <v>-0.11026898406941467</v>
      </c>
      <c r="G173" s="57"/>
    </row>
    <row r="174" spans="1:7" x14ac:dyDescent="0.25">
      <c r="A174" s="40">
        <v>45720</v>
      </c>
      <c r="B174" s="56">
        <v>624.89</v>
      </c>
      <c r="C174" s="58">
        <f t="shared" si="8"/>
        <v>626.05211908304989</v>
      </c>
      <c r="D174" s="58">
        <f t="shared" si="9"/>
        <v>9.8134492865977929</v>
      </c>
      <c r="E174" s="58">
        <f t="shared" ref="E174" si="15">B174-C174</f>
        <v>-1.1621190830499017</v>
      </c>
      <c r="F174" s="58">
        <f t="shared" ref="F174" si="16">E174/D174</f>
        <v>-0.11842106165841254</v>
      </c>
      <c r="G174" s="57"/>
    </row>
  </sheetData>
  <mergeCells count="2">
    <mergeCell ref="A2:F2"/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F173"/>
  <sheetViews>
    <sheetView zoomScale="85" zoomScaleNormal="85" workbookViewId="0">
      <selection activeCell="G1" sqref="G1:G1048576"/>
    </sheetView>
  </sheetViews>
  <sheetFormatPr defaultRowHeight="15" x14ac:dyDescent="0.25"/>
  <cols>
    <col min="1" max="1" width="15.5703125" style="39" customWidth="1"/>
    <col min="2" max="2" width="19.5703125" style="1" customWidth="1"/>
    <col min="3" max="3" width="22.85546875" style="1" customWidth="1"/>
    <col min="4" max="4" width="16" style="1" customWidth="1"/>
    <col min="5" max="5" width="13.7109375" style="1" customWidth="1"/>
    <col min="6" max="6" width="21.5703125" style="11" bestFit="1" customWidth="1"/>
    <col min="7" max="7" width="21.5703125" bestFit="1" customWidth="1"/>
  </cols>
  <sheetData>
    <row r="1" spans="1:6" ht="20.25" customHeight="1" x14ac:dyDescent="0.25">
      <c r="A1" s="78" t="s">
        <v>9</v>
      </c>
      <c r="B1" s="79"/>
      <c r="C1" s="79"/>
      <c r="D1" s="79"/>
      <c r="E1" s="79"/>
      <c r="F1" s="79"/>
    </row>
    <row r="2" spans="1:6" x14ac:dyDescent="0.25">
      <c r="A2" s="73" t="s">
        <v>10</v>
      </c>
      <c r="B2" s="74"/>
      <c r="C2" s="74"/>
      <c r="D2" s="74"/>
      <c r="E2" s="74"/>
      <c r="F2" s="77"/>
    </row>
    <row r="3" spans="1:6" x14ac:dyDescent="0.25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25">
      <c r="A4" s="37">
        <v>40565</v>
      </c>
      <c r="B4" s="17">
        <v>552.22249999999997</v>
      </c>
      <c r="C4" s="54">
        <f>AVERAGE($B$4:$B$173)</f>
        <v>530.64652270481622</v>
      </c>
      <c r="D4" s="54">
        <f>_xlfn.STDEV.S($B$4:$B$173)</f>
        <v>8.477543031731706</v>
      </c>
      <c r="E4" s="54">
        <f>B4-C4</f>
        <v>21.575977295183748</v>
      </c>
      <c r="F4" s="54">
        <f>E4/D4</f>
        <v>2.5450743469451229</v>
      </c>
    </row>
    <row r="5" spans="1:6" x14ac:dyDescent="0.25">
      <c r="A5" s="37">
        <v>40596</v>
      </c>
      <c r="B5" s="17">
        <v>552.37</v>
      </c>
      <c r="C5" s="54">
        <f t="shared" ref="C5:C68" si="0">AVERAGE($B$4:$B$173)</f>
        <v>530.64652270481622</v>
      </c>
      <c r="D5" s="54">
        <f t="shared" ref="D5:D68" si="1">_xlfn.STDEV.S($B$4:$B$173)</f>
        <v>8.477543031731706</v>
      </c>
      <c r="E5" s="54">
        <f t="shared" ref="E5:E12" si="2">B5-C5</f>
        <v>21.723477295183784</v>
      </c>
      <c r="F5" s="54">
        <f t="shared" ref="F5:F67" si="3">E5/D5</f>
        <v>2.5624732559743002</v>
      </c>
    </row>
    <row r="6" spans="1:6" x14ac:dyDescent="0.25">
      <c r="A6" s="37">
        <v>40624</v>
      </c>
      <c r="B6" s="17">
        <v>552.38249999999994</v>
      </c>
      <c r="C6" s="54">
        <f t="shared" si="0"/>
        <v>530.64652270481622</v>
      </c>
      <c r="D6" s="54">
        <f t="shared" si="1"/>
        <v>8.477543031731706</v>
      </c>
      <c r="E6" s="54">
        <f t="shared" si="2"/>
        <v>21.735977295183716</v>
      </c>
      <c r="F6" s="54">
        <f t="shared" si="3"/>
        <v>2.5639477397903239</v>
      </c>
    </row>
    <row r="7" spans="1:6" x14ac:dyDescent="0.25">
      <c r="A7" s="37">
        <v>40655</v>
      </c>
      <c r="B7" s="17">
        <v>552.38</v>
      </c>
      <c r="C7" s="54">
        <f t="shared" si="0"/>
        <v>530.64652270481622</v>
      </c>
      <c r="D7" s="54">
        <f t="shared" si="1"/>
        <v>8.477543031731706</v>
      </c>
      <c r="E7" s="54">
        <f t="shared" si="2"/>
        <v>21.733477295183775</v>
      </c>
      <c r="F7" s="54">
        <f t="shared" si="3"/>
        <v>2.5636528430271244</v>
      </c>
    </row>
    <row r="8" spans="1:6" x14ac:dyDescent="0.25">
      <c r="A8" s="37">
        <v>40685</v>
      </c>
      <c r="B8" s="17">
        <v>552.34249999999997</v>
      </c>
      <c r="C8" s="54">
        <f t="shared" si="0"/>
        <v>530.64652270481622</v>
      </c>
      <c r="D8" s="54">
        <f t="shared" si="1"/>
        <v>8.477543031731706</v>
      </c>
      <c r="E8" s="54">
        <f t="shared" si="2"/>
        <v>21.695977295183752</v>
      </c>
      <c r="F8" s="54">
        <f t="shared" si="3"/>
        <v>2.5592293915790267</v>
      </c>
    </row>
    <row r="9" spans="1:6" x14ac:dyDescent="0.25">
      <c r="A9" s="37">
        <v>40716</v>
      </c>
      <c r="B9" s="17">
        <v>552.29250000000002</v>
      </c>
      <c r="C9" s="54">
        <f t="shared" si="0"/>
        <v>530.64652270481622</v>
      </c>
      <c r="D9" s="54">
        <f t="shared" si="1"/>
        <v>8.477543031731706</v>
      </c>
      <c r="E9" s="54">
        <f t="shared" si="2"/>
        <v>21.645977295183798</v>
      </c>
      <c r="F9" s="54">
        <f t="shared" si="3"/>
        <v>2.5533314563149059</v>
      </c>
    </row>
    <row r="10" spans="1:6" x14ac:dyDescent="0.25">
      <c r="A10" s="37">
        <v>40746</v>
      </c>
      <c r="B10" s="17">
        <v>552.17500000000007</v>
      </c>
      <c r="C10" s="54">
        <f t="shared" si="0"/>
        <v>530.64652270481622</v>
      </c>
      <c r="D10" s="54">
        <f t="shared" si="1"/>
        <v>8.477543031731706</v>
      </c>
      <c r="E10" s="54">
        <f t="shared" si="2"/>
        <v>21.528477295183848</v>
      </c>
      <c r="F10" s="54">
        <f t="shared" si="3"/>
        <v>2.5394713084442144</v>
      </c>
    </row>
    <row r="11" spans="1:6" x14ac:dyDescent="0.25">
      <c r="A11" s="37">
        <v>40777</v>
      </c>
      <c r="B11" s="17">
        <v>552.10749999999996</v>
      </c>
      <c r="C11" s="54">
        <f t="shared" si="0"/>
        <v>530.64652270481622</v>
      </c>
      <c r="D11" s="54">
        <f t="shared" si="1"/>
        <v>8.477543031731706</v>
      </c>
      <c r="E11" s="54">
        <f t="shared" si="2"/>
        <v>21.460977295183739</v>
      </c>
      <c r="F11" s="54">
        <f t="shared" si="3"/>
        <v>2.531509095837631</v>
      </c>
    </row>
    <row r="12" spans="1:6" x14ac:dyDescent="0.25">
      <c r="A12" s="37">
        <v>40808</v>
      </c>
      <c r="B12" s="17">
        <v>552.06500000000005</v>
      </c>
      <c r="C12" s="54">
        <f t="shared" si="0"/>
        <v>530.64652270481622</v>
      </c>
      <c r="D12" s="54">
        <f t="shared" si="1"/>
        <v>8.477543031731706</v>
      </c>
      <c r="E12" s="54">
        <f t="shared" si="2"/>
        <v>21.418477295183834</v>
      </c>
      <c r="F12" s="54">
        <f t="shared" si="3"/>
        <v>2.5264958508631348</v>
      </c>
    </row>
    <row r="13" spans="1:6" x14ac:dyDescent="0.25">
      <c r="A13" s="37">
        <v>40869</v>
      </c>
      <c r="B13" s="17">
        <v>552.04750000000013</v>
      </c>
      <c r="C13" s="54">
        <f t="shared" si="0"/>
        <v>530.64652270481622</v>
      </c>
      <c r="D13" s="54">
        <f t="shared" si="1"/>
        <v>8.477543031731706</v>
      </c>
      <c r="E13" s="54">
        <f t="shared" ref="E13:E44" si="4">B13-C13</f>
        <v>21.400977295183907</v>
      </c>
      <c r="F13" s="54">
        <f t="shared" si="3"/>
        <v>2.5244315735206988</v>
      </c>
    </row>
    <row r="14" spans="1:6" x14ac:dyDescent="0.25">
      <c r="A14" s="37">
        <v>40899</v>
      </c>
      <c r="B14" s="17">
        <v>552.00750000000005</v>
      </c>
      <c r="C14" s="54">
        <f t="shared" si="0"/>
        <v>530.64652270481622</v>
      </c>
      <c r="D14" s="54">
        <f t="shared" si="1"/>
        <v>8.477543031731706</v>
      </c>
      <c r="E14" s="54">
        <f t="shared" si="4"/>
        <v>21.360977295183829</v>
      </c>
      <c r="F14" s="54">
        <f t="shared" si="3"/>
        <v>2.5197132253093888</v>
      </c>
    </row>
    <row r="15" spans="1:6" x14ac:dyDescent="0.25">
      <c r="A15" s="37">
        <v>40930</v>
      </c>
      <c r="B15" s="17">
        <v>531.21600000000012</v>
      </c>
      <c r="C15" s="54">
        <f t="shared" si="0"/>
        <v>530.64652270481622</v>
      </c>
      <c r="D15" s="54">
        <f t="shared" si="1"/>
        <v>8.477543031731706</v>
      </c>
      <c r="E15" s="54">
        <f t="shared" si="4"/>
        <v>0.56947729518390133</v>
      </c>
      <c r="F15" s="54">
        <f t="shared" si="3"/>
        <v>6.7174804427689749E-2</v>
      </c>
    </row>
    <row r="16" spans="1:6" x14ac:dyDescent="0.25">
      <c r="A16" s="37">
        <v>40961</v>
      </c>
      <c r="B16" s="17">
        <v>528.35500000000002</v>
      </c>
      <c r="C16" s="54">
        <f t="shared" si="0"/>
        <v>530.64652270481622</v>
      </c>
      <c r="D16" s="54">
        <f t="shared" si="1"/>
        <v>8.477543031731706</v>
      </c>
      <c r="E16" s="54">
        <f t="shared" si="4"/>
        <v>-2.2915227048162023</v>
      </c>
      <c r="F16" s="54">
        <f t="shared" si="3"/>
        <v>-0.27030505138563871</v>
      </c>
    </row>
    <row r="17" spans="1:6" x14ac:dyDescent="0.25">
      <c r="A17" s="37">
        <v>40990</v>
      </c>
      <c r="B17" s="17">
        <v>528.35500000000002</v>
      </c>
      <c r="C17" s="54">
        <f t="shared" si="0"/>
        <v>530.64652270481622</v>
      </c>
      <c r="D17" s="54">
        <f t="shared" si="1"/>
        <v>8.477543031731706</v>
      </c>
      <c r="E17" s="54">
        <f t="shared" si="4"/>
        <v>-2.2915227048162023</v>
      </c>
      <c r="F17" s="54">
        <f t="shared" si="3"/>
        <v>-0.27030505138563871</v>
      </c>
    </row>
    <row r="18" spans="1:6" x14ac:dyDescent="0.25">
      <c r="A18" s="37">
        <v>41021</v>
      </c>
      <c r="B18" s="17">
        <v>528.28750000000002</v>
      </c>
      <c r="C18" s="54">
        <f t="shared" si="0"/>
        <v>530.64652270481622</v>
      </c>
      <c r="D18" s="54">
        <f t="shared" si="1"/>
        <v>8.477543031731706</v>
      </c>
      <c r="E18" s="54">
        <f t="shared" si="4"/>
        <v>-2.3590227048161978</v>
      </c>
      <c r="F18" s="54">
        <f t="shared" si="3"/>
        <v>-0.27826726399220891</v>
      </c>
    </row>
    <row r="19" spans="1:6" x14ac:dyDescent="0.25">
      <c r="A19" s="37">
        <v>41051</v>
      </c>
      <c r="B19" s="17">
        <v>528.39499999999998</v>
      </c>
      <c r="C19" s="54">
        <f t="shared" si="0"/>
        <v>530.64652270481622</v>
      </c>
      <c r="D19" s="54">
        <f t="shared" si="1"/>
        <v>8.477543031731706</v>
      </c>
      <c r="E19" s="54">
        <f t="shared" si="4"/>
        <v>-2.2515227048162387</v>
      </c>
      <c r="F19" s="54">
        <f t="shared" si="3"/>
        <v>-0.26558670317434185</v>
      </c>
    </row>
    <row r="20" spans="1:6" x14ac:dyDescent="0.25">
      <c r="A20" s="37">
        <v>41082</v>
      </c>
      <c r="B20" s="17">
        <v>531.46699999999998</v>
      </c>
      <c r="C20" s="54">
        <f t="shared" si="0"/>
        <v>530.64652270481622</v>
      </c>
      <c r="D20" s="54">
        <f t="shared" si="1"/>
        <v>8.477543031731706</v>
      </c>
      <c r="E20" s="54">
        <f t="shared" si="4"/>
        <v>0.820477295183764</v>
      </c>
      <c r="F20" s="54">
        <f t="shared" si="3"/>
        <v>9.6782439453588387E-2</v>
      </c>
    </row>
    <row r="21" spans="1:6" x14ac:dyDescent="0.25">
      <c r="A21" s="37">
        <v>41112</v>
      </c>
      <c r="B21" s="17">
        <v>531.35799999999995</v>
      </c>
      <c r="C21" s="54">
        <f t="shared" si="0"/>
        <v>530.64652270481622</v>
      </c>
      <c r="D21" s="54">
        <f t="shared" si="1"/>
        <v>8.477543031731706</v>
      </c>
      <c r="E21" s="54">
        <f t="shared" si="4"/>
        <v>0.71147729518372671</v>
      </c>
      <c r="F21" s="54">
        <f t="shared" si="3"/>
        <v>8.3924940577788307E-2</v>
      </c>
    </row>
    <row r="22" spans="1:6" x14ac:dyDescent="0.25">
      <c r="A22" s="37">
        <v>41143</v>
      </c>
      <c r="B22" s="17">
        <v>531.34799999999996</v>
      </c>
      <c r="C22" s="54">
        <f t="shared" si="0"/>
        <v>530.64652270481622</v>
      </c>
      <c r="D22" s="54">
        <f t="shared" si="1"/>
        <v>8.477543031731706</v>
      </c>
      <c r="E22" s="54">
        <f t="shared" si="4"/>
        <v>0.70147729518373581</v>
      </c>
      <c r="F22" s="54">
        <f t="shared" si="3"/>
        <v>8.274535352496408E-2</v>
      </c>
    </row>
    <row r="23" spans="1:6" x14ac:dyDescent="0.25">
      <c r="A23" s="37">
        <v>41174</v>
      </c>
      <c r="B23" s="17">
        <v>531.31799999999998</v>
      </c>
      <c r="C23" s="54">
        <f t="shared" si="0"/>
        <v>530.64652270481622</v>
      </c>
      <c r="D23" s="54">
        <f t="shared" si="1"/>
        <v>8.477543031731706</v>
      </c>
      <c r="E23" s="54">
        <f t="shared" si="4"/>
        <v>0.67147729518376309</v>
      </c>
      <c r="F23" s="54">
        <f t="shared" si="3"/>
        <v>7.9206592366491427E-2</v>
      </c>
    </row>
    <row r="24" spans="1:6" x14ac:dyDescent="0.25">
      <c r="A24" s="37">
        <v>41204</v>
      </c>
      <c r="B24" s="17">
        <v>531.46600000000001</v>
      </c>
      <c r="C24" s="54">
        <f t="shared" si="0"/>
        <v>530.64652270481622</v>
      </c>
      <c r="D24" s="54">
        <f t="shared" si="1"/>
        <v>8.477543031731706</v>
      </c>
      <c r="E24" s="54">
        <f t="shared" si="4"/>
        <v>0.81947729518378765</v>
      </c>
      <c r="F24" s="54">
        <f t="shared" si="3"/>
        <v>9.6664480748308648E-2</v>
      </c>
    </row>
    <row r="25" spans="1:6" x14ac:dyDescent="0.25">
      <c r="A25" s="37">
        <v>41235</v>
      </c>
      <c r="B25" s="17">
        <v>531.38800000000003</v>
      </c>
      <c r="C25" s="54">
        <f t="shared" si="0"/>
        <v>530.64652270481622</v>
      </c>
      <c r="D25" s="54">
        <f t="shared" si="1"/>
        <v>8.477543031731706</v>
      </c>
      <c r="E25" s="54">
        <f t="shared" si="4"/>
        <v>0.74147729518381311</v>
      </c>
      <c r="F25" s="54">
        <f t="shared" si="3"/>
        <v>8.7463701736274366E-2</v>
      </c>
    </row>
    <row r="26" spans="1:6" x14ac:dyDescent="0.25">
      <c r="A26" s="37">
        <v>41265</v>
      </c>
      <c r="B26" s="17">
        <v>531.39400000000001</v>
      </c>
      <c r="C26" s="54">
        <f t="shared" si="0"/>
        <v>530.64652270481622</v>
      </c>
      <c r="D26" s="54">
        <f t="shared" si="1"/>
        <v>8.477543031731706</v>
      </c>
      <c r="E26" s="54">
        <f t="shared" si="4"/>
        <v>0.74747729518378492</v>
      </c>
      <c r="F26" s="54">
        <f t="shared" si="3"/>
        <v>8.8171453967966218E-2</v>
      </c>
    </row>
    <row r="27" spans="1:6" x14ac:dyDescent="0.25">
      <c r="A27" s="37">
        <v>41296</v>
      </c>
      <c r="B27" s="17">
        <v>531.45799999999997</v>
      </c>
      <c r="C27" s="54">
        <f t="shared" si="0"/>
        <v>530.64652270481622</v>
      </c>
      <c r="D27" s="54">
        <f t="shared" si="1"/>
        <v>8.477543031731706</v>
      </c>
      <c r="E27" s="54">
        <f t="shared" si="4"/>
        <v>0.81147729518374945</v>
      </c>
      <c r="F27" s="54">
        <f t="shared" si="3"/>
        <v>9.5720811106043913E-2</v>
      </c>
    </row>
    <row r="28" spans="1:6" x14ac:dyDescent="0.25">
      <c r="A28" s="37">
        <v>41327</v>
      </c>
      <c r="B28" s="17">
        <v>531.52200000000005</v>
      </c>
      <c r="C28" s="54">
        <f t="shared" si="0"/>
        <v>530.64652270481622</v>
      </c>
      <c r="D28" s="54">
        <f t="shared" si="1"/>
        <v>8.477543031731706</v>
      </c>
      <c r="E28" s="54">
        <f t="shared" si="4"/>
        <v>0.87547729518382766</v>
      </c>
      <c r="F28" s="54">
        <f t="shared" si="3"/>
        <v>0.10327016824413501</v>
      </c>
    </row>
    <row r="29" spans="1:6" x14ac:dyDescent="0.25">
      <c r="A29" s="37">
        <v>41355</v>
      </c>
      <c r="B29" s="17">
        <v>531.7940000000001</v>
      </c>
      <c r="C29" s="54">
        <f t="shared" si="0"/>
        <v>530.64652270481622</v>
      </c>
      <c r="D29" s="54">
        <f t="shared" si="1"/>
        <v>8.477543031731706</v>
      </c>
      <c r="E29" s="54">
        <f t="shared" si="4"/>
        <v>1.1474772951838759</v>
      </c>
      <c r="F29" s="54">
        <f t="shared" si="3"/>
        <v>0.13535493608098867</v>
      </c>
    </row>
    <row r="30" spans="1:6" x14ac:dyDescent="0.25">
      <c r="A30" s="37">
        <v>41386</v>
      </c>
      <c r="B30" s="17">
        <v>531.92799999999988</v>
      </c>
      <c r="C30" s="54">
        <f t="shared" si="0"/>
        <v>530.64652270481622</v>
      </c>
      <c r="D30" s="54">
        <f t="shared" si="1"/>
        <v>8.477543031731706</v>
      </c>
      <c r="E30" s="54">
        <f t="shared" si="4"/>
        <v>1.281477295183663</v>
      </c>
      <c r="F30" s="54">
        <f t="shared" si="3"/>
        <v>0.15116140258882246</v>
      </c>
    </row>
    <row r="31" spans="1:6" x14ac:dyDescent="0.25">
      <c r="A31" s="37">
        <v>41416</v>
      </c>
      <c r="B31" s="17">
        <v>531.94200000000001</v>
      </c>
      <c r="C31" s="54">
        <f t="shared" si="0"/>
        <v>530.64652270481622</v>
      </c>
      <c r="D31" s="54">
        <f t="shared" si="1"/>
        <v>8.477543031731706</v>
      </c>
      <c r="E31" s="54">
        <f t="shared" si="4"/>
        <v>1.2954772951837867</v>
      </c>
      <c r="F31" s="54">
        <f t="shared" si="3"/>
        <v>0.15281282446279248</v>
      </c>
    </row>
    <row r="32" spans="1:6" x14ac:dyDescent="0.25">
      <c r="A32" s="37">
        <v>41447</v>
      </c>
      <c r="B32" s="17">
        <v>532.01800000000003</v>
      </c>
      <c r="C32" s="54">
        <f t="shared" si="0"/>
        <v>530.64652270481622</v>
      </c>
      <c r="D32" s="54">
        <f t="shared" si="1"/>
        <v>8.477543031731706</v>
      </c>
      <c r="E32" s="54">
        <f t="shared" si="4"/>
        <v>1.3714772951838086</v>
      </c>
      <c r="F32" s="54">
        <f t="shared" si="3"/>
        <v>0.16177768606426729</v>
      </c>
    </row>
    <row r="33" spans="1:6" x14ac:dyDescent="0.25">
      <c r="A33" s="37">
        <v>41477</v>
      </c>
      <c r="B33" s="17">
        <v>531.93000000000006</v>
      </c>
      <c r="C33" s="54">
        <f t="shared" si="0"/>
        <v>530.64652270481622</v>
      </c>
      <c r="D33" s="54">
        <f t="shared" si="1"/>
        <v>8.477543031731706</v>
      </c>
      <c r="E33" s="54">
        <f t="shared" si="4"/>
        <v>1.2834772951838431</v>
      </c>
      <c r="F33" s="54">
        <f t="shared" si="3"/>
        <v>0.15139731999940878</v>
      </c>
    </row>
    <row r="34" spans="1:6" x14ac:dyDescent="0.25">
      <c r="A34" s="37">
        <v>41508</v>
      </c>
      <c r="B34" s="17">
        <v>531.7120000000001</v>
      </c>
      <c r="C34" s="54">
        <f t="shared" si="0"/>
        <v>530.64652270481622</v>
      </c>
      <c r="D34" s="54">
        <f t="shared" si="1"/>
        <v>8.477543031731706</v>
      </c>
      <c r="E34" s="54">
        <f t="shared" si="4"/>
        <v>1.0654772951838822</v>
      </c>
      <c r="F34" s="54">
        <f t="shared" si="3"/>
        <v>0.125682322247822</v>
      </c>
    </row>
    <row r="35" spans="1:6" x14ac:dyDescent="0.25">
      <c r="A35" s="37">
        <v>41539</v>
      </c>
      <c r="B35" s="17">
        <v>531.70399999999995</v>
      </c>
      <c r="C35" s="54">
        <f t="shared" si="0"/>
        <v>530.64652270481622</v>
      </c>
      <c r="D35" s="54">
        <f t="shared" si="1"/>
        <v>8.477543031731706</v>
      </c>
      <c r="E35" s="54">
        <f t="shared" si="4"/>
        <v>1.0574772951837303</v>
      </c>
      <c r="F35" s="54">
        <f t="shared" si="3"/>
        <v>0.12473865260554386</v>
      </c>
    </row>
    <row r="36" spans="1:6" x14ac:dyDescent="0.25">
      <c r="A36" s="37">
        <v>41569</v>
      </c>
      <c r="B36" s="17">
        <v>531.60799999999995</v>
      </c>
      <c r="C36" s="54">
        <f t="shared" si="0"/>
        <v>530.64652270481622</v>
      </c>
      <c r="D36" s="54">
        <f t="shared" si="1"/>
        <v>8.477543031731706</v>
      </c>
      <c r="E36" s="54">
        <f t="shared" si="4"/>
        <v>0.96147729518372671</v>
      </c>
      <c r="F36" s="54">
        <f t="shared" si="3"/>
        <v>0.11341461689842063</v>
      </c>
    </row>
    <row r="37" spans="1:6" x14ac:dyDescent="0.25">
      <c r="A37" s="37">
        <v>41600</v>
      </c>
      <c r="B37" s="17">
        <v>531.51600000000008</v>
      </c>
      <c r="C37" s="54">
        <f t="shared" si="0"/>
        <v>530.64652270481622</v>
      </c>
      <c r="D37" s="54">
        <f t="shared" si="1"/>
        <v>8.477543031731706</v>
      </c>
      <c r="E37" s="54">
        <f t="shared" si="4"/>
        <v>0.86947729518385586</v>
      </c>
      <c r="F37" s="54">
        <f t="shared" si="3"/>
        <v>0.10256241601244316</v>
      </c>
    </row>
    <row r="38" spans="1:6" x14ac:dyDescent="0.25">
      <c r="A38" s="37">
        <v>41630</v>
      </c>
      <c r="B38" s="17">
        <v>531.67400000000009</v>
      </c>
      <c r="C38" s="54">
        <f t="shared" si="0"/>
        <v>530.64652270481622</v>
      </c>
      <c r="D38" s="54">
        <f t="shared" si="1"/>
        <v>8.477543031731706</v>
      </c>
      <c r="E38" s="54">
        <f t="shared" si="4"/>
        <v>1.0274772951838713</v>
      </c>
      <c r="F38" s="54">
        <f t="shared" si="3"/>
        <v>0.12119989144708461</v>
      </c>
    </row>
    <row r="39" spans="1:6" x14ac:dyDescent="0.25">
      <c r="A39" s="37">
        <v>41661</v>
      </c>
      <c r="B39" s="17">
        <v>531.83400000000006</v>
      </c>
      <c r="C39" s="54">
        <f t="shared" si="0"/>
        <v>530.64652270481622</v>
      </c>
      <c r="D39" s="54">
        <f t="shared" si="1"/>
        <v>8.477543031731706</v>
      </c>
      <c r="E39" s="54">
        <f t="shared" si="4"/>
        <v>1.1874772951838395</v>
      </c>
      <c r="F39" s="54">
        <f t="shared" si="3"/>
        <v>0.14007328429228555</v>
      </c>
    </row>
    <row r="40" spans="1:6" x14ac:dyDescent="0.25">
      <c r="A40" s="37">
        <v>41692</v>
      </c>
      <c r="B40" s="17">
        <v>531.95000000000005</v>
      </c>
      <c r="C40" s="54">
        <f t="shared" si="0"/>
        <v>530.64652270481622</v>
      </c>
      <c r="D40" s="54">
        <f t="shared" si="1"/>
        <v>8.477543031731706</v>
      </c>
      <c r="E40" s="54">
        <f t="shared" si="4"/>
        <v>1.3034772951838249</v>
      </c>
      <c r="F40" s="54">
        <f t="shared" si="3"/>
        <v>0.15375649410505721</v>
      </c>
    </row>
    <row r="41" spans="1:6" x14ac:dyDescent="0.25">
      <c r="A41" s="37">
        <v>41720</v>
      </c>
      <c r="B41" s="17">
        <v>532.28600000000006</v>
      </c>
      <c r="C41" s="54">
        <f t="shared" si="0"/>
        <v>530.64652270481622</v>
      </c>
      <c r="D41" s="54">
        <f t="shared" si="1"/>
        <v>8.477543031731706</v>
      </c>
      <c r="E41" s="54">
        <f t="shared" si="4"/>
        <v>1.6394772951838377</v>
      </c>
      <c r="F41" s="54">
        <f t="shared" si="3"/>
        <v>0.19339061907998856</v>
      </c>
    </row>
    <row r="42" spans="1:6" x14ac:dyDescent="0.25">
      <c r="A42" s="37">
        <v>41751</v>
      </c>
      <c r="B42" s="17">
        <v>532.47399999999993</v>
      </c>
      <c r="C42" s="54">
        <f t="shared" si="0"/>
        <v>530.64652270481622</v>
      </c>
      <c r="D42" s="54">
        <f t="shared" si="1"/>
        <v>8.477543031731706</v>
      </c>
      <c r="E42" s="54">
        <f t="shared" si="4"/>
        <v>1.8274772951837122</v>
      </c>
      <c r="F42" s="54">
        <f t="shared" si="3"/>
        <v>0.21556685567308925</v>
      </c>
    </row>
    <row r="43" spans="1:6" x14ac:dyDescent="0.25">
      <c r="A43" s="37">
        <v>41781</v>
      </c>
      <c r="B43" s="17">
        <v>532.33999999999992</v>
      </c>
      <c r="C43" s="54">
        <f t="shared" si="0"/>
        <v>530.64652270481622</v>
      </c>
      <c r="D43" s="54">
        <f t="shared" si="1"/>
        <v>8.477543031731706</v>
      </c>
      <c r="E43" s="54">
        <f t="shared" si="4"/>
        <v>1.6934772951836976</v>
      </c>
      <c r="F43" s="54">
        <f t="shared" si="3"/>
        <v>0.19976038916522862</v>
      </c>
    </row>
    <row r="44" spans="1:6" x14ac:dyDescent="0.25">
      <c r="A44" s="37">
        <v>41812</v>
      </c>
      <c r="B44" s="17">
        <v>532.29600000000005</v>
      </c>
      <c r="C44" s="54">
        <f t="shared" si="0"/>
        <v>530.64652270481622</v>
      </c>
      <c r="D44" s="54">
        <f t="shared" si="1"/>
        <v>8.477543031731706</v>
      </c>
      <c r="E44" s="54">
        <f t="shared" si="4"/>
        <v>1.6494772951838286</v>
      </c>
      <c r="F44" s="54">
        <f t="shared" si="3"/>
        <v>0.19457020613281278</v>
      </c>
    </row>
    <row r="45" spans="1:6" x14ac:dyDescent="0.25">
      <c r="A45" s="37">
        <v>41842</v>
      </c>
      <c r="B45" s="17">
        <v>532.16399999999999</v>
      </c>
      <c r="C45" s="54">
        <f t="shared" si="0"/>
        <v>530.64652270481622</v>
      </c>
      <c r="D45" s="54">
        <f t="shared" si="1"/>
        <v>8.477543031731706</v>
      </c>
      <c r="E45" s="54">
        <f t="shared" ref="E45:E76" si="5">B45-C45</f>
        <v>1.5174772951837667</v>
      </c>
      <c r="F45" s="54">
        <f t="shared" si="3"/>
        <v>0.17899965703551163</v>
      </c>
    </row>
    <row r="46" spans="1:6" x14ac:dyDescent="0.25">
      <c r="A46" s="37">
        <v>41873</v>
      </c>
      <c r="B46" s="17">
        <v>532.08199999999999</v>
      </c>
      <c r="C46" s="54">
        <f t="shared" si="0"/>
        <v>530.64652270481622</v>
      </c>
      <c r="D46" s="54">
        <f t="shared" si="1"/>
        <v>8.477543031731706</v>
      </c>
      <c r="E46" s="54">
        <f t="shared" si="5"/>
        <v>1.4354772951837731</v>
      </c>
      <c r="F46" s="54">
        <f t="shared" si="3"/>
        <v>0.16932704320234496</v>
      </c>
    </row>
    <row r="47" spans="1:6" x14ac:dyDescent="0.25">
      <c r="A47" s="37">
        <v>41904</v>
      </c>
      <c r="B47" s="17">
        <v>532.08999999999992</v>
      </c>
      <c r="C47" s="54">
        <f t="shared" si="0"/>
        <v>530.64652270481622</v>
      </c>
      <c r="D47" s="54">
        <f t="shared" si="1"/>
        <v>8.477543031731706</v>
      </c>
      <c r="E47" s="54">
        <f t="shared" si="5"/>
        <v>1.4434772951836976</v>
      </c>
      <c r="F47" s="54">
        <f t="shared" si="3"/>
        <v>0.1702707128445963</v>
      </c>
    </row>
    <row r="48" spans="1:6" x14ac:dyDescent="0.25">
      <c r="A48" s="37">
        <v>41934</v>
      </c>
      <c r="B48" s="17">
        <v>532.02800000000002</v>
      </c>
      <c r="C48" s="54">
        <f t="shared" si="0"/>
        <v>530.64652270481622</v>
      </c>
      <c r="D48" s="54">
        <f t="shared" si="1"/>
        <v>8.477543031731706</v>
      </c>
      <c r="E48" s="54">
        <f t="shared" si="5"/>
        <v>1.3814772951837995</v>
      </c>
      <c r="F48" s="54">
        <f t="shared" si="3"/>
        <v>0.16295727311709149</v>
      </c>
    </row>
    <row r="49" spans="1:6" x14ac:dyDescent="0.25">
      <c r="A49" s="37">
        <v>41965</v>
      </c>
      <c r="B49" s="17">
        <v>531.94399999999996</v>
      </c>
      <c r="C49" s="54">
        <f t="shared" si="0"/>
        <v>530.64652270481622</v>
      </c>
      <c r="D49" s="54">
        <f t="shared" si="1"/>
        <v>8.477543031731706</v>
      </c>
      <c r="E49" s="54">
        <f t="shared" si="5"/>
        <v>1.2974772951837394</v>
      </c>
      <c r="F49" s="54">
        <f t="shared" si="3"/>
        <v>0.15304874187335196</v>
      </c>
    </row>
    <row r="50" spans="1:6" x14ac:dyDescent="0.25">
      <c r="A50" s="37">
        <v>41995</v>
      </c>
      <c r="B50" s="17">
        <v>531.94799999999998</v>
      </c>
      <c r="C50" s="54">
        <f t="shared" si="0"/>
        <v>530.64652270481622</v>
      </c>
      <c r="D50" s="54">
        <f t="shared" si="1"/>
        <v>8.477543031731706</v>
      </c>
      <c r="E50" s="54">
        <f t="shared" si="5"/>
        <v>1.3014772951837585</v>
      </c>
      <c r="F50" s="54">
        <f t="shared" si="3"/>
        <v>0.15352057669448432</v>
      </c>
    </row>
    <row r="51" spans="1:6" x14ac:dyDescent="0.25">
      <c r="A51" s="37">
        <v>42026</v>
      </c>
      <c r="B51" s="17">
        <v>531.96799999999996</v>
      </c>
      <c r="C51" s="54">
        <f t="shared" si="0"/>
        <v>530.64652270481622</v>
      </c>
      <c r="D51" s="54">
        <f t="shared" si="1"/>
        <v>8.477543031731706</v>
      </c>
      <c r="E51" s="54">
        <f t="shared" si="5"/>
        <v>1.3214772951837404</v>
      </c>
      <c r="F51" s="54">
        <f t="shared" si="3"/>
        <v>0.15587975080013278</v>
      </c>
    </row>
    <row r="52" spans="1:6" x14ac:dyDescent="0.25">
      <c r="A52" s="37">
        <v>42057</v>
      </c>
      <c r="B52" s="17">
        <v>532.13599999999997</v>
      </c>
      <c r="C52" s="54">
        <f t="shared" si="0"/>
        <v>530.64652270481622</v>
      </c>
      <c r="D52" s="54">
        <f t="shared" si="1"/>
        <v>8.477543031731706</v>
      </c>
      <c r="E52" s="54">
        <f t="shared" si="5"/>
        <v>1.4894772951837467</v>
      </c>
      <c r="F52" s="54">
        <f t="shared" si="3"/>
        <v>0.17569681328759842</v>
      </c>
    </row>
    <row r="53" spans="1:6" x14ac:dyDescent="0.25">
      <c r="A53" s="37">
        <v>42085</v>
      </c>
      <c r="B53" s="17">
        <v>532.09799999999996</v>
      </c>
      <c r="C53" s="54">
        <f t="shared" si="0"/>
        <v>530.64652270481622</v>
      </c>
      <c r="D53" s="54">
        <f t="shared" si="1"/>
        <v>8.477543031731706</v>
      </c>
      <c r="E53" s="54">
        <f t="shared" si="5"/>
        <v>1.4514772951837358</v>
      </c>
      <c r="F53" s="54">
        <f t="shared" si="3"/>
        <v>0.17121438248686102</v>
      </c>
    </row>
    <row r="54" spans="1:6" x14ac:dyDescent="0.25">
      <c r="A54" s="37">
        <v>42116</v>
      </c>
      <c r="B54" s="17">
        <v>531.88000000000011</v>
      </c>
      <c r="C54" s="54">
        <f t="shared" si="0"/>
        <v>530.64652270481622</v>
      </c>
      <c r="D54" s="54">
        <f t="shared" si="1"/>
        <v>8.477543031731706</v>
      </c>
      <c r="E54" s="54">
        <f t="shared" si="5"/>
        <v>1.2334772951838886</v>
      </c>
      <c r="F54" s="54">
        <f t="shared" si="3"/>
        <v>0.14549938473528767</v>
      </c>
    </row>
    <row r="55" spans="1:6" x14ac:dyDescent="0.25">
      <c r="A55" s="37">
        <v>42146</v>
      </c>
      <c r="B55" s="17">
        <v>531.83799999999997</v>
      </c>
      <c r="C55" s="54">
        <f t="shared" si="0"/>
        <v>530.64652270481622</v>
      </c>
      <c r="D55" s="54">
        <f t="shared" si="1"/>
        <v>8.477543031731706</v>
      </c>
      <c r="E55" s="54">
        <f t="shared" si="5"/>
        <v>1.1914772951837449</v>
      </c>
      <c r="F55" s="54">
        <f t="shared" si="3"/>
        <v>0.1405451191134045</v>
      </c>
    </row>
    <row r="56" spans="1:6" x14ac:dyDescent="0.25">
      <c r="A56" s="37">
        <v>42177</v>
      </c>
      <c r="B56" s="17">
        <v>531.85200000000009</v>
      </c>
      <c r="C56" s="54">
        <f t="shared" si="0"/>
        <v>530.64652270481622</v>
      </c>
      <c r="D56" s="54">
        <f t="shared" si="1"/>
        <v>8.477543031731706</v>
      </c>
      <c r="E56" s="54">
        <f t="shared" si="5"/>
        <v>1.2054772951838686</v>
      </c>
      <c r="F56" s="54">
        <f t="shared" si="3"/>
        <v>0.1421965409873745</v>
      </c>
    </row>
    <row r="57" spans="1:6" x14ac:dyDescent="0.25">
      <c r="A57" s="37">
        <v>42207</v>
      </c>
      <c r="B57" s="17">
        <v>531.74400000000003</v>
      </c>
      <c r="C57" s="54">
        <f t="shared" si="0"/>
        <v>530.64652270481622</v>
      </c>
      <c r="D57" s="54">
        <f t="shared" si="1"/>
        <v>8.477543031731706</v>
      </c>
      <c r="E57" s="54">
        <f t="shared" si="5"/>
        <v>1.0974772951838077</v>
      </c>
      <c r="F57" s="54">
        <f t="shared" si="3"/>
        <v>0.12945700081685416</v>
      </c>
    </row>
    <row r="58" spans="1:6" x14ac:dyDescent="0.25">
      <c r="A58" s="37">
        <v>42238</v>
      </c>
      <c r="B58" s="17">
        <v>531.79199999999992</v>
      </c>
      <c r="C58" s="54">
        <f t="shared" si="0"/>
        <v>530.64652270481622</v>
      </c>
      <c r="D58" s="54">
        <f t="shared" si="1"/>
        <v>8.477543031731706</v>
      </c>
      <c r="E58" s="54">
        <f t="shared" si="5"/>
        <v>1.1454772951836958</v>
      </c>
      <c r="F58" s="54">
        <f t="shared" si="3"/>
        <v>0.13511901867040235</v>
      </c>
    </row>
    <row r="59" spans="1:6" x14ac:dyDescent="0.25">
      <c r="A59" s="37">
        <v>42269</v>
      </c>
      <c r="B59" s="17">
        <v>531.66200000000003</v>
      </c>
      <c r="C59" s="54">
        <f t="shared" si="0"/>
        <v>530.64652270481622</v>
      </c>
      <c r="D59" s="54">
        <f t="shared" si="1"/>
        <v>8.477543031731706</v>
      </c>
      <c r="E59" s="54">
        <f t="shared" si="5"/>
        <v>1.015477295183814</v>
      </c>
      <c r="F59" s="54">
        <f t="shared" si="3"/>
        <v>0.1197843869836875</v>
      </c>
    </row>
    <row r="60" spans="1:6" x14ac:dyDescent="0.25">
      <c r="A60" s="37">
        <v>42299</v>
      </c>
      <c r="B60" s="17">
        <v>531.64400000000001</v>
      </c>
      <c r="C60" s="54">
        <f t="shared" si="0"/>
        <v>530.64652270481622</v>
      </c>
      <c r="D60" s="54">
        <f t="shared" si="1"/>
        <v>8.477543031731706</v>
      </c>
      <c r="E60" s="54">
        <f t="shared" si="5"/>
        <v>0.99747729518378492</v>
      </c>
      <c r="F60" s="54">
        <f t="shared" si="3"/>
        <v>0.11766113028859854</v>
      </c>
    </row>
    <row r="61" spans="1:6" x14ac:dyDescent="0.25">
      <c r="A61" s="37">
        <v>42330</v>
      </c>
      <c r="B61" s="17">
        <v>531.548</v>
      </c>
      <c r="C61" s="54">
        <f t="shared" si="0"/>
        <v>530.64652270481622</v>
      </c>
      <c r="D61" s="54">
        <f t="shared" si="1"/>
        <v>8.477543031731706</v>
      </c>
      <c r="E61" s="54">
        <f t="shared" si="5"/>
        <v>0.90147729518378128</v>
      </c>
      <c r="F61" s="54">
        <f t="shared" si="3"/>
        <v>0.10633709458147531</v>
      </c>
    </row>
    <row r="62" spans="1:6" x14ac:dyDescent="0.25">
      <c r="A62" s="37">
        <v>42360</v>
      </c>
      <c r="B62" s="17">
        <v>531.50200000000007</v>
      </c>
      <c r="C62" s="54">
        <f t="shared" si="0"/>
        <v>530.64652270481622</v>
      </c>
      <c r="D62" s="54">
        <f t="shared" si="1"/>
        <v>8.477543031731706</v>
      </c>
      <c r="E62" s="54">
        <f t="shared" si="5"/>
        <v>0.85547729518384585</v>
      </c>
      <c r="F62" s="54">
        <f t="shared" si="3"/>
        <v>0.10091099413848657</v>
      </c>
    </row>
    <row r="63" spans="1:6" x14ac:dyDescent="0.25">
      <c r="A63" s="37">
        <v>42391</v>
      </c>
      <c r="B63" s="17">
        <v>531.44000000000005</v>
      </c>
      <c r="C63" s="54">
        <f t="shared" si="0"/>
        <v>530.64652270481622</v>
      </c>
      <c r="D63" s="54">
        <f t="shared" si="1"/>
        <v>8.477543031731706</v>
      </c>
      <c r="E63" s="54">
        <f t="shared" si="5"/>
        <v>0.79347729518383403</v>
      </c>
      <c r="F63" s="54">
        <f t="shared" si="3"/>
        <v>9.3597554410968356E-2</v>
      </c>
    </row>
    <row r="64" spans="1:6" x14ac:dyDescent="0.25">
      <c r="A64" s="37">
        <v>42422</v>
      </c>
      <c r="B64" s="17">
        <v>531.41799999999989</v>
      </c>
      <c r="C64" s="54">
        <f t="shared" si="0"/>
        <v>530.64652270481622</v>
      </c>
      <c r="D64" s="54">
        <f t="shared" si="1"/>
        <v>8.477543031731706</v>
      </c>
      <c r="E64" s="54">
        <f t="shared" si="5"/>
        <v>0.77147729518367214</v>
      </c>
      <c r="F64" s="54">
        <f t="shared" si="3"/>
        <v>9.1002462894733627E-2</v>
      </c>
    </row>
    <row r="65" spans="1:6" x14ac:dyDescent="0.25">
      <c r="A65" s="37">
        <v>42451</v>
      </c>
      <c r="B65" s="17">
        <v>531.37200000000007</v>
      </c>
      <c r="C65" s="54">
        <f t="shared" si="0"/>
        <v>530.64652270481622</v>
      </c>
      <c r="D65" s="54">
        <f t="shared" si="1"/>
        <v>8.477543031731706</v>
      </c>
      <c r="E65" s="54">
        <f t="shared" si="5"/>
        <v>0.7254772951838504</v>
      </c>
      <c r="F65" s="54">
        <f t="shared" si="3"/>
        <v>8.55763624517583E-2</v>
      </c>
    </row>
    <row r="66" spans="1:6" x14ac:dyDescent="0.25">
      <c r="A66" s="37">
        <v>42482</v>
      </c>
      <c r="B66" s="17">
        <v>531.404</v>
      </c>
      <c r="C66" s="54">
        <f t="shared" si="0"/>
        <v>530.64652270481622</v>
      </c>
      <c r="D66" s="54">
        <f t="shared" si="1"/>
        <v>8.477543031731706</v>
      </c>
      <c r="E66" s="54">
        <f t="shared" si="5"/>
        <v>0.75747729518377582</v>
      </c>
      <c r="F66" s="54">
        <f t="shared" si="3"/>
        <v>8.9351041020790445E-2</v>
      </c>
    </row>
    <row r="67" spans="1:6" x14ac:dyDescent="0.25">
      <c r="A67" s="37">
        <v>42512</v>
      </c>
      <c r="B67" s="17">
        <v>531.41399999999999</v>
      </c>
      <c r="C67" s="54">
        <f t="shared" si="0"/>
        <v>530.64652270481622</v>
      </c>
      <c r="D67" s="54">
        <f t="shared" si="1"/>
        <v>8.477543031731706</v>
      </c>
      <c r="E67" s="54">
        <f t="shared" si="5"/>
        <v>0.76747729518376673</v>
      </c>
      <c r="F67" s="54">
        <f t="shared" si="3"/>
        <v>9.0530628073614658E-2</v>
      </c>
    </row>
    <row r="68" spans="1:6" x14ac:dyDescent="0.25">
      <c r="A68" s="37">
        <v>42543</v>
      </c>
      <c r="B68" s="17">
        <v>531.35000000000014</v>
      </c>
      <c r="C68" s="54">
        <f t="shared" si="0"/>
        <v>530.64652270481622</v>
      </c>
      <c r="D68" s="54">
        <f t="shared" si="1"/>
        <v>8.477543031731706</v>
      </c>
      <c r="E68" s="54">
        <f t="shared" si="5"/>
        <v>0.70347729518391588</v>
      </c>
      <c r="F68" s="54">
        <f t="shared" ref="F68:F131" si="6">E68/D68</f>
        <v>8.2981270935550383E-2</v>
      </c>
    </row>
    <row r="69" spans="1:6" x14ac:dyDescent="0.25">
      <c r="A69" s="37">
        <v>42573</v>
      </c>
      <c r="B69" s="17">
        <v>531.33400000000006</v>
      </c>
      <c r="C69" s="54">
        <f t="shared" ref="C69:C132" si="7">AVERAGE($B$4:$B$173)</f>
        <v>530.64652270481622</v>
      </c>
      <c r="D69" s="54">
        <f t="shared" ref="D69:D132" si="8">_xlfn.STDEV.S($B$4:$B$173)</f>
        <v>8.477543031731706</v>
      </c>
      <c r="E69" s="54">
        <f t="shared" si="5"/>
        <v>0.68747729518383949</v>
      </c>
      <c r="F69" s="54">
        <f t="shared" si="6"/>
        <v>8.1093931651020898E-2</v>
      </c>
    </row>
    <row r="70" spans="1:6" x14ac:dyDescent="0.25">
      <c r="A70" s="37">
        <v>42604</v>
      </c>
      <c r="B70" s="17">
        <v>531.24399999999991</v>
      </c>
      <c r="C70" s="54">
        <f t="shared" si="7"/>
        <v>530.64652270481622</v>
      </c>
      <c r="D70" s="54">
        <f t="shared" si="8"/>
        <v>8.477543031731706</v>
      </c>
      <c r="E70" s="54">
        <f t="shared" si="5"/>
        <v>0.59747729518369397</v>
      </c>
      <c r="F70" s="54">
        <f t="shared" si="6"/>
        <v>7.0477648175576099E-2</v>
      </c>
    </row>
    <row r="71" spans="1:6" x14ac:dyDescent="0.25">
      <c r="A71" s="37">
        <v>42635</v>
      </c>
      <c r="B71" s="17">
        <v>531.18599999999992</v>
      </c>
      <c r="C71" s="54">
        <f t="shared" si="7"/>
        <v>530.64652270481622</v>
      </c>
      <c r="D71" s="54">
        <f t="shared" si="8"/>
        <v>8.477543031731706</v>
      </c>
      <c r="E71" s="54">
        <f t="shared" si="5"/>
        <v>0.53947729518370124</v>
      </c>
      <c r="F71" s="54">
        <f t="shared" si="6"/>
        <v>6.3636043269190257E-2</v>
      </c>
    </row>
    <row r="72" spans="1:6" x14ac:dyDescent="0.25">
      <c r="A72" s="37">
        <v>42665</v>
      </c>
      <c r="B72" s="17">
        <v>531.22</v>
      </c>
      <c r="C72" s="54">
        <f t="shared" si="7"/>
        <v>530.64652270481622</v>
      </c>
      <c r="D72" s="54">
        <f t="shared" si="8"/>
        <v>8.477543031731706</v>
      </c>
      <c r="E72" s="54">
        <f t="shared" si="5"/>
        <v>0.57347729518380675</v>
      </c>
      <c r="F72" s="54">
        <f t="shared" si="6"/>
        <v>6.7646639248808704E-2</v>
      </c>
    </row>
    <row r="73" spans="1:6" x14ac:dyDescent="0.25">
      <c r="A73" s="37">
        <v>42696</v>
      </c>
      <c r="B73" s="17">
        <v>531.15200000000004</v>
      </c>
      <c r="C73" s="54">
        <f t="shared" si="7"/>
        <v>530.64652270481622</v>
      </c>
      <c r="D73" s="54">
        <f t="shared" si="8"/>
        <v>8.477543031731706</v>
      </c>
      <c r="E73" s="54">
        <f t="shared" si="5"/>
        <v>0.50547729518382312</v>
      </c>
      <c r="F73" s="54">
        <f t="shared" si="6"/>
        <v>5.9625447289598642E-2</v>
      </c>
    </row>
    <row r="74" spans="1:6" x14ac:dyDescent="0.25">
      <c r="A74" s="37">
        <v>42726</v>
      </c>
      <c r="B74" s="17">
        <v>531.22800000000007</v>
      </c>
      <c r="C74" s="54">
        <f t="shared" si="7"/>
        <v>530.64652270481622</v>
      </c>
      <c r="D74" s="54">
        <f t="shared" si="8"/>
        <v>8.477543031731706</v>
      </c>
      <c r="E74" s="54">
        <f t="shared" si="5"/>
        <v>0.58147729518384494</v>
      </c>
      <c r="F74" s="54">
        <f t="shared" si="6"/>
        <v>6.859030889107344E-2</v>
      </c>
    </row>
    <row r="75" spans="1:6" x14ac:dyDescent="0.25">
      <c r="A75" s="37">
        <v>42757</v>
      </c>
      <c r="B75" s="17">
        <v>551.9</v>
      </c>
      <c r="C75" s="54">
        <f t="shared" si="7"/>
        <v>530.64652270481622</v>
      </c>
      <c r="D75" s="54">
        <f t="shared" si="8"/>
        <v>8.477543031731706</v>
      </c>
      <c r="E75" s="54">
        <f t="shared" si="5"/>
        <v>21.253477295183757</v>
      </c>
      <c r="F75" s="54">
        <f t="shared" si="6"/>
        <v>2.5070326644915082</v>
      </c>
    </row>
    <row r="76" spans="1:6" x14ac:dyDescent="0.25">
      <c r="A76" s="37">
        <v>42788</v>
      </c>
      <c r="B76" s="17">
        <v>552.06375000000003</v>
      </c>
      <c r="C76" s="54">
        <f t="shared" si="7"/>
        <v>530.64652270481622</v>
      </c>
      <c r="D76" s="54">
        <f t="shared" si="8"/>
        <v>8.477543031731706</v>
      </c>
      <c r="E76" s="54">
        <f t="shared" si="5"/>
        <v>21.417227295183807</v>
      </c>
      <c r="F76" s="54">
        <f t="shared" si="6"/>
        <v>2.5263484024815281</v>
      </c>
    </row>
    <row r="77" spans="1:6" x14ac:dyDescent="0.25">
      <c r="A77" s="37">
        <v>42816</v>
      </c>
      <c r="B77" s="17">
        <v>531.47199999999998</v>
      </c>
      <c r="C77" s="54">
        <f t="shared" si="7"/>
        <v>530.64652270481622</v>
      </c>
      <c r="D77" s="54">
        <f t="shared" si="8"/>
        <v>8.477543031731706</v>
      </c>
      <c r="E77" s="54">
        <f t="shared" ref="E77:E108" si="9">B77-C77</f>
        <v>0.82547729518375945</v>
      </c>
      <c r="F77" s="54">
        <f t="shared" si="6"/>
        <v>9.73722329800005E-2</v>
      </c>
    </row>
    <row r="78" spans="1:6" x14ac:dyDescent="0.25">
      <c r="A78" s="37">
        <v>42847</v>
      </c>
      <c r="B78" s="17">
        <v>531.57600000000002</v>
      </c>
      <c r="C78" s="54">
        <f t="shared" si="7"/>
        <v>530.64652270481622</v>
      </c>
      <c r="D78" s="54">
        <f t="shared" si="8"/>
        <v>8.477543031731706</v>
      </c>
      <c r="E78" s="54">
        <f t="shared" si="9"/>
        <v>0.92947729518380129</v>
      </c>
      <c r="F78" s="54">
        <f t="shared" si="6"/>
        <v>0.10963993832938848</v>
      </c>
    </row>
    <row r="79" spans="1:6" x14ac:dyDescent="0.25">
      <c r="A79" s="37">
        <v>42877</v>
      </c>
      <c r="B79" s="17">
        <v>531.50400000000002</v>
      </c>
      <c r="C79" s="54">
        <f t="shared" si="7"/>
        <v>530.64652270481622</v>
      </c>
      <c r="D79" s="54">
        <f t="shared" si="8"/>
        <v>8.477543031731706</v>
      </c>
      <c r="E79" s="54">
        <f t="shared" si="9"/>
        <v>0.85747729518379856</v>
      </c>
      <c r="F79" s="54">
        <f t="shared" si="6"/>
        <v>0.10114691154904605</v>
      </c>
    </row>
    <row r="80" spans="1:6" x14ac:dyDescent="0.25">
      <c r="A80" s="37">
        <v>42908</v>
      </c>
      <c r="B80" s="17">
        <v>531.42700000000002</v>
      </c>
      <c r="C80" s="54">
        <f t="shared" si="7"/>
        <v>530.64652270481622</v>
      </c>
      <c r="D80" s="54">
        <f t="shared" si="8"/>
        <v>8.477543031731706</v>
      </c>
      <c r="E80" s="54">
        <f t="shared" si="9"/>
        <v>0.78047729518380038</v>
      </c>
      <c r="F80" s="54">
        <f t="shared" si="6"/>
        <v>9.2064091242291507E-2</v>
      </c>
    </row>
    <row r="81" spans="1:6" x14ac:dyDescent="0.25">
      <c r="A81" s="37">
        <v>42938</v>
      </c>
      <c r="B81" s="17">
        <v>531.42200000000003</v>
      </c>
      <c r="C81" s="54">
        <f t="shared" si="7"/>
        <v>530.64652270481622</v>
      </c>
      <c r="D81" s="54">
        <f t="shared" si="8"/>
        <v>8.477543031731706</v>
      </c>
      <c r="E81" s="54">
        <f t="shared" si="9"/>
        <v>0.77547729518380493</v>
      </c>
      <c r="F81" s="54">
        <f t="shared" si="6"/>
        <v>9.1474297715879407E-2</v>
      </c>
    </row>
    <row r="82" spans="1:6" x14ac:dyDescent="0.25">
      <c r="A82" s="37">
        <v>42969</v>
      </c>
      <c r="B82" s="17">
        <v>531.33000000000004</v>
      </c>
      <c r="C82" s="54">
        <f t="shared" si="7"/>
        <v>530.64652270481622</v>
      </c>
      <c r="D82" s="54">
        <f t="shared" si="8"/>
        <v>8.477543031731706</v>
      </c>
      <c r="E82" s="54">
        <f t="shared" si="9"/>
        <v>0.68347729518382039</v>
      </c>
      <c r="F82" s="54">
        <f t="shared" si="6"/>
        <v>8.0622096829888537E-2</v>
      </c>
    </row>
    <row r="83" spans="1:6" x14ac:dyDescent="0.25">
      <c r="A83" s="37">
        <v>43000</v>
      </c>
      <c r="B83" s="17">
        <v>518.375</v>
      </c>
      <c r="C83" s="54">
        <f t="shared" si="7"/>
        <v>530.64652270481622</v>
      </c>
      <c r="D83" s="54">
        <f t="shared" si="8"/>
        <v>8.477543031731706</v>
      </c>
      <c r="E83" s="54">
        <f t="shared" si="9"/>
        <v>-12.271522704816221</v>
      </c>
      <c r="F83" s="54">
        <f t="shared" si="6"/>
        <v>-1.4475329301052831</v>
      </c>
    </row>
    <row r="84" spans="1:6" x14ac:dyDescent="0.25">
      <c r="A84" s="37">
        <v>43030</v>
      </c>
      <c r="B84" s="17">
        <v>518.35</v>
      </c>
      <c r="C84" s="54">
        <f t="shared" si="7"/>
        <v>530.64652270481622</v>
      </c>
      <c r="D84" s="54">
        <f t="shared" si="8"/>
        <v>8.477543031731706</v>
      </c>
      <c r="E84" s="54">
        <f t="shared" si="9"/>
        <v>-12.296522704816198</v>
      </c>
      <c r="F84" s="54">
        <f t="shared" si="6"/>
        <v>-1.4504818977373435</v>
      </c>
    </row>
    <row r="85" spans="1:6" x14ac:dyDescent="0.25">
      <c r="A85" s="37">
        <v>43061</v>
      </c>
      <c r="B85" s="17">
        <v>518.30000000000007</v>
      </c>
      <c r="C85" s="54">
        <f t="shared" si="7"/>
        <v>530.64652270481622</v>
      </c>
      <c r="D85" s="54">
        <f t="shared" si="8"/>
        <v>8.477543031731706</v>
      </c>
      <c r="E85" s="54">
        <f t="shared" si="9"/>
        <v>-12.346522704816152</v>
      </c>
      <c r="F85" s="54">
        <f t="shared" si="6"/>
        <v>-1.4563798330014646</v>
      </c>
    </row>
    <row r="86" spans="1:6" x14ac:dyDescent="0.25">
      <c r="A86" s="37">
        <v>43091</v>
      </c>
      <c r="B86" s="17">
        <v>518.21500000000003</v>
      </c>
      <c r="C86" s="54">
        <f t="shared" si="7"/>
        <v>530.64652270481622</v>
      </c>
      <c r="D86" s="54">
        <f t="shared" si="8"/>
        <v>8.477543031731706</v>
      </c>
      <c r="E86" s="54">
        <f t="shared" si="9"/>
        <v>-12.431522704816189</v>
      </c>
      <c r="F86" s="54">
        <f t="shared" si="6"/>
        <v>-1.466406322950484</v>
      </c>
    </row>
    <row r="87" spans="1:6" x14ac:dyDescent="0.25">
      <c r="A87" s="37">
        <v>43122</v>
      </c>
      <c r="B87" s="17">
        <v>518.2025000000001</v>
      </c>
      <c r="C87" s="54">
        <f t="shared" si="7"/>
        <v>530.64652270481622</v>
      </c>
      <c r="D87" s="54">
        <f t="shared" si="8"/>
        <v>8.477543031731706</v>
      </c>
      <c r="E87" s="54">
        <f t="shared" si="9"/>
        <v>-12.44402270481612</v>
      </c>
      <c r="F87" s="54">
        <f t="shared" si="6"/>
        <v>-1.4678808067665075</v>
      </c>
    </row>
    <row r="88" spans="1:6" x14ac:dyDescent="0.25">
      <c r="A88" s="37">
        <v>43153</v>
      </c>
      <c r="B88" s="17">
        <v>518.2025000000001</v>
      </c>
      <c r="C88" s="54">
        <f t="shared" si="7"/>
        <v>530.64652270481622</v>
      </c>
      <c r="D88" s="54">
        <f t="shared" si="8"/>
        <v>8.477543031731706</v>
      </c>
      <c r="E88" s="54">
        <f t="shared" si="9"/>
        <v>-12.44402270481612</v>
      </c>
      <c r="F88" s="54">
        <f t="shared" si="6"/>
        <v>-1.4678808067665075</v>
      </c>
    </row>
    <row r="89" spans="1:6" x14ac:dyDescent="0.25">
      <c r="A89" s="37">
        <v>43181</v>
      </c>
      <c r="B89" s="17">
        <v>518.23</v>
      </c>
      <c r="C89" s="54">
        <f t="shared" si="7"/>
        <v>530.64652270481622</v>
      </c>
      <c r="D89" s="54">
        <f t="shared" si="8"/>
        <v>8.477543031731706</v>
      </c>
      <c r="E89" s="54">
        <f t="shared" si="9"/>
        <v>-12.416522704816202</v>
      </c>
      <c r="F89" s="54">
        <f t="shared" si="6"/>
        <v>-1.4646369423712475</v>
      </c>
    </row>
    <row r="90" spans="1:6" x14ac:dyDescent="0.25">
      <c r="A90" s="37">
        <v>43212</v>
      </c>
      <c r="B90" s="17">
        <v>518.24</v>
      </c>
      <c r="C90" s="54">
        <f t="shared" si="7"/>
        <v>530.64652270481622</v>
      </c>
      <c r="D90" s="54">
        <f t="shared" si="8"/>
        <v>8.477543031731706</v>
      </c>
      <c r="E90" s="54">
        <f t="shared" si="9"/>
        <v>-12.406522704816211</v>
      </c>
      <c r="F90" s="54">
        <f t="shared" si="6"/>
        <v>-1.4634573553184234</v>
      </c>
    </row>
    <row r="91" spans="1:6" x14ac:dyDescent="0.25">
      <c r="A91" s="37">
        <v>43242</v>
      </c>
      <c r="B91" s="17">
        <v>518.28250000000003</v>
      </c>
      <c r="C91" s="54">
        <f t="shared" si="7"/>
        <v>530.64652270481622</v>
      </c>
      <c r="D91" s="54">
        <f t="shared" si="8"/>
        <v>8.477543031731706</v>
      </c>
      <c r="E91" s="54">
        <f t="shared" si="9"/>
        <v>-12.364022704816193</v>
      </c>
      <c r="F91" s="54">
        <f t="shared" si="6"/>
        <v>-1.4584441103439136</v>
      </c>
    </row>
    <row r="92" spans="1:6" x14ac:dyDescent="0.25">
      <c r="A92" s="37">
        <v>43273</v>
      </c>
      <c r="B92" s="17">
        <v>518.20249999999999</v>
      </c>
      <c r="C92" s="54">
        <f t="shared" si="7"/>
        <v>530.64652270481622</v>
      </c>
      <c r="D92" s="54">
        <f t="shared" si="8"/>
        <v>8.477543031731706</v>
      </c>
      <c r="E92" s="54">
        <f t="shared" si="9"/>
        <v>-12.444022704816234</v>
      </c>
      <c r="F92" s="54">
        <f t="shared" si="6"/>
        <v>-1.467880806766521</v>
      </c>
    </row>
    <row r="93" spans="1:6" x14ac:dyDescent="0.25">
      <c r="A93" s="37">
        <v>43303</v>
      </c>
      <c r="B93" s="17">
        <v>541.7166666666667</v>
      </c>
      <c r="C93" s="54">
        <f t="shared" si="7"/>
        <v>530.64652270481622</v>
      </c>
      <c r="D93" s="54">
        <f t="shared" si="8"/>
        <v>8.477543031731706</v>
      </c>
      <c r="E93" s="54">
        <f t="shared" si="9"/>
        <v>11.070143961850476</v>
      </c>
      <c r="F93" s="54">
        <f t="shared" si="6"/>
        <v>1.3058198490310913</v>
      </c>
    </row>
    <row r="94" spans="1:6" x14ac:dyDescent="0.25">
      <c r="A94" s="37">
        <v>43334</v>
      </c>
      <c r="B94" s="17">
        <v>541.66</v>
      </c>
      <c r="C94" s="54">
        <f t="shared" si="7"/>
        <v>530.64652270481622</v>
      </c>
      <c r="D94" s="54">
        <f t="shared" si="8"/>
        <v>8.477543031731706</v>
      </c>
      <c r="E94" s="54">
        <f t="shared" si="9"/>
        <v>11.013477295183748</v>
      </c>
      <c r="F94" s="54">
        <f t="shared" si="6"/>
        <v>1.2991355223984073</v>
      </c>
    </row>
    <row r="95" spans="1:6" x14ac:dyDescent="0.25">
      <c r="A95" s="37">
        <v>43365</v>
      </c>
      <c r="B95" s="17">
        <v>517.99750000000006</v>
      </c>
      <c r="C95" s="54">
        <f t="shared" si="7"/>
        <v>530.64652270481622</v>
      </c>
      <c r="D95" s="54">
        <f t="shared" si="8"/>
        <v>8.477543031731706</v>
      </c>
      <c r="E95" s="54">
        <f t="shared" si="9"/>
        <v>-12.649022704816161</v>
      </c>
      <c r="F95" s="54">
        <f t="shared" si="6"/>
        <v>-1.4920623413494307</v>
      </c>
    </row>
    <row r="96" spans="1:6" x14ac:dyDescent="0.25">
      <c r="A96" s="37">
        <v>43395</v>
      </c>
      <c r="B96" s="17">
        <v>518.02499999999998</v>
      </c>
      <c r="C96" s="54">
        <f t="shared" si="7"/>
        <v>530.64652270481622</v>
      </c>
      <c r="D96" s="54">
        <f t="shared" si="8"/>
        <v>8.477543031731706</v>
      </c>
      <c r="E96" s="54">
        <f t="shared" si="9"/>
        <v>-12.621522704816243</v>
      </c>
      <c r="F96" s="54">
        <f t="shared" si="6"/>
        <v>-1.488818476954171</v>
      </c>
    </row>
    <row r="97" spans="1:6" x14ac:dyDescent="0.25">
      <c r="A97" s="37">
        <v>43426</v>
      </c>
      <c r="B97" s="17">
        <v>517.99</v>
      </c>
      <c r="C97" s="54">
        <f t="shared" si="7"/>
        <v>530.64652270481622</v>
      </c>
      <c r="D97" s="54">
        <f t="shared" si="8"/>
        <v>8.477543031731706</v>
      </c>
      <c r="E97" s="54">
        <f t="shared" si="9"/>
        <v>-12.656522704816211</v>
      </c>
      <c r="F97" s="54">
        <f t="shared" si="6"/>
        <v>-1.4929470316390556</v>
      </c>
    </row>
    <row r="98" spans="1:6" x14ac:dyDescent="0.25">
      <c r="A98" s="37">
        <v>43456</v>
      </c>
      <c r="B98" s="17">
        <v>518.01249999999993</v>
      </c>
      <c r="C98" s="54">
        <f t="shared" si="7"/>
        <v>530.64652270481622</v>
      </c>
      <c r="D98" s="54">
        <f t="shared" si="8"/>
        <v>8.477543031731706</v>
      </c>
      <c r="E98" s="54">
        <f t="shared" si="9"/>
        <v>-12.634022704816289</v>
      </c>
      <c r="F98" s="54">
        <f t="shared" si="6"/>
        <v>-1.490292960770208</v>
      </c>
    </row>
    <row r="99" spans="1:6" x14ac:dyDescent="0.25">
      <c r="A99" s="37">
        <v>43487</v>
      </c>
      <c r="B99" s="17">
        <v>517.98500000000001</v>
      </c>
      <c r="C99" s="54">
        <f t="shared" si="7"/>
        <v>530.64652270481622</v>
      </c>
      <c r="D99" s="54">
        <f t="shared" si="8"/>
        <v>8.477543031731706</v>
      </c>
      <c r="E99" s="54">
        <f t="shared" si="9"/>
        <v>-12.661522704816207</v>
      </c>
      <c r="F99" s="54">
        <f t="shared" si="6"/>
        <v>-1.4935368251654677</v>
      </c>
    </row>
    <row r="100" spans="1:6" x14ac:dyDescent="0.25">
      <c r="A100" s="37">
        <v>43518</v>
      </c>
      <c r="B100" s="17">
        <v>518.02499999999998</v>
      </c>
      <c r="C100" s="54">
        <f t="shared" si="7"/>
        <v>530.64652270481622</v>
      </c>
      <c r="D100" s="54">
        <f t="shared" si="8"/>
        <v>8.477543031731706</v>
      </c>
      <c r="E100" s="54">
        <f t="shared" si="9"/>
        <v>-12.621522704816243</v>
      </c>
      <c r="F100" s="54">
        <f t="shared" si="6"/>
        <v>-1.488818476954171</v>
      </c>
    </row>
    <row r="101" spans="1:6" x14ac:dyDescent="0.25">
      <c r="A101" s="37">
        <v>43546</v>
      </c>
      <c r="B101" s="17">
        <v>518.16250000000002</v>
      </c>
      <c r="C101" s="54">
        <f t="shared" si="7"/>
        <v>530.64652270481622</v>
      </c>
      <c r="D101" s="54">
        <f t="shared" si="8"/>
        <v>8.477543031731706</v>
      </c>
      <c r="E101" s="54">
        <f t="shared" si="9"/>
        <v>-12.484022704816198</v>
      </c>
      <c r="F101" s="54">
        <f t="shared" si="6"/>
        <v>-1.4725991549778179</v>
      </c>
    </row>
    <row r="102" spans="1:6" x14ac:dyDescent="0.25">
      <c r="A102" s="37">
        <v>43577</v>
      </c>
      <c r="B102" s="17">
        <v>518.03</v>
      </c>
      <c r="C102" s="54">
        <f t="shared" si="7"/>
        <v>530.64652270481622</v>
      </c>
      <c r="D102" s="54">
        <f t="shared" si="8"/>
        <v>8.477543031731706</v>
      </c>
      <c r="E102" s="54">
        <f t="shared" si="9"/>
        <v>-12.616522704816248</v>
      </c>
      <c r="F102" s="54">
        <f t="shared" si="6"/>
        <v>-1.4882286834277587</v>
      </c>
    </row>
    <row r="103" spans="1:6" x14ac:dyDescent="0.25">
      <c r="A103" s="37">
        <v>43607</v>
      </c>
      <c r="B103" s="17">
        <v>518.0675</v>
      </c>
      <c r="C103" s="54">
        <f t="shared" si="7"/>
        <v>530.64652270481622</v>
      </c>
      <c r="D103" s="54">
        <f t="shared" si="8"/>
        <v>8.477543031731706</v>
      </c>
      <c r="E103" s="54">
        <f t="shared" si="9"/>
        <v>-12.579022704816225</v>
      </c>
      <c r="F103" s="54">
        <f t="shared" si="6"/>
        <v>-1.4838052319796613</v>
      </c>
    </row>
    <row r="104" spans="1:6" x14ac:dyDescent="0.25">
      <c r="A104" s="37">
        <v>43638</v>
      </c>
      <c r="B104" s="17">
        <v>517.91750000000002</v>
      </c>
      <c r="C104" s="54">
        <f t="shared" si="7"/>
        <v>530.64652270481622</v>
      </c>
      <c r="D104" s="54">
        <f t="shared" si="8"/>
        <v>8.477543031731706</v>
      </c>
      <c r="E104" s="54">
        <f t="shared" si="9"/>
        <v>-12.729022704816202</v>
      </c>
      <c r="F104" s="54">
        <f t="shared" si="6"/>
        <v>-1.5014990377720381</v>
      </c>
    </row>
    <row r="105" spans="1:6" x14ac:dyDescent="0.25">
      <c r="A105" s="37">
        <v>43668</v>
      </c>
      <c r="B105" s="17">
        <v>517.86500000000001</v>
      </c>
      <c r="C105" s="54">
        <f t="shared" si="7"/>
        <v>530.64652270481622</v>
      </c>
      <c r="D105" s="54">
        <f t="shared" si="8"/>
        <v>8.477543031731706</v>
      </c>
      <c r="E105" s="54">
        <f t="shared" si="9"/>
        <v>-12.781522704816211</v>
      </c>
      <c r="F105" s="54">
        <f t="shared" si="6"/>
        <v>-1.5076918697993718</v>
      </c>
    </row>
    <row r="106" spans="1:6" x14ac:dyDescent="0.25">
      <c r="A106" s="37">
        <v>43699</v>
      </c>
      <c r="B106" s="17">
        <v>517.77750000000015</v>
      </c>
      <c r="C106" s="54">
        <f t="shared" si="7"/>
        <v>530.64652270481622</v>
      </c>
      <c r="D106" s="54">
        <f t="shared" si="8"/>
        <v>8.477543031731706</v>
      </c>
      <c r="E106" s="54">
        <f t="shared" si="9"/>
        <v>-12.869022704816075</v>
      </c>
      <c r="F106" s="54">
        <f t="shared" si="6"/>
        <v>-1.5180132565115771</v>
      </c>
    </row>
    <row r="107" spans="1:6" x14ac:dyDescent="0.25">
      <c r="A107" s="37">
        <v>43730</v>
      </c>
      <c r="B107" s="17">
        <v>517.73750000000007</v>
      </c>
      <c r="C107" s="54">
        <f t="shared" si="7"/>
        <v>530.64652270481622</v>
      </c>
      <c r="D107" s="54">
        <f t="shared" si="8"/>
        <v>8.477543031731706</v>
      </c>
      <c r="E107" s="54">
        <f t="shared" si="9"/>
        <v>-12.909022704816152</v>
      </c>
      <c r="F107" s="54">
        <f t="shared" si="6"/>
        <v>-1.5227316047228874</v>
      </c>
    </row>
    <row r="108" spans="1:6" x14ac:dyDescent="0.25">
      <c r="A108" s="37">
        <v>43760</v>
      </c>
      <c r="B108" s="17">
        <v>517.70749999999998</v>
      </c>
      <c r="C108" s="54">
        <f t="shared" si="7"/>
        <v>530.64652270481622</v>
      </c>
      <c r="D108" s="54">
        <f t="shared" si="8"/>
        <v>8.477543031731706</v>
      </c>
      <c r="E108" s="54">
        <f t="shared" si="9"/>
        <v>-12.939022704816239</v>
      </c>
      <c r="F108" s="54">
        <f t="shared" si="6"/>
        <v>-1.5262703658813734</v>
      </c>
    </row>
    <row r="109" spans="1:6" x14ac:dyDescent="0.25">
      <c r="A109" s="37">
        <v>43791</v>
      </c>
      <c r="B109" s="17">
        <v>517.71</v>
      </c>
      <c r="C109" s="54">
        <f t="shared" si="7"/>
        <v>530.64652270481622</v>
      </c>
      <c r="D109" s="54">
        <f t="shared" si="8"/>
        <v>8.477543031731706</v>
      </c>
      <c r="E109" s="54">
        <f t="shared" ref="E109:E140" si="10">B109-C109</f>
        <v>-12.936522704816184</v>
      </c>
      <c r="F109" s="54">
        <f t="shared" si="6"/>
        <v>-1.5259754691181606</v>
      </c>
    </row>
    <row r="110" spans="1:6" x14ac:dyDescent="0.25">
      <c r="A110" s="37">
        <v>43821</v>
      </c>
      <c r="B110" s="17">
        <v>517.70000000000005</v>
      </c>
      <c r="C110" s="54">
        <f t="shared" si="7"/>
        <v>530.64652270481622</v>
      </c>
      <c r="D110" s="54">
        <f t="shared" si="8"/>
        <v>8.477543031731706</v>
      </c>
      <c r="E110" s="54">
        <f t="shared" si="10"/>
        <v>-12.946522704816175</v>
      </c>
      <c r="F110" s="54">
        <f t="shared" si="6"/>
        <v>-1.5271550561709848</v>
      </c>
    </row>
    <row r="111" spans="1:6" x14ac:dyDescent="0.25">
      <c r="A111" s="37">
        <v>43852</v>
      </c>
      <c r="B111" s="17">
        <v>517.745</v>
      </c>
      <c r="C111" s="54">
        <f t="shared" si="7"/>
        <v>530.64652270481622</v>
      </c>
      <c r="D111" s="54">
        <f t="shared" si="8"/>
        <v>8.477543031731706</v>
      </c>
      <c r="E111" s="54">
        <f t="shared" si="10"/>
        <v>-12.901522704816216</v>
      </c>
      <c r="F111" s="54">
        <f t="shared" si="6"/>
        <v>-1.5218469144332758</v>
      </c>
    </row>
    <row r="112" spans="1:6" x14ac:dyDescent="0.25">
      <c r="A112" s="37">
        <v>43883</v>
      </c>
      <c r="B112" s="17">
        <v>517.97749999999996</v>
      </c>
      <c r="C112" s="54">
        <f t="shared" si="7"/>
        <v>530.64652270481622</v>
      </c>
      <c r="D112" s="54">
        <f t="shared" si="8"/>
        <v>8.477543031731706</v>
      </c>
      <c r="E112" s="54">
        <f t="shared" si="10"/>
        <v>-12.669022704816257</v>
      </c>
      <c r="F112" s="54">
        <f t="shared" si="6"/>
        <v>-1.4944215154550926</v>
      </c>
    </row>
    <row r="113" spans="1:6" x14ac:dyDescent="0.25">
      <c r="A113" s="37">
        <v>43912</v>
      </c>
      <c r="B113" s="17">
        <v>518.10874999999999</v>
      </c>
      <c r="C113" s="54">
        <f t="shared" si="7"/>
        <v>530.64652270481622</v>
      </c>
      <c r="D113" s="54">
        <f t="shared" si="8"/>
        <v>8.477543031731706</v>
      </c>
      <c r="E113" s="54">
        <f t="shared" si="10"/>
        <v>-12.537772704816234</v>
      </c>
      <c r="F113" s="54">
        <f t="shared" si="6"/>
        <v>-1.478939435386758</v>
      </c>
    </row>
    <row r="114" spans="1:6" x14ac:dyDescent="0.25">
      <c r="A114" s="37">
        <v>43943</v>
      </c>
      <c r="B114" s="17">
        <v>541.72666666666669</v>
      </c>
      <c r="C114" s="54">
        <f t="shared" si="7"/>
        <v>530.64652270481622</v>
      </c>
      <c r="D114" s="54">
        <f t="shared" si="8"/>
        <v>8.477543031731706</v>
      </c>
      <c r="E114" s="54">
        <f t="shared" si="10"/>
        <v>11.080143961850467</v>
      </c>
      <c r="F114" s="54">
        <f t="shared" si="6"/>
        <v>1.3069994360839154</v>
      </c>
    </row>
    <row r="115" spans="1:6" x14ac:dyDescent="0.25">
      <c r="A115" s="51">
        <v>43973</v>
      </c>
      <c r="B115" s="52"/>
      <c r="C115" s="47"/>
      <c r="D115" s="47"/>
      <c r="E115" s="47"/>
      <c r="F115" s="53"/>
    </row>
    <row r="116" spans="1:6" x14ac:dyDescent="0.25">
      <c r="A116" s="51">
        <v>44004</v>
      </c>
      <c r="B116" s="52"/>
      <c r="C116" s="47"/>
      <c r="D116" s="47"/>
      <c r="E116" s="47"/>
      <c r="F116" s="53"/>
    </row>
    <row r="117" spans="1:6" x14ac:dyDescent="0.25">
      <c r="A117" s="51">
        <v>44034</v>
      </c>
      <c r="B117" s="52"/>
      <c r="C117" s="47"/>
      <c r="D117" s="47"/>
      <c r="E117" s="47"/>
      <c r="F117" s="53"/>
    </row>
    <row r="118" spans="1:6" x14ac:dyDescent="0.25">
      <c r="A118" s="37">
        <v>44065</v>
      </c>
      <c r="B118" s="50">
        <v>529.9380000000001</v>
      </c>
      <c r="C118" s="30">
        <f t="shared" si="7"/>
        <v>530.64652270481622</v>
      </c>
      <c r="D118" s="30">
        <f t="shared" si="8"/>
        <v>8.477543031731706</v>
      </c>
      <c r="E118" s="30">
        <f t="shared" si="10"/>
        <v>-0.70852270481611868</v>
      </c>
      <c r="F118" s="13">
        <f t="shared" si="6"/>
        <v>-8.357642092338502E-2</v>
      </c>
    </row>
    <row r="119" spans="1:6" x14ac:dyDescent="0.25">
      <c r="A119" s="37">
        <v>44096</v>
      </c>
      <c r="B119" s="50">
        <v>529.90599999999995</v>
      </c>
      <c r="C119" s="30">
        <f t="shared" si="7"/>
        <v>530.64652270481622</v>
      </c>
      <c r="D119" s="30">
        <f t="shared" si="8"/>
        <v>8.477543031731706</v>
      </c>
      <c r="E119" s="30">
        <f t="shared" si="10"/>
        <v>-0.74052270481627147</v>
      </c>
      <c r="F119" s="13">
        <f t="shared" si="6"/>
        <v>-8.735109949244399E-2</v>
      </c>
    </row>
    <row r="120" spans="1:6" x14ac:dyDescent="0.25">
      <c r="A120" s="37">
        <v>44126</v>
      </c>
      <c r="B120" s="50">
        <v>550.58249999999998</v>
      </c>
      <c r="C120" s="30">
        <f t="shared" si="7"/>
        <v>530.64652270481622</v>
      </c>
      <c r="D120" s="30">
        <f t="shared" si="8"/>
        <v>8.477543031731706</v>
      </c>
      <c r="E120" s="30">
        <f t="shared" si="10"/>
        <v>19.935977295183761</v>
      </c>
      <c r="F120" s="13">
        <f t="shared" si="6"/>
        <v>2.3516220702817763</v>
      </c>
    </row>
    <row r="121" spans="1:6" x14ac:dyDescent="0.25">
      <c r="A121" s="37">
        <v>44157</v>
      </c>
      <c r="B121" s="50">
        <v>550.61</v>
      </c>
      <c r="C121" s="30">
        <f t="shared" si="7"/>
        <v>530.64652270481622</v>
      </c>
      <c r="D121" s="30">
        <f t="shared" si="8"/>
        <v>8.477543031731706</v>
      </c>
      <c r="E121" s="30">
        <f t="shared" si="10"/>
        <v>19.963477295183793</v>
      </c>
      <c r="F121" s="13">
        <f t="shared" si="6"/>
        <v>2.3548659346770497</v>
      </c>
    </row>
    <row r="122" spans="1:6" x14ac:dyDescent="0.25">
      <c r="A122" s="37">
        <v>44187</v>
      </c>
      <c r="B122" s="50">
        <v>529.88800000000003</v>
      </c>
      <c r="C122" s="30">
        <f t="shared" si="7"/>
        <v>530.64652270481622</v>
      </c>
      <c r="D122" s="30">
        <f t="shared" si="8"/>
        <v>8.477543031731706</v>
      </c>
      <c r="E122" s="30">
        <f t="shared" si="10"/>
        <v>-0.75852270481618689</v>
      </c>
      <c r="F122" s="13">
        <f t="shared" si="6"/>
        <v>-8.9474356187519533E-2</v>
      </c>
    </row>
    <row r="123" spans="1:6" x14ac:dyDescent="0.25">
      <c r="A123" s="37">
        <v>44218</v>
      </c>
      <c r="B123" s="50">
        <v>530.15</v>
      </c>
      <c r="C123" s="30">
        <f t="shared" si="7"/>
        <v>530.64652270481622</v>
      </c>
      <c r="D123" s="30">
        <f t="shared" si="8"/>
        <v>8.477543031731706</v>
      </c>
      <c r="E123" s="30">
        <f t="shared" si="10"/>
        <v>-0.49652270481624328</v>
      </c>
      <c r="F123" s="13">
        <f t="shared" si="6"/>
        <v>-5.8569175403503516E-2</v>
      </c>
    </row>
    <row r="124" spans="1:6" x14ac:dyDescent="0.25">
      <c r="A124" s="37">
        <v>44249</v>
      </c>
      <c r="B124" s="50">
        <v>530.31799999999998</v>
      </c>
      <c r="C124" s="30">
        <f t="shared" si="7"/>
        <v>530.64652270481622</v>
      </c>
      <c r="D124" s="30">
        <f t="shared" si="8"/>
        <v>8.477543031731706</v>
      </c>
      <c r="E124" s="30">
        <f t="shared" si="10"/>
        <v>-0.32852270481623691</v>
      </c>
      <c r="F124" s="13">
        <f t="shared" si="6"/>
        <v>-3.8752112916037848E-2</v>
      </c>
    </row>
    <row r="125" spans="1:6" x14ac:dyDescent="0.25">
      <c r="A125" s="37">
        <v>44277</v>
      </c>
      <c r="B125" s="50">
        <v>530.5200000000001</v>
      </c>
      <c r="C125" s="30">
        <f t="shared" si="7"/>
        <v>530.64652270481622</v>
      </c>
      <c r="D125" s="30">
        <f t="shared" si="8"/>
        <v>8.477543031731706</v>
      </c>
      <c r="E125" s="30">
        <f t="shared" si="10"/>
        <v>-0.12652270481612504</v>
      </c>
      <c r="F125" s="13">
        <f t="shared" si="6"/>
        <v>-1.4924454448953741E-2</v>
      </c>
    </row>
    <row r="126" spans="1:6" x14ac:dyDescent="0.25">
      <c r="A126" s="37">
        <v>44308</v>
      </c>
      <c r="B126" s="50">
        <v>530.5</v>
      </c>
      <c r="C126" s="30">
        <f t="shared" si="7"/>
        <v>530.64652270481622</v>
      </c>
      <c r="D126" s="30">
        <f t="shared" si="8"/>
        <v>8.477543031731706</v>
      </c>
      <c r="E126" s="30">
        <f t="shared" si="10"/>
        <v>-0.14652270481622054</v>
      </c>
      <c r="F126" s="13">
        <f t="shared" si="6"/>
        <v>-1.7283628554615592E-2</v>
      </c>
    </row>
    <row r="127" spans="1:6" x14ac:dyDescent="0.25">
      <c r="A127" s="37">
        <v>44338</v>
      </c>
      <c r="B127" s="50">
        <v>530.42600000000004</v>
      </c>
      <c r="C127" s="30">
        <f t="shared" si="7"/>
        <v>530.64652270481622</v>
      </c>
      <c r="D127" s="30">
        <f t="shared" si="8"/>
        <v>8.477543031731706</v>
      </c>
      <c r="E127" s="30">
        <f t="shared" si="10"/>
        <v>-0.22052270481617597</v>
      </c>
      <c r="F127" s="13">
        <f t="shared" si="6"/>
        <v>-2.60125727455175E-2</v>
      </c>
    </row>
    <row r="128" spans="1:6" x14ac:dyDescent="0.25">
      <c r="A128" s="37">
        <v>44369</v>
      </c>
      <c r="B128" s="50">
        <v>530.36</v>
      </c>
      <c r="C128" s="30">
        <f t="shared" si="7"/>
        <v>530.64652270481622</v>
      </c>
      <c r="D128" s="30">
        <f t="shared" si="8"/>
        <v>8.477543031731706</v>
      </c>
      <c r="E128" s="30">
        <f t="shared" si="10"/>
        <v>-0.2865227048162069</v>
      </c>
      <c r="F128" s="13">
        <f t="shared" si="6"/>
        <v>-3.3797847294168078E-2</v>
      </c>
    </row>
    <row r="129" spans="1:6" x14ac:dyDescent="0.25">
      <c r="A129" s="37">
        <v>44399</v>
      </c>
      <c r="B129" s="50">
        <v>530.34400000000005</v>
      </c>
      <c r="C129" s="30">
        <f t="shared" si="7"/>
        <v>530.64652270481622</v>
      </c>
      <c r="D129" s="30">
        <f t="shared" si="8"/>
        <v>8.477543031731706</v>
      </c>
      <c r="E129" s="30">
        <f t="shared" si="10"/>
        <v>-0.30252270481616961</v>
      </c>
      <c r="F129" s="13">
        <f t="shared" si="6"/>
        <v>-3.568518657868415E-2</v>
      </c>
    </row>
    <row r="130" spans="1:6" x14ac:dyDescent="0.25">
      <c r="A130" s="37">
        <v>44430</v>
      </c>
      <c r="B130" s="50">
        <v>530.24799999999993</v>
      </c>
      <c r="C130" s="30">
        <f t="shared" si="7"/>
        <v>530.64652270481622</v>
      </c>
      <c r="D130" s="30">
        <f t="shared" si="8"/>
        <v>8.477543031731706</v>
      </c>
      <c r="E130" s="30">
        <f t="shared" si="10"/>
        <v>-0.39852270481628693</v>
      </c>
      <c r="F130" s="13">
        <f t="shared" si="6"/>
        <v>-4.7009222285820801E-2</v>
      </c>
    </row>
    <row r="131" spans="1:6" x14ac:dyDescent="0.25">
      <c r="A131" s="37">
        <v>44461</v>
      </c>
      <c r="B131" s="50">
        <v>530.33200000000011</v>
      </c>
      <c r="C131" s="30">
        <f t="shared" si="7"/>
        <v>530.64652270481622</v>
      </c>
      <c r="D131" s="30">
        <f t="shared" si="8"/>
        <v>8.477543031731706</v>
      </c>
      <c r="E131" s="30">
        <f t="shared" si="10"/>
        <v>-0.31452270481611322</v>
      </c>
      <c r="F131" s="13">
        <f t="shared" si="6"/>
        <v>-3.7100691042067847E-2</v>
      </c>
    </row>
    <row r="132" spans="1:6" x14ac:dyDescent="0.25">
      <c r="A132" s="37">
        <v>44491</v>
      </c>
      <c r="B132" s="50">
        <v>530.1748</v>
      </c>
      <c r="C132" s="30">
        <f t="shared" si="7"/>
        <v>530.64652270481622</v>
      </c>
      <c r="D132" s="30">
        <f t="shared" si="8"/>
        <v>8.477543031731706</v>
      </c>
      <c r="E132" s="30">
        <f t="shared" si="10"/>
        <v>-0.47172270481621581</v>
      </c>
      <c r="F132" s="13">
        <f t="shared" ref="F132:F143" si="11">E132/D132</f>
        <v>-5.5643799512493555E-2</v>
      </c>
    </row>
    <row r="133" spans="1:6" x14ac:dyDescent="0.25">
      <c r="A133" s="37">
        <v>44522</v>
      </c>
      <c r="B133" s="50">
        <v>529.56099999999992</v>
      </c>
      <c r="C133" s="30">
        <f t="shared" ref="C133:C173" si="12">AVERAGE($B$4:$B$173)</f>
        <v>530.64652270481622</v>
      </c>
      <c r="D133" s="30">
        <f t="shared" ref="D133:D173" si="13">_xlfn.STDEV.S($B$4:$B$173)</f>
        <v>8.477543031731706</v>
      </c>
      <c r="E133" s="30">
        <f t="shared" si="10"/>
        <v>-1.0855227048162988</v>
      </c>
      <c r="F133" s="13">
        <f t="shared" si="11"/>
        <v>-0.12804685281491981</v>
      </c>
    </row>
    <row r="134" spans="1:6" x14ac:dyDescent="0.25">
      <c r="A134" s="37">
        <v>44552</v>
      </c>
      <c r="B134" s="50">
        <v>529.68200000000002</v>
      </c>
      <c r="C134" s="30">
        <f t="shared" si="12"/>
        <v>530.64652270481622</v>
      </c>
      <c r="D134" s="30">
        <f t="shared" si="13"/>
        <v>8.477543031731706</v>
      </c>
      <c r="E134" s="30">
        <f t="shared" si="10"/>
        <v>-0.96452270481620417</v>
      </c>
      <c r="F134" s="13">
        <f t="shared" si="11"/>
        <v>-0.11377384947572261</v>
      </c>
    </row>
    <row r="135" spans="1:6" x14ac:dyDescent="0.25">
      <c r="A135" s="37">
        <v>44583</v>
      </c>
      <c r="B135" s="50">
        <v>529.60599999999999</v>
      </c>
      <c r="C135" s="30">
        <f t="shared" si="12"/>
        <v>530.64652270481622</v>
      </c>
      <c r="D135" s="30">
        <f t="shared" si="13"/>
        <v>8.477543031731706</v>
      </c>
      <c r="E135" s="30">
        <f t="shared" si="10"/>
        <v>-1.040522704816226</v>
      </c>
      <c r="F135" s="13">
        <f t="shared" si="11"/>
        <v>-0.1227387110771974</v>
      </c>
    </row>
    <row r="136" spans="1:6" x14ac:dyDescent="0.25">
      <c r="A136" s="37">
        <v>44614</v>
      </c>
      <c r="B136" s="50">
        <v>529.70799999999997</v>
      </c>
      <c r="C136" s="30">
        <f t="shared" si="12"/>
        <v>530.64652270481622</v>
      </c>
      <c r="D136" s="30">
        <f t="shared" si="13"/>
        <v>8.477543031731706</v>
      </c>
      <c r="E136" s="30">
        <f t="shared" si="10"/>
        <v>-0.93852270481625055</v>
      </c>
      <c r="F136" s="13">
        <f t="shared" si="11"/>
        <v>-0.11070692313838232</v>
      </c>
    </row>
    <row r="137" spans="1:6" x14ac:dyDescent="0.25">
      <c r="A137" s="37">
        <v>44642</v>
      </c>
      <c r="B137" s="50">
        <v>529.70799999999997</v>
      </c>
      <c r="C137" s="30">
        <f t="shared" si="12"/>
        <v>530.64652270481622</v>
      </c>
      <c r="D137" s="30">
        <f t="shared" si="13"/>
        <v>8.477543031731706</v>
      </c>
      <c r="E137" s="30">
        <f t="shared" si="10"/>
        <v>-0.93852270481625055</v>
      </c>
      <c r="F137" s="13">
        <f t="shared" si="11"/>
        <v>-0.11070692313838232</v>
      </c>
    </row>
    <row r="138" spans="1:6" x14ac:dyDescent="0.25">
      <c r="A138" s="37">
        <v>44673</v>
      </c>
      <c r="B138" s="50">
        <v>529.63200000000006</v>
      </c>
      <c r="C138" s="30">
        <f t="shared" si="12"/>
        <v>530.64652270481622</v>
      </c>
      <c r="D138" s="30">
        <f t="shared" si="13"/>
        <v>8.477543031731706</v>
      </c>
      <c r="E138" s="30">
        <f t="shared" si="10"/>
        <v>-1.0145227048161587</v>
      </c>
      <c r="F138" s="13">
        <f t="shared" si="11"/>
        <v>-0.1196717847398437</v>
      </c>
    </row>
    <row r="139" spans="1:6" x14ac:dyDescent="0.25">
      <c r="A139" s="37">
        <v>44703</v>
      </c>
      <c r="B139" s="50">
        <v>529.68000000000006</v>
      </c>
      <c r="C139" s="30">
        <f t="shared" si="12"/>
        <v>530.64652270481622</v>
      </c>
      <c r="D139" s="30">
        <f t="shared" si="13"/>
        <v>8.477543031731706</v>
      </c>
      <c r="E139" s="30">
        <f t="shared" si="10"/>
        <v>-0.96652270481615687</v>
      </c>
      <c r="F139" s="13">
        <f t="shared" si="11"/>
        <v>-0.11400976688628209</v>
      </c>
    </row>
    <row r="140" spans="1:6" x14ac:dyDescent="0.25">
      <c r="A140" s="37">
        <v>44734</v>
      </c>
      <c r="B140" s="50">
        <v>529.50900000000001</v>
      </c>
      <c r="C140" s="30">
        <f t="shared" si="12"/>
        <v>530.64652270481622</v>
      </c>
      <c r="D140" s="30">
        <f t="shared" si="13"/>
        <v>8.477543031731706</v>
      </c>
      <c r="E140" s="30">
        <f t="shared" si="10"/>
        <v>-1.137522704816206</v>
      </c>
      <c r="F140" s="13">
        <f t="shared" si="11"/>
        <v>-0.13418070548960037</v>
      </c>
    </row>
    <row r="141" spans="1:6" x14ac:dyDescent="0.25">
      <c r="A141" s="37">
        <v>44764</v>
      </c>
      <c r="B141" s="50">
        <v>529.702</v>
      </c>
      <c r="C141" s="30">
        <f t="shared" si="12"/>
        <v>530.64652270481622</v>
      </c>
      <c r="D141" s="30">
        <f t="shared" si="13"/>
        <v>8.477543031731706</v>
      </c>
      <c r="E141" s="30">
        <f t="shared" ref="E141:E165" si="14">B141-C141</f>
        <v>-0.94452270481622236</v>
      </c>
      <c r="F141" s="13">
        <f t="shared" si="11"/>
        <v>-0.11141467537007417</v>
      </c>
    </row>
    <row r="142" spans="1:6" x14ac:dyDescent="0.25">
      <c r="A142" s="37">
        <v>44795</v>
      </c>
      <c r="B142" s="50">
        <v>529.63400000000001</v>
      </c>
      <c r="C142" s="30">
        <f t="shared" si="12"/>
        <v>530.64652270481622</v>
      </c>
      <c r="D142" s="30">
        <f t="shared" si="13"/>
        <v>8.477543031731706</v>
      </c>
      <c r="E142" s="30">
        <f t="shared" si="14"/>
        <v>-1.012522704816206</v>
      </c>
      <c r="F142" s="13">
        <f t="shared" si="11"/>
        <v>-0.11943586732928423</v>
      </c>
    </row>
    <row r="143" spans="1:6" x14ac:dyDescent="0.25">
      <c r="A143" s="37">
        <v>44826</v>
      </c>
      <c r="B143" s="50">
        <v>529.59199999999998</v>
      </c>
      <c r="C143" s="30">
        <f t="shared" si="12"/>
        <v>530.64652270481622</v>
      </c>
      <c r="D143" s="30">
        <f t="shared" si="13"/>
        <v>8.477543031731706</v>
      </c>
      <c r="E143" s="30">
        <f t="shared" si="14"/>
        <v>-1.054522704816236</v>
      </c>
      <c r="F143" s="13">
        <f t="shared" si="11"/>
        <v>-0.12439013295115399</v>
      </c>
    </row>
    <row r="144" spans="1:6" x14ac:dyDescent="0.25">
      <c r="A144" s="37">
        <v>44856</v>
      </c>
      <c r="B144" s="50">
        <v>529.56200000000001</v>
      </c>
      <c r="C144" s="30">
        <f t="shared" si="12"/>
        <v>530.64652270481622</v>
      </c>
      <c r="D144" s="30">
        <f t="shared" si="13"/>
        <v>8.477543031731706</v>
      </c>
      <c r="E144" s="30">
        <f t="shared" si="14"/>
        <v>-1.0845227048162087</v>
      </c>
      <c r="F144" s="13">
        <f>E144/D144</f>
        <v>-0.12792889410962666</v>
      </c>
    </row>
    <row r="145" spans="1:6" x14ac:dyDescent="0.25">
      <c r="A145" s="37">
        <v>44887</v>
      </c>
      <c r="B145" s="50">
        <v>529.58600000000001</v>
      </c>
      <c r="C145" s="30">
        <f t="shared" si="12"/>
        <v>530.64652270481622</v>
      </c>
      <c r="D145" s="30">
        <f t="shared" si="13"/>
        <v>8.477543031731706</v>
      </c>
      <c r="E145" s="30">
        <f t="shared" si="14"/>
        <v>-1.0605227048162078</v>
      </c>
      <c r="F145" s="13">
        <f t="shared" ref="F145:F165" si="15">E145/D145</f>
        <v>-0.12509788518284584</v>
      </c>
    </row>
    <row r="146" spans="1:6" x14ac:dyDescent="0.25">
      <c r="A146" s="37">
        <v>44917</v>
      </c>
      <c r="B146" s="50">
        <v>529.50200000000007</v>
      </c>
      <c r="C146" s="30">
        <f t="shared" si="12"/>
        <v>530.64652270481622</v>
      </c>
      <c r="D146" s="30">
        <f t="shared" si="13"/>
        <v>8.477543031731706</v>
      </c>
      <c r="E146" s="30">
        <f t="shared" si="14"/>
        <v>-1.1445227048161541</v>
      </c>
      <c r="F146" s="13">
        <f t="shared" si="15"/>
        <v>-0.13500641642657196</v>
      </c>
    </row>
    <row r="147" spans="1:6" x14ac:dyDescent="0.25">
      <c r="A147" s="37">
        <v>44949</v>
      </c>
      <c r="B147" s="50">
        <v>529.548</v>
      </c>
      <c r="C147" s="30">
        <f t="shared" si="12"/>
        <v>530.64652270481622</v>
      </c>
      <c r="D147" s="30">
        <f t="shared" si="13"/>
        <v>8.477543031731706</v>
      </c>
      <c r="E147" s="30">
        <f t="shared" si="14"/>
        <v>-1.0985227048162187</v>
      </c>
      <c r="F147" s="13">
        <f t="shared" si="15"/>
        <v>-0.12958031598358324</v>
      </c>
    </row>
    <row r="148" spans="1:6" x14ac:dyDescent="0.25">
      <c r="A148" s="37">
        <v>44980</v>
      </c>
      <c r="B148" s="50">
        <v>529.80399170430451</v>
      </c>
      <c r="C148" s="30">
        <f t="shared" si="12"/>
        <v>530.64652270481622</v>
      </c>
      <c r="D148" s="30">
        <f t="shared" si="13"/>
        <v>8.477543031731706</v>
      </c>
      <c r="E148" s="30">
        <f t="shared" si="14"/>
        <v>-0.84253100051171259</v>
      </c>
      <c r="F148" s="13">
        <f t="shared" si="15"/>
        <v>-9.9383865980755617E-2</v>
      </c>
    </row>
    <row r="149" spans="1:6" x14ac:dyDescent="0.25">
      <c r="A149" s="37">
        <v>45008</v>
      </c>
      <c r="B149" s="50">
        <v>530.06600000000003</v>
      </c>
      <c r="C149" s="30">
        <f t="shared" si="12"/>
        <v>530.64652270481622</v>
      </c>
      <c r="D149" s="30">
        <f t="shared" si="13"/>
        <v>8.477543031731706</v>
      </c>
      <c r="E149" s="30">
        <f t="shared" si="14"/>
        <v>-0.58052270481618962</v>
      </c>
      <c r="F149" s="13">
        <f t="shared" si="15"/>
        <v>-6.8477706647229644E-2</v>
      </c>
    </row>
    <row r="150" spans="1:6" x14ac:dyDescent="0.25">
      <c r="A150" s="37">
        <v>45039</v>
      </c>
      <c r="B150" s="50">
        <v>530.08600000000001</v>
      </c>
      <c r="C150" s="30">
        <f t="shared" si="12"/>
        <v>530.64652270481622</v>
      </c>
      <c r="D150" s="30">
        <f t="shared" si="13"/>
        <v>8.477543031731706</v>
      </c>
      <c r="E150" s="30">
        <f t="shared" si="14"/>
        <v>-0.56052270481620781</v>
      </c>
      <c r="F150" s="13">
        <f t="shared" si="15"/>
        <v>-6.6118532541581204E-2</v>
      </c>
    </row>
    <row r="151" spans="1:6" x14ac:dyDescent="0.25">
      <c r="A151" s="37">
        <v>45069</v>
      </c>
      <c r="B151" s="50">
        <v>530.09</v>
      </c>
      <c r="C151" s="30">
        <f t="shared" si="12"/>
        <v>530.64652270481622</v>
      </c>
      <c r="D151" s="30">
        <f t="shared" si="13"/>
        <v>8.477543031731706</v>
      </c>
      <c r="E151" s="30">
        <f t="shared" si="14"/>
        <v>-0.55652270481618871</v>
      </c>
      <c r="F151" s="13">
        <f t="shared" si="15"/>
        <v>-6.5646697720448843E-2</v>
      </c>
    </row>
    <row r="152" spans="1:6" x14ac:dyDescent="0.25">
      <c r="A152" s="37">
        <v>45100</v>
      </c>
      <c r="B152" s="50">
        <v>529.95600000000002</v>
      </c>
      <c r="C152" s="30">
        <f t="shared" si="12"/>
        <v>530.64652270481622</v>
      </c>
      <c r="D152" s="30">
        <f t="shared" si="13"/>
        <v>8.477543031731706</v>
      </c>
      <c r="E152" s="30">
        <f t="shared" si="14"/>
        <v>-0.69052270481620326</v>
      </c>
      <c r="F152" s="13">
        <f t="shared" si="15"/>
        <v>-8.1453164228309477E-2</v>
      </c>
    </row>
    <row r="153" spans="1:6" x14ac:dyDescent="0.25">
      <c r="A153" s="37">
        <v>45130</v>
      </c>
      <c r="B153" s="50">
        <v>529.8839999999999</v>
      </c>
      <c r="C153" s="30">
        <f t="shared" si="12"/>
        <v>530.64652270481622</v>
      </c>
      <c r="D153" s="30">
        <f t="shared" si="13"/>
        <v>8.477543031731706</v>
      </c>
      <c r="E153" s="30">
        <f t="shared" si="14"/>
        <v>-0.76252270481631967</v>
      </c>
      <c r="F153" s="13">
        <f t="shared" si="15"/>
        <v>-8.9946191008665313E-2</v>
      </c>
    </row>
    <row r="154" spans="1:6" x14ac:dyDescent="0.25">
      <c r="A154" s="37">
        <v>45161</v>
      </c>
      <c r="B154" s="50">
        <v>529.91600000000005</v>
      </c>
      <c r="C154" s="30">
        <f t="shared" si="12"/>
        <v>530.64652270481622</v>
      </c>
      <c r="D154" s="30">
        <f t="shared" si="13"/>
        <v>8.477543031731706</v>
      </c>
      <c r="E154" s="30">
        <f t="shared" si="14"/>
        <v>-0.73052270481616688</v>
      </c>
      <c r="F154" s="13">
        <f t="shared" si="15"/>
        <v>-8.6171512439606357E-2</v>
      </c>
    </row>
    <row r="155" spans="1:6" x14ac:dyDescent="0.25">
      <c r="A155" s="37">
        <v>45192</v>
      </c>
      <c r="B155" s="50">
        <v>529.78399999999999</v>
      </c>
      <c r="C155" s="30">
        <f t="shared" si="12"/>
        <v>530.64652270481622</v>
      </c>
      <c r="D155" s="30">
        <f t="shared" si="13"/>
        <v>8.477543031731706</v>
      </c>
      <c r="E155" s="30">
        <f t="shared" si="14"/>
        <v>-0.86252270481622872</v>
      </c>
      <c r="F155" s="13">
        <f t="shared" si="15"/>
        <v>-0.10174206153690751</v>
      </c>
    </row>
    <row r="156" spans="1:6" x14ac:dyDescent="0.25">
      <c r="A156" s="37">
        <v>45222</v>
      </c>
      <c r="B156" s="50">
        <v>529.77</v>
      </c>
      <c r="C156" s="30">
        <f t="shared" si="12"/>
        <v>530.64652270481622</v>
      </c>
      <c r="D156" s="30">
        <f t="shared" si="13"/>
        <v>8.477543031731706</v>
      </c>
      <c r="E156" s="30">
        <f t="shared" si="14"/>
        <v>-0.87652270481623873</v>
      </c>
      <c r="F156" s="13">
        <f t="shared" si="15"/>
        <v>-0.1033934834108641</v>
      </c>
    </row>
    <row r="157" spans="1:6" x14ac:dyDescent="0.25">
      <c r="A157" s="37">
        <v>45253</v>
      </c>
      <c r="B157" s="50">
        <v>529.78</v>
      </c>
      <c r="C157" s="30">
        <f t="shared" si="12"/>
        <v>530.64652270481622</v>
      </c>
      <c r="D157" s="30">
        <f t="shared" si="13"/>
        <v>8.477543031731706</v>
      </c>
      <c r="E157" s="30">
        <f t="shared" si="14"/>
        <v>-0.86652270481624782</v>
      </c>
      <c r="F157" s="13">
        <f t="shared" si="15"/>
        <v>-0.10221389635803989</v>
      </c>
    </row>
    <row r="158" spans="1:6" x14ac:dyDescent="0.25">
      <c r="A158" s="37">
        <v>45283</v>
      </c>
      <c r="B158" s="50">
        <v>529.74</v>
      </c>
      <c r="C158" s="30">
        <f t="shared" si="12"/>
        <v>530.64652270481622</v>
      </c>
      <c r="D158" s="30">
        <f t="shared" si="13"/>
        <v>8.477543031731706</v>
      </c>
      <c r="E158" s="30">
        <f t="shared" si="14"/>
        <v>-0.90652270481621144</v>
      </c>
      <c r="F158" s="13">
        <f t="shared" si="15"/>
        <v>-0.10693224456933677</v>
      </c>
    </row>
    <row r="159" spans="1:6" x14ac:dyDescent="0.25">
      <c r="A159" s="37">
        <v>45315</v>
      </c>
      <c r="B159" s="50">
        <v>530.04</v>
      </c>
      <c r="C159" s="30">
        <f t="shared" si="12"/>
        <v>530.64652270481622</v>
      </c>
      <c r="D159" s="30">
        <f t="shared" si="13"/>
        <v>8.477543031731706</v>
      </c>
      <c r="E159" s="30">
        <f t="shared" si="14"/>
        <v>-0.60652270481625692</v>
      </c>
      <c r="F159" s="13">
        <f t="shared" si="15"/>
        <v>-7.1544632984583342E-2</v>
      </c>
    </row>
    <row r="160" spans="1:6" x14ac:dyDescent="0.25">
      <c r="A160" s="37">
        <v>45346</v>
      </c>
      <c r="B160" s="50">
        <v>530.05999999999995</v>
      </c>
      <c r="C160" s="30">
        <f t="shared" si="12"/>
        <v>530.64652270481622</v>
      </c>
      <c r="D160" s="30">
        <f t="shared" si="13"/>
        <v>8.477543031731706</v>
      </c>
      <c r="E160" s="30">
        <f t="shared" si="14"/>
        <v>-0.58652270481627511</v>
      </c>
      <c r="F160" s="13">
        <f t="shared" si="15"/>
        <v>-6.9185458878934902E-2</v>
      </c>
    </row>
    <row r="161" spans="1:6" x14ac:dyDescent="0.25">
      <c r="A161" s="37">
        <v>45375</v>
      </c>
      <c r="B161" s="50">
        <v>529.97</v>
      </c>
      <c r="C161" s="30">
        <f t="shared" si="12"/>
        <v>530.64652270481622</v>
      </c>
      <c r="D161" s="30">
        <f t="shared" si="13"/>
        <v>8.477543031731706</v>
      </c>
      <c r="E161" s="30">
        <f t="shared" si="14"/>
        <v>-0.67652270481619325</v>
      </c>
      <c r="F161" s="13">
        <f t="shared" si="15"/>
        <v>-7.9801742354352889E-2</v>
      </c>
    </row>
    <row r="162" spans="1:6" x14ac:dyDescent="0.25">
      <c r="A162" s="37">
        <v>45406</v>
      </c>
      <c r="B162" s="50">
        <v>530.01</v>
      </c>
      <c r="C162" s="30">
        <f t="shared" si="12"/>
        <v>530.64652270481622</v>
      </c>
      <c r="D162" s="30">
        <f t="shared" si="13"/>
        <v>8.477543031731706</v>
      </c>
      <c r="E162" s="30">
        <f t="shared" si="14"/>
        <v>-0.63652270481622963</v>
      </c>
      <c r="F162" s="13">
        <f t="shared" si="15"/>
        <v>-7.5083394143056009E-2</v>
      </c>
    </row>
    <row r="163" spans="1:6" x14ac:dyDescent="0.25">
      <c r="A163" s="37">
        <v>45436</v>
      </c>
      <c r="B163" s="50">
        <v>529.85</v>
      </c>
      <c r="C163" s="30">
        <f t="shared" si="12"/>
        <v>530.64652270481622</v>
      </c>
      <c r="D163" s="30">
        <f t="shared" si="13"/>
        <v>8.477543031731706</v>
      </c>
      <c r="E163" s="30">
        <f t="shared" si="14"/>
        <v>-0.7965227048161978</v>
      </c>
      <c r="F163" s="13">
        <f t="shared" si="15"/>
        <v>-9.3956786988256935E-2</v>
      </c>
    </row>
    <row r="164" spans="1:6" x14ac:dyDescent="0.25">
      <c r="A164" s="37">
        <v>45468</v>
      </c>
      <c r="B164" s="50">
        <v>529.72</v>
      </c>
      <c r="C164" s="30">
        <f t="shared" si="12"/>
        <v>530.64652270481622</v>
      </c>
      <c r="D164" s="30">
        <f t="shared" si="13"/>
        <v>8.477543031731706</v>
      </c>
      <c r="E164" s="30">
        <f t="shared" si="14"/>
        <v>-0.92652270481619325</v>
      </c>
      <c r="F164" s="13">
        <f t="shared" si="15"/>
        <v>-0.10929141867498521</v>
      </c>
    </row>
    <row r="165" spans="1:6" x14ac:dyDescent="0.25">
      <c r="A165" s="37">
        <v>45500</v>
      </c>
      <c r="B165" s="15">
        <v>529.84666666666669</v>
      </c>
      <c r="C165" s="30">
        <f t="shared" si="12"/>
        <v>530.64652270481622</v>
      </c>
      <c r="D165" s="30">
        <f t="shared" si="13"/>
        <v>8.477543031731706</v>
      </c>
      <c r="E165" s="30">
        <f t="shared" si="14"/>
        <v>-0.7998560381495281</v>
      </c>
      <c r="F165" s="13">
        <f t="shared" si="15"/>
        <v>-9.4349982672531668E-2</v>
      </c>
    </row>
    <row r="166" spans="1:6" x14ac:dyDescent="0.25">
      <c r="A166" s="38">
        <v>45514</v>
      </c>
      <c r="B166" s="15">
        <v>529.70000000000005</v>
      </c>
      <c r="C166" s="30">
        <f t="shared" si="12"/>
        <v>530.64652270481622</v>
      </c>
      <c r="D166" s="30">
        <f t="shared" si="13"/>
        <v>8.477543031731706</v>
      </c>
      <c r="E166" s="30">
        <f t="shared" ref="E166:E172" si="16">B166-C166</f>
        <v>-0.94652270481617506</v>
      </c>
      <c r="F166" s="13">
        <f t="shared" ref="F166:F172" si="17">E166/D166</f>
        <v>-0.11165059278063365</v>
      </c>
    </row>
    <row r="167" spans="1:6" x14ac:dyDescent="0.25">
      <c r="A167" s="38">
        <v>45545</v>
      </c>
      <c r="B167" s="15">
        <v>529.66999999999996</v>
      </c>
      <c r="C167" s="30">
        <f t="shared" si="12"/>
        <v>530.64652270481622</v>
      </c>
      <c r="D167" s="30">
        <f t="shared" si="13"/>
        <v>8.477543031731706</v>
      </c>
      <c r="E167" s="30">
        <f t="shared" si="16"/>
        <v>-0.97652270481626147</v>
      </c>
      <c r="F167" s="13">
        <f t="shared" si="17"/>
        <v>-0.11518935393911971</v>
      </c>
    </row>
    <row r="168" spans="1:6" x14ac:dyDescent="0.25">
      <c r="A168" s="38">
        <v>45575</v>
      </c>
      <c r="B168" s="15">
        <v>529.66</v>
      </c>
      <c r="C168" s="30">
        <f t="shared" si="12"/>
        <v>530.64652270481622</v>
      </c>
      <c r="D168" s="30">
        <f t="shared" si="13"/>
        <v>8.477543031731706</v>
      </c>
      <c r="E168" s="30">
        <f t="shared" si="16"/>
        <v>-0.98652270481625237</v>
      </c>
      <c r="F168" s="13">
        <f t="shared" si="17"/>
        <v>-0.11636894099194393</v>
      </c>
    </row>
    <row r="169" spans="1:6" x14ac:dyDescent="0.25">
      <c r="A169" s="38">
        <v>45606</v>
      </c>
      <c r="B169" s="15">
        <v>529.70000000000005</v>
      </c>
      <c r="C169" s="30">
        <f t="shared" si="12"/>
        <v>530.64652270481622</v>
      </c>
      <c r="D169" s="30">
        <f t="shared" si="13"/>
        <v>8.477543031731706</v>
      </c>
      <c r="E169" s="30">
        <f t="shared" si="16"/>
        <v>-0.94652270481617506</v>
      </c>
      <c r="F169" s="13">
        <f t="shared" si="17"/>
        <v>-0.11165059278063365</v>
      </c>
    </row>
    <row r="170" spans="1:6" x14ac:dyDescent="0.25">
      <c r="A170" s="38">
        <v>45636</v>
      </c>
      <c r="B170" s="15">
        <v>529.58000000000004</v>
      </c>
      <c r="C170" s="30">
        <f t="shared" si="12"/>
        <v>530.64652270481622</v>
      </c>
      <c r="D170" s="30">
        <f t="shared" si="13"/>
        <v>8.477543031731706</v>
      </c>
      <c r="E170" s="30">
        <f t="shared" si="16"/>
        <v>-1.0665227048161796</v>
      </c>
      <c r="F170" s="13">
        <f t="shared" si="17"/>
        <v>-0.12580563741453768</v>
      </c>
    </row>
    <row r="171" spans="1:6" x14ac:dyDescent="0.25">
      <c r="A171" s="38">
        <v>45667</v>
      </c>
      <c r="B171" s="15">
        <v>529.77</v>
      </c>
      <c r="C171" s="30">
        <f t="shared" si="12"/>
        <v>530.64652270481622</v>
      </c>
      <c r="D171" s="30">
        <f t="shared" si="13"/>
        <v>8.477543031731706</v>
      </c>
      <c r="E171" s="30">
        <f t="shared" si="16"/>
        <v>-0.87652270481623873</v>
      </c>
      <c r="F171" s="13">
        <f t="shared" si="17"/>
        <v>-0.1033934834108641</v>
      </c>
    </row>
    <row r="172" spans="1:6" x14ac:dyDescent="0.25">
      <c r="A172" s="38">
        <v>45698</v>
      </c>
      <c r="B172" s="15">
        <v>529.85</v>
      </c>
      <c r="C172" s="30">
        <f t="shared" si="12"/>
        <v>530.64652270481622</v>
      </c>
      <c r="D172" s="30">
        <f t="shared" si="13"/>
        <v>8.477543031731706</v>
      </c>
      <c r="E172" s="30">
        <f t="shared" si="16"/>
        <v>-0.7965227048161978</v>
      </c>
      <c r="F172" s="13">
        <f t="shared" si="17"/>
        <v>-9.3956786988256935E-2</v>
      </c>
    </row>
    <row r="173" spans="1:6" x14ac:dyDescent="0.25">
      <c r="A173" s="8">
        <v>45720</v>
      </c>
      <c r="B173" s="15">
        <v>529.80999999999995</v>
      </c>
      <c r="C173" s="30">
        <f t="shared" si="12"/>
        <v>530.64652270481622</v>
      </c>
      <c r="D173" s="30">
        <f t="shared" si="13"/>
        <v>8.477543031731706</v>
      </c>
      <c r="E173" s="30">
        <f t="shared" ref="E173" si="18">B173-C173</f>
        <v>-0.83652270481627511</v>
      </c>
      <c r="F173" s="13">
        <f t="shared" ref="F173" si="19">E173/D173</f>
        <v>-9.8675135199567221E-2</v>
      </c>
    </row>
  </sheetData>
  <mergeCells count="2">
    <mergeCell ref="A2:F2"/>
    <mergeCell ref="A1:F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6F4-8225-40D4-BEAB-F048D8B4F997}">
  <dimension ref="A1:F174"/>
  <sheetViews>
    <sheetView zoomScale="85" zoomScaleNormal="85" workbookViewId="0">
      <selection activeCell="H11" sqref="H11"/>
    </sheetView>
  </sheetViews>
  <sheetFormatPr defaultRowHeight="15" x14ac:dyDescent="0.25"/>
  <cols>
    <col min="1" max="1" width="15.5703125" style="39" customWidth="1"/>
    <col min="2" max="2" width="19.5703125" style="4" customWidth="1"/>
    <col min="3" max="3" width="22.85546875" style="1" customWidth="1"/>
    <col min="4" max="4" width="16" style="1" customWidth="1"/>
    <col min="5" max="5" width="13.7109375" style="1" customWidth="1"/>
    <col min="6" max="6" width="21.5703125" style="11" bestFit="1" customWidth="1"/>
  </cols>
  <sheetData>
    <row r="1" spans="1:6" ht="20.25" customHeight="1" x14ac:dyDescent="0.25">
      <c r="A1" s="78" t="s">
        <v>13</v>
      </c>
      <c r="B1" s="79"/>
      <c r="C1" s="79"/>
      <c r="D1" s="79"/>
      <c r="E1" s="79"/>
      <c r="F1" s="79"/>
    </row>
    <row r="2" spans="1:6" x14ac:dyDescent="0.25">
      <c r="A2" s="73" t="s">
        <v>10</v>
      </c>
      <c r="B2" s="74"/>
      <c r="C2" s="74"/>
      <c r="D2" s="74"/>
      <c r="E2" s="74"/>
      <c r="F2" s="77"/>
    </row>
    <row r="3" spans="1:6" x14ac:dyDescent="0.25">
      <c r="A3" s="36" t="s">
        <v>4</v>
      </c>
      <c r="B3" s="2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25">
      <c r="A4" s="37">
        <v>40565</v>
      </c>
      <c r="B4" s="17">
        <v>926.80833333333328</v>
      </c>
      <c r="C4" s="54">
        <f>AVERAGE($B$4:$B$173)</f>
        <v>923.84032449799247</v>
      </c>
      <c r="D4" s="54">
        <f>_xlfn.STDEV.S($B$4:$B$173)</f>
        <v>3.0906322669736701</v>
      </c>
      <c r="E4" s="54">
        <f>B4-C4</f>
        <v>2.9680088353408109</v>
      </c>
      <c r="F4" s="54">
        <f>E4/D4</f>
        <v>0.96032415989983455</v>
      </c>
    </row>
    <row r="5" spans="1:6" x14ac:dyDescent="0.25">
      <c r="A5" s="37">
        <v>40596</v>
      </c>
      <c r="B5" s="17">
        <v>926.77666666666664</v>
      </c>
      <c r="C5" s="54">
        <f t="shared" ref="C5:C68" si="0">AVERAGE($B$4:$B$173)</f>
        <v>923.84032449799247</v>
      </c>
      <c r="D5" s="54">
        <f t="shared" ref="D5:D68" si="1">_xlfn.STDEV.S($B$4:$B$173)</f>
        <v>3.0906322669736701</v>
      </c>
      <c r="E5" s="54">
        <f t="shared" ref="E5:E68" si="2">B5-C5</f>
        <v>2.9363421686741731</v>
      </c>
      <c r="F5" s="54">
        <f t="shared" ref="F5:F68" si="3">E5/D5</f>
        <v>0.95007814422044556</v>
      </c>
    </row>
    <row r="6" spans="1:6" x14ac:dyDescent="0.25">
      <c r="A6" s="37">
        <v>40624</v>
      </c>
      <c r="B6" s="17">
        <v>925.70666666666659</v>
      </c>
      <c r="C6" s="54">
        <f t="shared" si="0"/>
        <v>923.84032449799247</v>
      </c>
      <c r="D6" s="54">
        <f t="shared" si="1"/>
        <v>3.0906322669736701</v>
      </c>
      <c r="E6" s="54">
        <f t="shared" si="2"/>
        <v>1.8663421686741231</v>
      </c>
      <c r="F6" s="54">
        <f t="shared" si="3"/>
        <v>0.60387066705339065</v>
      </c>
    </row>
    <row r="7" spans="1:6" x14ac:dyDescent="0.25">
      <c r="A7" s="37">
        <v>40655</v>
      </c>
      <c r="B7" s="17">
        <v>925.33833333333325</v>
      </c>
      <c r="C7" s="54">
        <f t="shared" si="0"/>
        <v>923.84032449799247</v>
      </c>
      <c r="D7" s="54">
        <f t="shared" si="1"/>
        <v>3.0906322669736701</v>
      </c>
      <c r="E7" s="54">
        <f t="shared" si="2"/>
        <v>1.4980088353407837</v>
      </c>
      <c r="F7" s="54">
        <f t="shared" si="3"/>
        <v>0.48469332678249216</v>
      </c>
    </row>
    <row r="8" spans="1:6" x14ac:dyDescent="0.25">
      <c r="A8" s="37">
        <v>40685</v>
      </c>
      <c r="B8" s="17">
        <v>924.66166666666652</v>
      </c>
      <c r="C8" s="54">
        <f t="shared" si="0"/>
        <v>923.84032449799247</v>
      </c>
      <c r="D8" s="54">
        <f t="shared" si="1"/>
        <v>3.0906322669736701</v>
      </c>
      <c r="E8" s="54">
        <f t="shared" si="2"/>
        <v>0.8213421686740503</v>
      </c>
      <c r="F8" s="54">
        <f t="shared" si="3"/>
        <v>0.2657521496332218</v>
      </c>
    </row>
    <row r="9" spans="1:6" x14ac:dyDescent="0.25">
      <c r="A9" s="37">
        <v>40716</v>
      </c>
      <c r="B9" s="17">
        <v>924.42499999999984</v>
      </c>
      <c r="C9" s="54">
        <f t="shared" si="0"/>
        <v>923.84032449799247</v>
      </c>
      <c r="D9" s="54">
        <f t="shared" si="1"/>
        <v>3.0906322669736701</v>
      </c>
      <c r="E9" s="54">
        <f t="shared" si="2"/>
        <v>0.58467550200737151</v>
      </c>
      <c r="F9" s="54">
        <f t="shared" si="3"/>
        <v>0.18917666402929342</v>
      </c>
    </row>
    <row r="10" spans="1:6" x14ac:dyDescent="0.25">
      <c r="A10" s="37">
        <v>40746</v>
      </c>
      <c r="B10" s="17">
        <v>924.35999999999979</v>
      </c>
      <c r="C10" s="54">
        <f t="shared" si="0"/>
        <v>923.84032449799247</v>
      </c>
      <c r="D10" s="54">
        <f t="shared" si="1"/>
        <v>3.0906322669736701</v>
      </c>
      <c r="E10" s="54">
        <f t="shared" si="2"/>
        <v>0.51967550200731694</v>
      </c>
      <c r="F10" s="54">
        <f t="shared" si="3"/>
        <v>0.16814536868735286</v>
      </c>
    </row>
    <row r="11" spans="1:6" x14ac:dyDescent="0.25">
      <c r="A11" s="37">
        <v>40777</v>
      </c>
      <c r="B11" s="17">
        <v>924.04833333333318</v>
      </c>
      <c r="C11" s="54">
        <f t="shared" si="0"/>
        <v>923.84032449799247</v>
      </c>
      <c r="D11" s="54">
        <f t="shared" si="1"/>
        <v>3.0906322669736701</v>
      </c>
      <c r="E11" s="54">
        <f t="shared" si="2"/>
        <v>0.20800883534070636</v>
      </c>
      <c r="F11" s="54">
        <f t="shared" si="3"/>
        <v>6.7303003842766274E-2</v>
      </c>
    </row>
    <row r="12" spans="1:6" x14ac:dyDescent="0.25">
      <c r="A12" s="37">
        <v>40808</v>
      </c>
      <c r="B12" s="17">
        <v>924.01499999999999</v>
      </c>
      <c r="C12" s="54">
        <f t="shared" si="0"/>
        <v>923.84032449799247</v>
      </c>
      <c r="D12" s="54">
        <f t="shared" si="1"/>
        <v>3.0906322669736701</v>
      </c>
      <c r="E12" s="54">
        <f t="shared" si="2"/>
        <v>0.17467550200751703</v>
      </c>
      <c r="F12" s="54">
        <f t="shared" si="3"/>
        <v>5.6517724180288297E-2</v>
      </c>
    </row>
    <row r="13" spans="1:6" x14ac:dyDescent="0.25">
      <c r="A13" s="37">
        <v>40838</v>
      </c>
      <c r="B13" s="17">
        <v>923.98666666666668</v>
      </c>
      <c r="C13" s="54">
        <f t="shared" si="0"/>
        <v>923.84032449799247</v>
      </c>
      <c r="D13" s="54">
        <f t="shared" si="1"/>
        <v>3.0906322669736701</v>
      </c>
      <c r="E13" s="54">
        <f t="shared" si="2"/>
        <v>0.14634216867420946</v>
      </c>
      <c r="F13" s="54">
        <f t="shared" si="3"/>
        <v>4.7350236467150746E-2</v>
      </c>
    </row>
    <row r="14" spans="1:6" x14ac:dyDescent="0.25">
      <c r="A14" s="37">
        <v>40869</v>
      </c>
      <c r="B14" s="17">
        <v>923.91</v>
      </c>
      <c r="C14" s="54">
        <f t="shared" si="0"/>
        <v>923.84032449799247</v>
      </c>
      <c r="D14" s="54">
        <f t="shared" si="1"/>
        <v>3.0906322669736701</v>
      </c>
      <c r="E14" s="54">
        <f t="shared" si="2"/>
        <v>6.9675502007498835E-2</v>
      </c>
      <c r="F14" s="54">
        <f t="shared" si="3"/>
        <v>2.2544093243330014E-2</v>
      </c>
    </row>
    <row r="15" spans="1:6" x14ac:dyDescent="0.25">
      <c r="A15" s="37">
        <v>40899</v>
      </c>
      <c r="B15" s="17">
        <v>924.48666666666668</v>
      </c>
      <c r="C15" s="54">
        <f t="shared" si="0"/>
        <v>923.84032449799247</v>
      </c>
      <c r="D15" s="54">
        <f t="shared" si="1"/>
        <v>3.0906322669736701</v>
      </c>
      <c r="E15" s="54">
        <f t="shared" si="2"/>
        <v>0.64634216867420946</v>
      </c>
      <c r="F15" s="54">
        <f t="shared" si="3"/>
        <v>0.2091294314050193</v>
      </c>
    </row>
    <row r="16" spans="1:6" x14ac:dyDescent="0.25">
      <c r="A16" s="37">
        <v>40930</v>
      </c>
      <c r="B16" s="17">
        <v>927.15333333333319</v>
      </c>
      <c r="C16" s="54">
        <f t="shared" si="0"/>
        <v>923.84032449799247</v>
      </c>
      <c r="D16" s="54">
        <f t="shared" si="1"/>
        <v>3.0906322669736701</v>
      </c>
      <c r="E16" s="54">
        <f t="shared" si="2"/>
        <v>3.3130088353407245</v>
      </c>
      <c r="F16" s="54">
        <f t="shared" si="3"/>
        <v>1.0719518044069358</v>
      </c>
    </row>
    <row r="17" spans="1:6" x14ac:dyDescent="0.25">
      <c r="A17" s="37">
        <v>40961</v>
      </c>
      <c r="B17" s="17">
        <v>926.8850000000001</v>
      </c>
      <c r="C17" s="54">
        <f t="shared" si="0"/>
        <v>923.84032449799247</v>
      </c>
      <c r="D17" s="54">
        <f t="shared" si="1"/>
        <v>3.0906322669736701</v>
      </c>
      <c r="E17" s="54">
        <f t="shared" si="2"/>
        <v>3.0446755020076353</v>
      </c>
      <c r="F17" s="54">
        <f t="shared" si="3"/>
        <v>0.9851303031236921</v>
      </c>
    </row>
    <row r="18" spans="1:6" x14ac:dyDescent="0.25">
      <c r="A18" s="37">
        <v>40990</v>
      </c>
      <c r="B18" s="17">
        <v>924.88499999999988</v>
      </c>
      <c r="C18" s="54">
        <f t="shared" si="0"/>
        <v>923.84032449799247</v>
      </c>
      <c r="D18" s="54">
        <f t="shared" si="1"/>
        <v>3.0906322669736701</v>
      </c>
      <c r="E18" s="54">
        <f t="shared" si="2"/>
        <v>1.0446755020074079</v>
      </c>
      <c r="F18" s="54">
        <f t="shared" si="3"/>
        <v>0.3380135233721443</v>
      </c>
    </row>
    <row r="19" spans="1:6" x14ac:dyDescent="0.25">
      <c r="A19" s="37">
        <v>41021</v>
      </c>
      <c r="B19" s="17">
        <v>924.71</v>
      </c>
      <c r="C19" s="54">
        <f t="shared" si="0"/>
        <v>923.84032449799247</v>
      </c>
      <c r="D19" s="54">
        <f t="shared" si="1"/>
        <v>3.0906322669736701</v>
      </c>
      <c r="E19" s="54">
        <f t="shared" si="2"/>
        <v>0.86967550200756705</v>
      </c>
      <c r="F19" s="54">
        <f t="shared" si="3"/>
        <v>0.28139080514394177</v>
      </c>
    </row>
    <row r="20" spans="1:6" x14ac:dyDescent="0.25">
      <c r="A20" s="37">
        <v>41051</v>
      </c>
      <c r="B20" s="17">
        <v>924.28666666666675</v>
      </c>
      <c r="C20" s="54">
        <f t="shared" si="0"/>
        <v>923.84032449799247</v>
      </c>
      <c r="D20" s="54">
        <f t="shared" si="1"/>
        <v>3.0906322669736701</v>
      </c>
      <c r="E20" s="54">
        <f t="shared" si="2"/>
        <v>0.44634216867427767</v>
      </c>
      <c r="F20" s="54">
        <f t="shared" si="3"/>
        <v>0.14441775342989396</v>
      </c>
    </row>
    <row r="21" spans="1:6" x14ac:dyDescent="0.25">
      <c r="A21" s="37">
        <v>41082</v>
      </c>
      <c r="B21" s="17">
        <v>923.87166666666656</v>
      </c>
      <c r="C21" s="54">
        <f t="shared" si="0"/>
        <v>923.84032449799247</v>
      </c>
      <c r="D21" s="54">
        <f t="shared" si="1"/>
        <v>3.0906322669736701</v>
      </c>
      <c r="E21" s="54">
        <f t="shared" si="2"/>
        <v>3.1342168674086679E-2</v>
      </c>
      <c r="F21" s="54">
        <f t="shared" si="3"/>
        <v>1.0141021631401253E-2</v>
      </c>
    </row>
    <row r="22" spans="1:6" x14ac:dyDescent="0.25">
      <c r="A22" s="37">
        <v>41112</v>
      </c>
      <c r="B22" s="17">
        <v>923.74833333333333</v>
      </c>
      <c r="C22" s="54">
        <f t="shared" si="0"/>
        <v>923.84032449799247</v>
      </c>
      <c r="D22" s="54">
        <f t="shared" si="1"/>
        <v>3.0906322669736701</v>
      </c>
      <c r="E22" s="54">
        <f t="shared" si="2"/>
        <v>-9.1991164659134483E-2</v>
      </c>
      <c r="F22" s="54">
        <f t="shared" si="3"/>
        <v>-2.9764513119903364E-2</v>
      </c>
    </row>
    <row r="23" spans="1:6" x14ac:dyDescent="0.25">
      <c r="A23" s="37">
        <v>41143</v>
      </c>
      <c r="B23" s="17">
        <v>923.98666666666668</v>
      </c>
      <c r="C23" s="54">
        <f t="shared" si="0"/>
        <v>923.84032449799247</v>
      </c>
      <c r="D23" s="54">
        <f t="shared" si="1"/>
        <v>3.0906322669736701</v>
      </c>
      <c r="E23" s="54">
        <f t="shared" si="2"/>
        <v>0.14634216867420946</v>
      </c>
      <c r="F23" s="54">
        <f t="shared" si="3"/>
        <v>4.7350236467150746E-2</v>
      </c>
    </row>
    <row r="24" spans="1:6" x14ac:dyDescent="0.25">
      <c r="A24" s="37">
        <v>41174</v>
      </c>
      <c r="B24" s="17">
        <v>923.68333333333339</v>
      </c>
      <c r="C24" s="54">
        <f t="shared" si="0"/>
        <v>923.84032449799247</v>
      </c>
      <c r="D24" s="54">
        <f t="shared" si="1"/>
        <v>3.0906322669736701</v>
      </c>
      <c r="E24" s="54">
        <f t="shared" si="2"/>
        <v>-0.15699116465907537</v>
      </c>
      <c r="F24" s="54">
        <f t="shared" si="3"/>
        <v>-5.0795808461807153E-2</v>
      </c>
    </row>
    <row r="25" spans="1:6" x14ac:dyDescent="0.25">
      <c r="A25" s="37">
        <v>41204</v>
      </c>
      <c r="B25" s="17">
        <v>923.77333333333343</v>
      </c>
      <c r="C25" s="54">
        <f t="shared" si="0"/>
        <v>923.84032449799247</v>
      </c>
      <c r="D25" s="54">
        <f t="shared" si="1"/>
        <v>3.0906322669736701</v>
      </c>
      <c r="E25" s="54">
        <f t="shared" si="2"/>
        <v>-6.6991164659043534E-2</v>
      </c>
      <c r="F25" s="54">
        <f t="shared" si="3"/>
        <v>-2.1675553372980511E-2</v>
      </c>
    </row>
    <row r="26" spans="1:6" x14ac:dyDescent="0.25">
      <c r="A26" s="37">
        <v>41235</v>
      </c>
      <c r="B26" s="17">
        <v>923.8366666666667</v>
      </c>
      <c r="C26" s="54">
        <f t="shared" si="0"/>
        <v>923.84032449799247</v>
      </c>
      <c r="D26" s="54">
        <f t="shared" si="1"/>
        <v>3.0906322669736701</v>
      </c>
      <c r="E26" s="54">
        <f t="shared" si="2"/>
        <v>-3.6578313257678019E-3</v>
      </c>
      <c r="F26" s="54">
        <f t="shared" si="3"/>
        <v>-1.1835220142024628E-3</v>
      </c>
    </row>
    <row r="27" spans="1:6" x14ac:dyDescent="0.25">
      <c r="A27" s="37">
        <v>41265</v>
      </c>
      <c r="B27" s="17">
        <v>923.92</v>
      </c>
      <c r="C27" s="54">
        <f t="shared" si="0"/>
        <v>923.84032449799247</v>
      </c>
      <c r="D27" s="54">
        <f t="shared" si="1"/>
        <v>3.0906322669736701</v>
      </c>
      <c r="E27" s="54">
        <f t="shared" si="2"/>
        <v>7.967550200748974E-2</v>
      </c>
      <c r="F27" s="54">
        <f t="shared" si="3"/>
        <v>2.5779677142084442E-2</v>
      </c>
    </row>
    <row r="28" spans="1:6" x14ac:dyDescent="0.25">
      <c r="A28" s="37">
        <v>41296</v>
      </c>
      <c r="B28" s="17">
        <v>924.745</v>
      </c>
      <c r="C28" s="54">
        <f t="shared" si="0"/>
        <v>923.84032449799247</v>
      </c>
      <c r="D28" s="54">
        <f t="shared" si="1"/>
        <v>3.0906322669736701</v>
      </c>
      <c r="E28" s="54">
        <f t="shared" si="2"/>
        <v>0.90467550200753521</v>
      </c>
      <c r="F28" s="54">
        <f t="shared" si="3"/>
        <v>0.29271534878958227</v>
      </c>
    </row>
    <row r="29" spans="1:6" x14ac:dyDescent="0.25">
      <c r="A29" s="37">
        <v>41327</v>
      </c>
      <c r="B29" s="17">
        <v>925.49833333333333</v>
      </c>
      <c r="C29" s="54">
        <f t="shared" si="0"/>
        <v>923.84032449799247</v>
      </c>
      <c r="D29" s="54">
        <f t="shared" si="1"/>
        <v>3.0906322669736701</v>
      </c>
      <c r="E29" s="54">
        <f t="shared" si="2"/>
        <v>1.6580088353408655</v>
      </c>
      <c r="F29" s="54">
        <f t="shared" si="3"/>
        <v>0.53646266916263663</v>
      </c>
    </row>
    <row r="30" spans="1:6" x14ac:dyDescent="0.25">
      <c r="A30" s="37">
        <v>41355</v>
      </c>
      <c r="B30" s="17">
        <v>925.20333333333326</v>
      </c>
      <c r="C30" s="54">
        <f t="shared" si="0"/>
        <v>923.84032449799247</v>
      </c>
      <c r="D30" s="54">
        <f t="shared" si="1"/>
        <v>3.0906322669736701</v>
      </c>
      <c r="E30" s="54">
        <f t="shared" si="2"/>
        <v>1.3630088353407928</v>
      </c>
      <c r="F30" s="54">
        <f t="shared" si="3"/>
        <v>0.44101294414927061</v>
      </c>
    </row>
    <row r="31" spans="1:6" x14ac:dyDescent="0.25">
      <c r="A31" s="37">
        <v>41386</v>
      </c>
      <c r="B31" s="17">
        <v>925.22333333333336</v>
      </c>
      <c r="C31" s="54">
        <f t="shared" si="0"/>
        <v>923.84032449799247</v>
      </c>
      <c r="D31" s="54">
        <f t="shared" si="1"/>
        <v>3.0906322669736701</v>
      </c>
      <c r="E31" s="54">
        <f t="shared" si="2"/>
        <v>1.3830088353408883</v>
      </c>
      <c r="F31" s="54">
        <f t="shared" si="3"/>
        <v>0.44748411194681625</v>
      </c>
    </row>
    <row r="32" spans="1:6" x14ac:dyDescent="0.25">
      <c r="A32" s="37">
        <v>41416</v>
      </c>
      <c r="B32" s="17">
        <v>924.73</v>
      </c>
      <c r="C32" s="54">
        <f t="shared" si="0"/>
        <v>923.84032449799247</v>
      </c>
      <c r="D32" s="54">
        <f t="shared" si="1"/>
        <v>3.0906322669736701</v>
      </c>
      <c r="E32" s="54">
        <f t="shared" si="2"/>
        <v>0.88967550200754886</v>
      </c>
      <c r="F32" s="54">
        <f t="shared" si="3"/>
        <v>0.28786197294145066</v>
      </c>
    </row>
    <row r="33" spans="1:6" x14ac:dyDescent="0.25">
      <c r="A33" s="37">
        <v>41447</v>
      </c>
      <c r="B33" s="17">
        <v>924.35166666666657</v>
      </c>
      <c r="C33" s="54">
        <f t="shared" si="0"/>
        <v>923.84032449799247</v>
      </c>
      <c r="D33" s="54">
        <f t="shared" si="1"/>
        <v>3.0906322669736701</v>
      </c>
      <c r="E33" s="54">
        <f t="shared" si="2"/>
        <v>0.51134216867410487</v>
      </c>
      <c r="F33" s="54">
        <f t="shared" si="3"/>
        <v>0.16544904877176095</v>
      </c>
    </row>
    <row r="34" spans="1:6" x14ac:dyDescent="0.25">
      <c r="A34" s="37">
        <v>41477</v>
      </c>
      <c r="B34" s="17">
        <v>924.45166666666682</v>
      </c>
      <c r="C34" s="54">
        <f t="shared" si="0"/>
        <v>923.84032449799247</v>
      </c>
      <c r="D34" s="54">
        <f t="shared" si="1"/>
        <v>3.0906322669736701</v>
      </c>
      <c r="E34" s="54">
        <f t="shared" si="2"/>
        <v>0.61134216867435498</v>
      </c>
      <c r="F34" s="54">
        <f t="shared" si="3"/>
        <v>0.1978048877594156</v>
      </c>
    </row>
    <row r="35" spans="1:6" x14ac:dyDescent="0.25">
      <c r="A35" s="37">
        <v>41508</v>
      </c>
      <c r="B35" s="17">
        <v>924.34999999999991</v>
      </c>
      <c r="C35" s="54">
        <f t="shared" si="0"/>
        <v>923.84032449799247</v>
      </c>
      <c r="D35" s="54">
        <f t="shared" si="1"/>
        <v>3.0906322669736701</v>
      </c>
      <c r="E35" s="54">
        <f t="shared" si="2"/>
        <v>0.50967550200743972</v>
      </c>
      <c r="F35" s="54">
        <f t="shared" si="3"/>
        <v>0.16490978478863522</v>
      </c>
    </row>
    <row r="36" spans="1:6" x14ac:dyDescent="0.25">
      <c r="A36" s="37">
        <v>41539</v>
      </c>
      <c r="B36" s="17">
        <v>924.14166666666677</v>
      </c>
      <c r="C36" s="54">
        <f t="shared" si="0"/>
        <v>923.84032449799247</v>
      </c>
      <c r="D36" s="54">
        <f t="shared" si="1"/>
        <v>3.0906322669736701</v>
      </c>
      <c r="E36" s="54">
        <f t="shared" si="2"/>
        <v>0.30134216867429586</v>
      </c>
      <c r="F36" s="54">
        <f t="shared" si="3"/>
        <v>9.7501786897917955E-2</v>
      </c>
    </row>
    <row r="37" spans="1:6" x14ac:dyDescent="0.25">
      <c r="A37" s="37">
        <v>41569</v>
      </c>
      <c r="B37" s="17">
        <v>924.21</v>
      </c>
      <c r="C37" s="54">
        <f t="shared" si="0"/>
        <v>923.84032449799247</v>
      </c>
      <c r="D37" s="54">
        <f t="shared" si="1"/>
        <v>3.0906322669736701</v>
      </c>
      <c r="E37" s="54">
        <f t="shared" si="2"/>
        <v>0.36967550200756705</v>
      </c>
      <c r="F37" s="54">
        <f t="shared" si="3"/>
        <v>0.11961161020607322</v>
      </c>
    </row>
    <row r="38" spans="1:6" x14ac:dyDescent="0.25">
      <c r="A38" s="37">
        <v>41600</v>
      </c>
      <c r="B38" s="17">
        <v>924.32666666666648</v>
      </c>
      <c r="C38" s="54">
        <f t="shared" si="0"/>
        <v>923.84032449799247</v>
      </c>
      <c r="D38" s="54">
        <f t="shared" si="1"/>
        <v>3.0906322669736701</v>
      </c>
      <c r="E38" s="54">
        <f t="shared" si="2"/>
        <v>0.48634216867401392</v>
      </c>
      <c r="F38" s="54">
        <f t="shared" si="3"/>
        <v>0.15736008902483811</v>
      </c>
    </row>
    <row r="39" spans="1:6" x14ac:dyDescent="0.25">
      <c r="A39" s="37">
        <v>41630</v>
      </c>
      <c r="B39" s="17">
        <v>926.03000000000009</v>
      </c>
      <c r="C39" s="54">
        <f t="shared" si="0"/>
        <v>923.84032449799247</v>
      </c>
      <c r="D39" s="54">
        <f t="shared" si="1"/>
        <v>3.0906322669736701</v>
      </c>
      <c r="E39" s="54">
        <f t="shared" si="2"/>
        <v>2.1896755020076171</v>
      </c>
      <c r="F39" s="54">
        <f t="shared" si="3"/>
        <v>0.708487879779931</v>
      </c>
    </row>
    <row r="40" spans="1:6" x14ac:dyDescent="0.25">
      <c r="A40" s="37">
        <v>41661</v>
      </c>
      <c r="B40" s="17">
        <v>925.50500000000011</v>
      </c>
      <c r="C40" s="54">
        <f t="shared" si="0"/>
        <v>923.84032449799247</v>
      </c>
      <c r="D40" s="54">
        <f t="shared" si="1"/>
        <v>3.0906322669736701</v>
      </c>
      <c r="E40" s="54">
        <f t="shared" si="2"/>
        <v>1.6646755020076398</v>
      </c>
      <c r="F40" s="54">
        <f t="shared" si="3"/>
        <v>0.5386197250951763</v>
      </c>
    </row>
    <row r="41" spans="1:6" x14ac:dyDescent="0.25">
      <c r="A41" s="37">
        <v>41692</v>
      </c>
      <c r="B41" s="17">
        <v>925.15333333333331</v>
      </c>
      <c r="C41" s="54">
        <f t="shared" si="0"/>
        <v>923.84032449799247</v>
      </c>
      <c r="D41" s="54">
        <f t="shared" si="1"/>
        <v>3.0906322669736701</v>
      </c>
      <c r="E41" s="54">
        <f t="shared" si="2"/>
        <v>1.3130088353408382</v>
      </c>
      <c r="F41" s="54">
        <f t="shared" si="3"/>
        <v>0.42483502465549844</v>
      </c>
    </row>
    <row r="42" spans="1:6" x14ac:dyDescent="0.25">
      <c r="A42" s="37">
        <v>41720</v>
      </c>
      <c r="B42" s="17">
        <v>927.70000000000016</v>
      </c>
      <c r="C42" s="54">
        <f t="shared" si="0"/>
        <v>923.84032449799247</v>
      </c>
      <c r="D42" s="54">
        <f t="shared" si="1"/>
        <v>3.0906322669736701</v>
      </c>
      <c r="E42" s="54">
        <f t="shared" si="2"/>
        <v>3.8596755020076898</v>
      </c>
      <c r="F42" s="54">
        <f t="shared" si="3"/>
        <v>1.2488303908724354</v>
      </c>
    </row>
    <row r="43" spans="1:6" x14ac:dyDescent="0.25">
      <c r="A43" s="37">
        <v>41751</v>
      </c>
      <c r="B43" s="17">
        <v>926.4649999999998</v>
      </c>
      <c r="C43" s="54">
        <f t="shared" si="0"/>
        <v>923.84032449799247</v>
      </c>
      <c r="D43" s="54">
        <f t="shared" si="1"/>
        <v>3.0906322669736701</v>
      </c>
      <c r="E43" s="54">
        <f t="shared" si="2"/>
        <v>2.6246755020073351</v>
      </c>
      <c r="F43" s="54">
        <f t="shared" si="3"/>
        <v>0.84923577937578543</v>
      </c>
    </row>
    <row r="44" spans="1:6" x14ac:dyDescent="0.25">
      <c r="A44" s="37">
        <v>41781</v>
      </c>
      <c r="B44" s="17">
        <v>925.17166666666662</v>
      </c>
      <c r="C44" s="54">
        <f t="shared" si="0"/>
        <v>923.84032449799247</v>
      </c>
      <c r="D44" s="54">
        <f t="shared" si="1"/>
        <v>3.0906322669736701</v>
      </c>
      <c r="E44" s="54">
        <f t="shared" si="2"/>
        <v>1.3313421686741549</v>
      </c>
      <c r="F44" s="54">
        <f t="shared" si="3"/>
        <v>0.43076692846988157</v>
      </c>
    </row>
    <row r="45" spans="1:6" x14ac:dyDescent="0.25">
      <c r="A45" s="37">
        <v>41812</v>
      </c>
      <c r="B45" s="17">
        <v>924.71833333333325</v>
      </c>
      <c r="C45" s="54">
        <f t="shared" si="0"/>
        <v>923.84032449799247</v>
      </c>
      <c r="D45" s="54">
        <f t="shared" si="1"/>
        <v>3.0906322669736701</v>
      </c>
      <c r="E45" s="54">
        <f t="shared" si="2"/>
        <v>0.87800883534077911</v>
      </c>
      <c r="F45" s="54">
        <f t="shared" si="3"/>
        <v>0.28408712505953371</v>
      </c>
    </row>
    <row r="46" spans="1:6" x14ac:dyDescent="0.25">
      <c r="A46" s="37">
        <v>41842</v>
      </c>
      <c r="B46" s="17">
        <v>924.40583333333336</v>
      </c>
      <c r="C46" s="54">
        <f t="shared" si="0"/>
        <v>923.84032449799247</v>
      </c>
      <c r="D46" s="54">
        <f t="shared" si="1"/>
        <v>3.0906322669736701</v>
      </c>
      <c r="E46" s="54">
        <f t="shared" si="2"/>
        <v>0.5655088353408928</v>
      </c>
      <c r="F46" s="54">
        <f t="shared" si="3"/>
        <v>0.18297512822340262</v>
      </c>
    </row>
    <row r="47" spans="1:6" x14ac:dyDescent="0.25">
      <c r="A47" s="37">
        <v>41873</v>
      </c>
      <c r="B47" s="17">
        <v>924.34166666666658</v>
      </c>
      <c r="C47" s="54">
        <f t="shared" si="0"/>
        <v>923.84032449799247</v>
      </c>
      <c r="D47" s="54">
        <f t="shared" si="1"/>
        <v>3.0906322669736701</v>
      </c>
      <c r="E47" s="54">
        <f t="shared" si="2"/>
        <v>0.50134216867411396</v>
      </c>
      <c r="F47" s="54">
        <f t="shared" si="3"/>
        <v>0.16221346487300653</v>
      </c>
    </row>
    <row r="48" spans="1:6" x14ac:dyDescent="0.25">
      <c r="A48" s="37">
        <v>41904</v>
      </c>
      <c r="B48" s="17">
        <v>924.12166666666656</v>
      </c>
      <c r="C48" s="54">
        <f t="shared" si="0"/>
        <v>923.84032449799247</v>
      </c>
      <c r="D48" s="54">
        <f t="shared" si="1"/>
        <v>3.0906322669736701</v>
      </c>
      <c r="E48" s="54">
        <f t="shared" si="2"/>
        <v>0.28134216867408668</v>
      </c>
      <c r="F48" s="54">
        <f t="shared" si="3"/>
        <v>9.1030619100335539E-2</v>
      </c>
    </row>
    <row r="49" spans="1:6" x14ac:dyDescent="0.25">
      <c r="A49" s="37">
        <v>41934</v>
      </c>
      <c r="B49" s="17">
        <v>923.95333333333338</v>
      </c>
      <c r="C49" s="54">
        <f t="shared" si="0"/>
        <v>923.84032449799247</v>
      </c>
      <c r="D49" s="54">
        <f t="shared" si="1"/>
        <v>3.0906322669736701</v>
      </c>
      <c r="E49" s="54">
        <f t="shared" si="2"/>
        <v>0.11300883534090644</v>
      </c>
      <c r="F49" s="54">
        <f t="shared" si="3"/>
        <v>3.6564956804635985E-2</v>
      </c>
    </row>
    <row r="50" spans="1:6" x14ac:dyDescent="0.25">
      <c r="A50" s="37">
        <v>41965</v>
      </c>
      <c r="B50" s="17">
        <v>897.47800000000007</v>
      </c>
      <c r="C50" s="54">
        <f t="shared" si="0"/>
        <v>923.84032449799247</v>
      </c>
      <c r="D50" s="54">
        <f t="shared" si="1"/>
        <v>3.0906322669736701</v>
      </c>
      <c r="E50" s="54"/>
      <c r="F50" s="54">
        <f t="shared" si="3"/>
        <v>0</v>
      </c>
    </row>
    <row r="51" spans="1:6" x14ac:dyDescent="0.25">
      <c r="A51" s="37">
        <v>41995</v>
      </c>
      <c r="B51" s="17">
        <v>897.43819999999994</v>
      </c>
      <c r="C51" s="54">
        <f t="shared" si="0"/>
        <v>923.84032449799247</v>
      </c>
      <c r="D51" s="54">
        <f t="shared" si="1"/>
        <v>3.0906322669736701</v>
      </c>
      <c r="E51" s="54"/>
      <c r="F51" s="54">
        <f t="shared" si="3"/>
        <v>0</v>
      </c>
    </row>
    <row r="52" spans="1:6" x14ac:dyDescent="0.25">
      <c r="A52" s="37">
        <v>42026</v>
      </c>
      <c r="B52" s="17">
        <v>923.85750000000007</v>
      </c>
      <c r="C52" s="54">
        <f t="shared" si="0"/>
        <v>923.84032449799247</v>
      </c>
      <c r="D52" s="54">
        <f t="shared" si="1"/>
        <v>3.0906322669736701</v>
      </c>
      <c r="E52" s="54">
        <f t="shared" si="2"/>
        <v>1.7175502007603427E-2</v>
      </c>
      <c r="F52" s="54">
        <f t="shared" si="3"/>
        <v>5.5572777748876551E-3</v>
      </c>
    </row>
    <row r="53" spans="1:6" x14ac:dyDescent="0.25">
      <c r="A53" s="37">
        <v>42057</v>
      </c>
      <c r="B53" s="17">
        <v>923.92950000000008</v>
      </c>
      <c r="C53" s="54">
        <f t="shared" si="0"/>
        <v>923.84032449799247</v>
      </c>
      <c r="D53" s="54">
        <f t="shared" si="1"/>
        <v>3.0906322669736701</v>
      </c>
      <c r="E53" s="54">
        <f t="shared" si="2"/>
        <v>8.9175502007606156E-2</v>
      </c>
      <c r="F53" s="54">
        <f t="shared" si="3"/>
        <v>2.8853481845941612E-2</v>
      </c>
    </row>
    <row r="54" spans="1:6" x14ac:dyDescent="0.25">
      <c r="A54" s="37">
        <v>42085</v>
      </c>
      <c r="B54" s="17">
        <v>923.93833333333339</v>
      </c>
      <c r="C54" s="54">
        <f t="shared" si="0"/>
        <v>923.84032449799247</v>
      </c>
      <c r="D54" s="54">
        <f t="shared" si="1"/>
        <v>3.0906322669736701</v>
      </c>
      <c r="E54" s="54">
        <f t="shared" si="2"/>
        <v>9.8008835340920086E-2</v>
      </c>
      <c r="F54" s="54">
        <f t="shared" si="3"/>
        <v>3.1711580956504344E-2</v>
      </c>
    </row>
    <row r="55" spans="1:6" x14ac:dyDescent="0.25">
      <c r="A55" s="37">
        <v>42116</v>
      </c>
      <c r="B55" s="17">
        <v>923.68033333333335</v>
      </c>
      <c r="C55" s="54">
        <f t="shared" si="0"/>
        <v>923.84032449799247</v>
      </c>
      <c r="D55" s="54">
        <f t="shared" si="1"/>
        <v>3.0906322669736701</v>
      </c>
      <c r="E55" s="54">
        <f t="shared" si="2"/>
        <v>-0.15999116465911811</v>
      </c>
      <c r="F55" s="54">
        <f t="shared" si="3"/>
        <v>-5.1766483631448194E-2</v>
      </c>
    </row>
    <row r="56" spans="1:6" x14ac:dyDescent="0.25">
      <c r="A56" s="37">
        <v>42146</v>
      </c>
      <c r="B56" s="17">
        <v>923.58016666666663</v>
      </c>
      <c r="C56" s="54">
        <f t="shared" si="0"/>
        <v>923.84032449799247</v>
      </c>
      <c r="D56" s="54">
        <f t="shared" si="1"/>
        <v>3.0906322669736701</v>
      </c>
      <c r="E56" s="54">
        <f t="shared" si="2"/>
        <v>-0.26015783132584147</v>
      </c>
      <c r="F56" s="54">
        <f t="shared" si="3"/>
        <v>-8.4176249017352864E-2</v>
      </c>
    </row>
    <row r="57" spans="1:6" x14ac:dyDescent="0.25">
      <c r="A57" s="37">
        <v>42177</v>
      </c>
      <c r="B57" s="17">
        <v>923.49516666666659</v>
      </c>
      <c r="C57" s="54">
        <f t="shared" si="0"/>
        <v>923.84032449799247</v>
      </c>
      <c r="D57" s="54">
        <f t="shared" si="1"/>
        <v>3.0906322669736701</v>
      </c>
      <c r="E57" s="54">
        <f t="shared" si="2"/>
        <v>-0.34515783132587785</v>
      </c>
      <c r="F57" s="54">
        <f t="shared" si="3"/>
        <v>-0.11167871215680229</v>
      </c>
    </row>
    <row r="58" spans="1:6" x14ac:dyDescent="0.25">
      <c r="A58" s="37">
        <v>42207</v>
      </c>
      <c r="B58" s="17">
        <v>923.47883333333323</v>
      </c>
      <c r="C58" s="54">
        <f t="shared" si="0"/>
        <v>923.84032449799247</v>
      </c>
      <c r="D58" s="54">
        <f t="shared" si="1"/>
        <v>3.0906322669736701</v>
      </c>
      <c r="E58" s="54">
        <f t="shared" si="2"/>
        <v>-0.3614911646592418</v>
      </c>
      <c r="F58" s="54">
        <f t="shared" si="3"/>
        <v>-0.11696349919144924</v>
      </c>
    </row>
    <row r="59" spans="1:6" x14ac:dyDescent="0.25">
      <c r="A59" s="37">
        <v>42238</v>
      </c>
      <c r="B59" s="17">
        <v>923.4083333333333</v>
      </c>
      <c r="C59" s="54">
        <f t="shared" si="0"/>
        <v>923.84032449799247</v>
      </c>
      <c r="D59" s="54">
        <f t="shared" si="1"/>
        <v>3.0906322669736701</v>
      </c>
      <c r="E59" s="54">
        <f t="shared" si="2"/>
        <v>-0.43199116465916632</v>
      </c>
      <c r="F59" s="54">
        <f t="shared" si="3"/>
        <v>-0.1397743656776643</v>
      </c>
    </row>
    <row r="60" spans="1:6" x14ac:dyDescent="0.25">
      <c r="A60" s="37">
        <v>42269</v>
      </c>
      <c r="B60" s="17">
        <v>923.3649999999999</v>
      </c>
      <c r="C60" s="54">
        <f t="shared" si="0"/>
        <v>923.84032449799247</v>
      </c>
      <c r="D60" s="54">
        <f t="shared" si="1"/>
        <v>3.0906322669736701</v>
      </c>
      <c r="E60" s="54">
        <f t="shared" si="2"/>
        <v>-0.47532449799257392</v>
      </c>
      <c r="F60" s="54">
        <f t="shared" si="3"/>
        <v>-0.15379522923897027</v>
      </c>
    </row>
    <row r="61" spans="1:6" x14ac:dyDescent="0.25">
      <c r="A61" s="37">
        <v>42299</v>
      </c>
      <c r="B61" s="17">
        <v>923.26550000000009</v>
      </c>
      <c r="C61" s="54">
        <f t="shared" si="0"/>
        <v>923.84032449799247</v>
      </c>
      <c r="D61" s="54">
        <f t="shared" si="1"/>
        <v>3.0906322669736701</v>
      </c>
      <c r="E61" s="54">
        <f t="shared" si="2"/>
        <v>-0.57482449799238111</v>
      </c>
      <c r="F61" s="54">
        <f t="shared" si="3"/>
        <v>-0.18598928903154371</v>
      </c>
    </row>
    <row r="62" spans="1:6" x14ac:dyDescent="0.25">
      <c r="A62" s="37">
        <v>42330</v>
      </c>
      <c r="B62" s="17">
        <v>922.99166666666679</v>
      </c>
      <c r="C62" s="54">
        <f t="shared" si="0"/>
        <v>923.84032449799247</v>
      </c>
      <c r="D62" s="54">
        <f t="shared" si="1"/>
        <v>3.0906322669736701</v>
      </c>
      <c r="E62" s="54">
        <f t="shared" si="2"/>
        <v>-0.8486578313256814</v>
      </c>
      <c r="F62" s="54">
        <f t="shared" si="3"/>
        <v>-0.27459036145917237</v>
      </c>
    </row>
    <row r="63" spans="1:6" x14ac:dyDescent="0.25">
      <c r="A63" s="37">
        <v>42360</v>
      </c>
      <c r="B63" s="17">
        <v>923.44</v>
      </c>
      <c r="C63" s="54">
        <f t="shared" si="0"/>
        <v>923.84032449799247</v>
      </c>
      <c r="D63" s="54">
        <f t="shared" si="1"/>
        <v>3.0906322669736701</v>
      </c>
      <c r="E63" s="54">
        <f t="shared" si="2"/>
        <v>-0.40032449799241476</v>
      </c>
      <c r="F63" s="54">
        <f t="shared" si="3"/>
        <v>-0.12952834999823848</v>
      </c>
    </row>
    <row r="64" spans="1:6" x14ac:dyDescent="0.25">
      <c r="A64" s="37">
        <v>42391</v>
      </c>
      <c r="B64" s="17">
        <v>923.35833333333346</v>
      </c>
      <c r="C64" s="54">
        <f t="shared" si="0"/>
        <v>923.84032449799247</v>
      </c>
      <c r="D64" s="54">
        <f t="shared" si="1"/>
        <v>3.0906322669736701</v>
      </c>
      <c r="E64" s="54">
        <f t="shared" si="2"/>
        <v>-0.48199116465900715</v>
      </c>
      <c r="F64" s="54">
        <f t="shared" si="3"/>
        <v>-0.15595228517139964</v>
      </c>
    </row>
    <row r="65" spans="1:6" x14ac:dyDescent="0.25">
      <c r="A65" s="37">
        <v>42422</v>
      </c>
      <c r="B65" s="17">
        <v>923.08450000000005</v>
      </c>
      <c r="C65" s="54">
        <f t="shared" si="0"/>
        <v>923.84032449799247</v>
      </c>
      <c r="D65" s="54">
        <f t="shared" si="1"/>
        <v>3.0906322669736701</v>
      </c>
      <c r="E65" s="54">
        <f t="shared" si="2"/>
        <v>-0.75582449799242113</v>
      </c>
      <c r="F65" s="54">
        <f t="shared" si="3"/>
        <v>-0.24455335759906507</v>
      </c>
    </row>
    <row r="66" spans="1:6" x14ac:dyDescent="0.25">
      <c r="A66" s="37">
        <v>42451</v>
      </c>
      <c r="B66" s="17">
        <v>923.12266666666665</v>
      </c>
      <c r="C66" s="54">
        <f t="shared" si="0"/>
        <v>923.84032449799247</v>
      </c>
      <c r="D66" s="54">
        <f t="shared" si="1"/>
        <v>3.0906322669736701</v>
      </c>
      <c r="E66" s="54">
        <f t="shared" si="2"/>
        <v>-0.71765783132582328</v>
      </c>
      <c r="F66" s="54">
        <f t="shared" si="3"/>
        <v>-0.23220421238549671</v>
      </c>
    </row>
    <row r="67" spans="1:6" x14ac:dyDescent="0.25">
      <c r="A67" s="37">
        <v>42482</v>
      </c>
      <c r="B67" s="17">
        <v>923.1581666666666</v>
      </c>
      <c r="C67" s="54">
        <f t="shared" si="0"/>
        <v>923.84032449799247</v>
      </c>
      <c r="D67" s="54">
        <f t="shared" si="1"/>
        <v>3.0906322669736701</v>
      </c>
      <c r="E67" s="54">
        <f t="shared" si="2"/>
        <v>-0.68215783132586694</v>
      </c>
      <c r="F67" s="54">
        <f t="shared" si="3"/>
        <v>-0.22071788954492216</v>
      </c>
    </row>
    <row r="68" spans="1:6" x14ac:dyDescent="0.25">
      <c r="A68" s="37">
        <v>42512</v>
      </c>
      <c r="B68" s="17">
        <v>923.00633333333326</v>
      </c>
      <c r="C68" s="54">
        <f t="shared" si="0"/>
        <v>923.84032449799247</v>
      </c>
      <c r="D68" s="54">
        <f t="shared" si="1"/>
        <v>3.0906322669736701</v>
      </c>
      <c r="E68" s="54">
        <f t="shared" si="2"/>
        <v>-0.83399116465920997</v>
      </c>
      <c r="F68" s="54">
        <f t="shared" si="3"/>
        <v>-0.26984483840772472</v>
      </c>
    </row>
    <row r="69" spans="1:6" x14ac:dyDescent="0.25">
      <c r="A69" s="37">
        <v>42543</v>
      </c>
      <c r="B69" s="17">
        <v>922.9466666666666</v>
      </c>
      <c r="C69" s="54">
        <f t="shared" ref="C69:C132" si="4">AVERAGE($B$4:$B$173)</f>
        <v>923.84032449799247</v>
      </c>
      <c r="D69" s="54">
        <f t="shared" ref="D69:D113" si="5">_xlfn.STDEV.S($B$4:$B$173)</f>
        <v>3.0906322669736701</v>
      </c>
      <c r="E69" s="54">
        <f t="shared" ref="E69:E113" si="6">B69-C69</f>
        <v>-0.89365783132586785</v>
      </c>
      <c r="F69" s="54">
        <f t="shared" ref="F69:F113" si="7">E69/D69</f>
        <v>-0.28915048900364088</v>
      </c>
    </row>
    <row r="70" spans="1:6" x14ac:dyDescent="0.25">
      <c r="A70" s="37">
        <v>42573</v>
      </c>
      <c r="B70" s="17">
        <v>922.91933333333338</v>
      </c>
      <c r="C70" s="54">
        <f t="shared" si="4"/>
        <v>923.84032449799247</v>
      </c>
      <c r="D70" s="54">
        <f t="shared" si="5"/>
        <v>3.0906322669736701</v>
      </c>
      <c r="E70" s="54">
        <f t="shared" si="6"/>
        <v>-0.92099116465908537</v>
      </c>
      <c r="F70" s="54">
        <f t="shared" si="7"/>
        <v>-0.29799441832687357</v>
      </c>
    </row>
    <row r="71" spans="1:6" x14ac:dyDescent="0.25">
      <c r="A71" s="37">
        <v>42604</v>
      </c>
      <c r="B71" s="17">
        <v>922.89633333333347</v>
      </c>
      <c r="C71" s="54">
        <f t="shared" si="4"/>
        <v>923.84032449799247</v>
      </c>
      <c r="D71" s="54">
        <f t="shared" si="5"/>
        <v>3.0906322669736701</v>
      </c>
      <c r="E71" s="54">
        <f t="shared" si="6"/>
        <v>-0.94399116465899624</v>
      </c>
      <c r="F71" s="54">
        <f t="shared" si="7"/>
        <v>-0.30543626129398666</v>
      </c>
    </row>
    <row r="72" spans="1:6" x14ac:dyDescent="0.25">
      <c r="A72" s="37">
        <v>42635</v>
      </c>
      <c r="B72" s="17">
        <v>922.85399999999993</v>
      </c>
      <c r="C72" s="54">
        <f t="shared" si="4"/>
        <v>923.84032449799247</v>
      </c>
      <c r="D72" s="54">
        <f t="shared" si="5"/>
        <v>3.0906322669736701</v>
      </c>
      <c r="E72" s="54">
        <f t="shared" si="6"/>
        <v>-0.98632449799254118</v>
      </c>
      <c r="F72" s="54">
        <f t="shared" si="7"/>
        <v>-0.31913356646546132</v>
      </c>
    </row>
    <row r="73" spans="1:6" x14ac:dyDescent="0.25">
      <c r="A73" s="37">
        <v>42665</v>
      </c>
      <c r="B73" s="17">
        <v>922.71616666666671</v>
      </c>
      <c r="C73" s="54">
        <f t="shared" si="4"/>
        <v>923.84032449799247</v>
      </c>
      <c r="D73" s="54">
        <f t="shared" si="5"/>
        <v>3.0906322669736701</v>
      </c>
      <c r="E73" s="54">
        <f t="shared" si="6"/>
        <v>-1.1241578313257605</v>
      </c>
      <c r="F73" s="54">
        <f t="shared" si="7"/>
        <v>-0.36373069786996354</v>
      </c>
    </row>
    <row r="74" spans="1:6" x14ac:dyDescent="0.25">
      <c r="A74" s="37">
        <v>42696</v>
      </c>
      <c r="B74" s="17">
        <v>923.11650000000009</v>
      </c>
      <c r="C74" s="54">
        <f t="shared" si="4"/>
        <v>923.84032449799247</v>
      </c>
      <c r="D74" s="54">
        <f t="shared" si="5"/>
        <v>3.0906322669736701</v>
      </c>
      <c r="E74" s="54">
        <f t="shared" si="6"/>
        <v>-0.72382449799238202</v>
      </c>
      <c r="F74" s="54">
        <f t="shared" si="7"/>
        <v>-0.23419948912302885</v>
      </c>
    </row>
    <row r="75" spans="1:6" x14ac:dyDescent="0.25">
      <c r="A75" s="37">
        <v>42726</v>
      </c>
      <c r="B75" s="17">
        <v>923.2401666666666</v>
      </c>
      <c r="C75" s="54">
        <f t="shared" si="4"/>
        <v>923.84032449799247</v>
      </c>
      <c r="D75" s="54">
        <f t="shared" si="5"/>
        <v>3.0906322669736701</v>
      </c>
      <c r="E75" s="54">
        <f t="shared" si="6"/>
        <v>-0.6001578313258733</v>
      </c>
      <c r="F75" s="54">
        <f t="shared" si="7"/>
        <v>-0.19418610157511379</v>
      </c>
    </row>
    <row r="76" spans="1:6" x14ac:dyDescent="0.25">
      <c r="A76" s="37">
        <v>42757</v>
      </c>
      <c r="B76" s="17">
        <v>923.28083333333325</v>
      </c>
      <c r="C76" s="54">
        <f t="shared" si="4"/>
        <v>923.84032449799247</v>
      </c>
      <c r="D76" s="54">
        <f t="shared" si="5"/>
        <v>3.0906322669736701</v>
      </c>
      <c r="E76" s="54">
        <f t="shared" si="6"/>
        <v>-0.55949116465922089</v>
      </c>
      <c r="F76" s="54">
        <f t="shared" si="7"/>
        <v>-0.18102806038683841</v>
      </c>
    </row>
    <row r="77" spans="1:6" x14ac:dyDescent="0.25">
      <c r="A77" s="37">
        <v>42788</v>
      </c>
      <c r="B77" s="17">
        <v>923.32150000000001</v>
      </c>
      <c r="C77" s="54">
        <f t="shared" si="4"/>
        <v>923.84032449799247</v>
      </c>
      <c r="D77" s="54">
        <f t="shared" si="5"/>
        <v>3.0906322669736701</v>
      </c>
      <c r="E77" s="54">
        <f t="shared" si="6"/>
        <v>-0.51882449799245478</v>
      </c>
      <c r="F77" s="54">
        <f t="shared" si="7"/>
        <v>-0.16787001919852626</v>
      </c>
    </row>
    <row r="78" spans="1:6" x14ac:dyDescent="0.25">
      <c r="A78" s="37">
        <v>42816</v>
      </c>
      <c r="B78" s="17">
        <v>924.20150000000001</v>
      </c>
      <c r="C78" s="54">
        <f t="shared" si="4"/>
        <v>923.84032449799247</v>
      </c>
      <c r="D78" s="54">
        <f t="shared" si="5"/>
        <v>3.0906322669736701</v>
      </c>
      <c r="E78" s="54">
        <f t="shared" si="6"/>
        <v>0.36117550200754067</v>
      </c>
      <c r="F78" s="54">
        <f t="shared" si="7"/>
        <v>0.11686136389212091</v>
      </c>
    </row>
    <row r="79" spans="1:6" x14ac:dyDescent="0.25">
      <c r="A79" s="37">
        <v>42847</v>
      </c>
      <c r="B79" s="17">
        <v>923.92416666666668</v>
      </c>
      <c r="C79" s="54">
        <f t="shared" si="4"/>
        <v>923.84032449799247</v>
      </c>
      <c r="D79" s="54">
        <f t="shared" si="5"/>
        <v>3.0906322669736701</v>
      </c>
      <c r="E79" s="54">
        <f t="shared" si="6"/>
        <v>8.3842168674209461E-2</v>
      </c>
      <c r="F79" s="54">
        <f t="shared" si="7"/>
        <v>2.7127837099917177E-2</v>
      </c>
    </row>
    <row r="80" spans="1:6" x14ac:dyDescent="0.25">
      <c r="A80" s="37">
        <v>42877</v>
      </c>
      <c r="B80" s="17">
        <v>923.5526666666666</v>
      </c>
      <c r="C80" s="54">
        <f t="shared" si="4"/>
        <v>923.84032449799247</v>
      </c>
      <c r="D80" s="54">
        <f t="shared" si="5"/>
        <v>3.0906322669736701</v>
      </c>
      <c r="E80" s="54">
        <f t="shared" si="6"/>
        <v>-0.2876578313258733</v>
      </c>
      <c r="F80" s="54">
        <f t="shared" si="7"/>
        <v>-9.3074104738945937E-2</v>
      </c>
    </row>
    <row r="81" spans="1:6" x14ac:dyDescent="0.25">
      <c r="A81" s="37">
        <v>42908</v>
      </c>
      <c r="B81" s="17">
        <v>923.23166666666657</v>
      </c>
      <c r="C81" s="54">
        <f t="shared" si="4"/>
        <v>923.84032449799247</v>
      </c>
      <c r="D81" s="54">
        <f t="shared" si="5"/>
        <v>3.0906322669736701</v>
      </c>
      <c r="E81" s="54">
        <f t="shared" si="6"/>
        <v>-0.60865783132589968</v>
      </c>
      <c r="F81" s="54">
        <f t="shared" si="7"/>
        <v>-0.19693634788906608</v>
      </c>
    </row>
    <row r="82" spans="1:6" x14ac:dyDescent="0.25">
      <c r="A82" s="37">
        <v>42938</v>
      </c>
      <c r="B82" s="17">
        <v>923.1783333333334</v>
      </c>
      <c r="C82" s="54">
        <f t="shared" si="4"/>
        <v>923.84032449799247</v>
      </c>
      <c r="D82" s="54">
        <f t="shared" si="5"/>
        <v>3.0906322669736701</v>
      </c>
      <c r="E82" s="54">
        <f t="shared" si="6"/>
        <v>-0.66199116465907082</v>
      </c>
      <c r="F82" s="54">
        <f t="shared" si="7"/>
        <v>-0.21419279534905292</v>
      </c>
    </row>
    <row r="83" spans="1:6" x14ac:dyDescent="0.25">
      <c r="A83" s="37">
        <v>42969</v>
      </c>
      <c r="B83" s="17">
        <v>923.11999999999989</v>
      </c>
      <c r="C83" s="54">
        <f t="shared" si="4"/>
        <v>923.84032449799247</v>
      </c>
      <c r="D83" s="54">
        <f t="shared" si="5"/>
        <v>3.0906322669736701</v>
      </c>
      <c r="E83" s="54">
        <f t="shared" si="6"/>
        <v>-0.72032449799257847</v>
      </c>
      <c r="F83" s="54">
        <f t="shared" si="7"/>
        <v>-0.23306703475852733</v>
      </c>
    </row>
    <row r="84" spans="1:6" x14ac:dyDescent="0.25">
      <c r="A84" s="37">
        <v>43000</v>
      </c>
      <c r="B84" s="17">
        <v>922.99166666666667</v>
      </c>
      <c r="C84" s="54">
        <f t="shared" si="4"/>
        <v>923.84032449799247</v>
      </c>
      <c r="D84" s="54">
        <f t="shared" si="5"/>
        <v>3.0906322669736701</v>
      </c>
      <c r="E84" s="54">
        <f t="shared" si="6"/>
        <v>-0.84865783132579509</v>
      </c>
      <c r="F84" s="54">
        <f t="shared" si="7"/>
        <v>-0.27459036145920918</v>
      </c>
    </row>
    <row r="85" spans="1:6" x14ac:dyDescent="0.25">
      <c r="A85" s="37">
        <v>43030</v>
      </c>
      <c r="B85" s="17">
        <v>923.16833333333341</v>
      </c>
      <c r="C85" s="54">
        <f t="shared" si="4"/>
        <v>923.84032449799247</v>
      </c>
      <c r="D85" s="54">
        <f t="shared" si="5"/>
        <v>3.0906322669736701</v>
      </c>
      <c r="E85" s="54">
        <f t="shared" si="6"/>
        <v>-0.67199116465906172</v>
      </c>
      <c r="F85" s="54">
        <f t="shared" si="7"/>
        <v>-0.21742837924780736</v>
      </c>
    </row>
    <row r="86" spans="1:6" x14ac:dyDescent="0.25">
      <c r="A86" s="37">
        <v>43061</v>
      </c>
      <c r="B86" s="17">
        <v>923.23333333333346</v>
      </c>
      <c r="C86" s="54">
        <f t="shared" si="4"/>
        <v>923.84032449799247</v>
      </c>
      <c r="D86" s="54">
        <f t="shared" si="5"/>
        <v>3.0906322669736701</v>
      </c>
      <c r="E86" s="54">
        <f t="shared" si="6"/>
        <v>-0.60699116465900715</v>
      </c>
      <c r="F86" s="54">
        <f t="shared" si="7"/>
        <v>-0.19639708390586677</v>
      </c>
    </row>
    <row r="87" spans="1:6" x14ac:dyDescent="0.25">
      <c r="A87" s="37">
        <v>43091</v>
      </c>
      <c r="B87" s="17">
        <v>923.55166666666662</v>
      </c>
      <c r="C87" s="54">
        <f t="shared" si="4"/>
        <v>923.84032449799247</v>
      </c>
      <c r="D87" s="54">
        <f t="shared" si="5"/>
        <v>3.0906322669736701</v>
      </c>
      <c r="E87" s="54">
        <f t="shared" si="6"/>
        <v>-0.28865783132584966</v>
      </c>
      <c r="F87" s="54">
        <f t="shared" si="7"/>
        <v>-9.3397663128814021E-2</v>
      </c>
    </row>
    <row r="88" spans="1:6" x14ac:dyDescent="0.25">
      <c r="A88" s="37">
        <v>43122</v>
      </c>
      <c r="B88" s="17">
        <v>924.35666666666668</v>
      </c>
      <c r="C88" s="54">
        <f t="shared" si="4"/>
        <v>923.84032449799247</v>
      </c>
      <c r="D88" s="54">
        <f t="shared" si="5"/>
        <v>3.0906322669736701</v>
      </c>
      <c r="E88" s="54">
        <f t="shared" si="6"/>
        <v>0.51634216867421401</v>
      </c>
      <c r="F88" s="54">
        <f t="shared" si="7"/>
        <v>0.16706684072117495</v>
      </c>
    </row>
    <row r="89" spans="1:6" x14ac:dyDescent="0.25">
      <c r="A89" s="37">
        <v>43153</v>
      </c>
      <c r="B89" s="17">
        <v>924.09666666666669</v>
      </c>
      <c r="C89" s="54">
        <f t="shared" si="4"/>
        <v>923.84032449799247</v>
      </c>
      <c r="D89" s="54">
        <f t="shared" si="5"/>
        <v>3.0906322669736701</v>
      </c>
      <c r="E89" s="54">
        <f t="shared" si="6"/>
        <v>0.2563421686742231</v>
      </c>
      <c r="F89" s="54">
        <f t="shared" si="7"/>
        <v>8.2941659353486241E-2</v>
      </c>
    </row>
    <row r="90" spans="1:6" x14ac:dyDescent="0.25">
      <c r="A90" s="37">
        <v>43181</v>
      </c>
      <c r="B90" s="17">
        <v>923.88833333333332</v>
      </c>
      <c r="C90" s="54">
        <f t="shared" si="4"/>
        <v>923.84032449799247</v>
      </c>
      <c r="D90" s="54">
        <f t="shared" si="5"/>
        <v>3.0906322669736701</v>
      </c>
      <c r="E90" s="54">
        <f t="shared" si="6"/>
        <v>4.8008835340851874E-2</v>
      </c>
      <c r="F90" s="54">
        <f t="shared" si="7"/>
        <v>1.5533661462695417E-2</v>
      </c>
    </row>
    <row r="91" spans="1:6" x14ac:dyDescent="0.25">
      <c r="A91" s="37">
        <v>43212</v>
      </c>
      <c r="B91" s="17">
        <v>923.99833333333333</v>
      </c>
      <c r="C91" s="54">
        <f t="shared" si="4"/>
        <v>923.84032449799247</v>
      </c>
      <c r="D91" s="54">
        <f t="shared" si="5"/>
        <v>3.0906322669736701</v>
      </c>
      <c r="E91" s="54">
        <f t="shared" si="6"/>
        <v>0.15800883534086552</v>
      </c>
      <c r="F91" s="54">
        <f t="shared" si="7"/>
        <v>5.1125084349030916E-2</v>
      </c>
    </row>
    <row r="92" spans="1:6" x14ac:dyDescent="0.25">
      <c r="A92" s="37">
        <v>43242</v>
      </c>
      <c r="B92" s="17">
        <v>924.14166666666677</v>
      </c>
      <c r="C92" s="54">
        <f t="shared" si="4"/>
        <v>923.84032449799247</v>
      </c>
      <c r="D92" s="54">
        <f t="shared" si="5"/>
        <v>3.0906322669736701</v>
      </c>
      <c r="E92" s="54">
        <f t="shared" si="6"/>
        <v>0.30134216867429586</v>
      </c>
      <c r="F92" s="54">
        <f t="shared" si="7"/>
        <v>9.7501786897917955E-2</v>
      </c>
    </row>
    <row r="93" spans="1:6" x14ac:dyDescent="0.25">
      <c r="A93" s="37">
        <v>43273</v>
      </c>
      <c r="B93" s="17">
        <v>923.82</v>
      </c>
      <c r="C93" s="54">
        <f t="shared" si="4"/>
        <v>923.84032449799247</v>
      </c>
      <c r="D93" s="54">
        <f t="shared" si="5"/>
        <v>3.0906322669736701</v>
      </c>
      <c r="E93" s="54">
        <f t="shared" si="6"/>
        <v>-2.032449799241931E-2</v>
      </c>
      <c r="F93" s="54">
        <f t="shared" si="7"/>
        <v>-6.5761618454598433E-3</v>
      </c>
    </row>
    <row r="94" spans="1:6" x14ac:dyDescent="0.25">
      <c r="A94" s="37">
        <v>43303</v>
      </c>
      <c r="B94" s="17">
        <v>923.64166666666677</v>
      </c>
      <c r="C94" s="54">
        <f t="shared" si="4"/>
        <v>923.84032449799247</v>
      </c>
      <c r="D94" s="54">
        <f t="shared" si="5"/>
        <v>3.0906322669736701</v>
      </c>
      <c r="E94" s="54">
        <f t="shared" si="6"/>
        <v>-0.19865783132570414</v>
      </c>
      <c r="F94" s="54">
        <f t="shared" si="7"/>
        <v>-6.4277408039950606E-2</v>
      </c>
    </row>
    <row r="95" spans="1:6" x14ac:dyDescent="0.25">
      <c r="A95" s="37">
        <v>43334</v>
      </c>
      <c r="B95" s="17">
        <v>923.54666666666674</v>
      </c>
      <c r="C95" s="54">
        <f t="shared" si="4"/>
        <v>923.84032449799247</v>
      </c>
      <c r="D95" s="54">
        <f t="shared" si="5"/>
        <v>3.0906322669736701</v>
      </c>
      <c r="E95" s="54">
        <f t="shared" si="6"/>
        <v>-0.29365783132573142</v>
      </c>
      <c r="F95" s="54">
        <f t="shared" si="7"/>
        <v>-9.5015455078154454E-2</v>
      </c>
    </row>
    <row r="96" spans="1:6" x14ac:dyDescent="0.25">
      <c r="A96" s="37">
        <v>43365</v>
      </c>
      <c r="B96" s="17">
        <v>923.53666666666652</v>
      </c>
      <c r="C96" s="54">
        <f t="shared" si="4"/>
        <v>923.84032449799247</v>
      </c>
      <c r="D96" s="54">
        <f t="shared" si="5"/>
        <v>3.0906322669736701</v>
      </c>
      <c r="E96" s="54">
        <f t="shared" si="6"/>
        <v>-0.3036578313259497</v>
      </c>
      <c r="F96" s="54">
        <f t="shared" si="7"/>
        <v>-9.8251038976982452E-2</v>
      </c>
    </row>
    <row r="97" spans="1:6" x14ac:dyDescent="0.25">
      <c r="A97" s="37">
        <v>43395</v>
      </c>
      <c r="B97" s="17">
        <v>923.37166666666678</v>
      </c>
      <c r="C97" s="54">
        <f t="shared" si="4"/>
        <v>923.84032449799247</v>
      </c>
      <c r="D97" s="54">
        <f t="shared" si="5"/>
        <v>3.0906322669736701</v>
      </c>
      <c r="E97" s="54">
        <f t="shared" si="6"/>
        <v>-0.46865783132568595</v>
      </c>
      <c r="F97" s="54">
        <f t="shared" si="7"/>
        <v>-0.15163817330639373</v>
      </c>
    </row>
    <row r="98" spans="1:6" x14ac:dyDescent="0.25">
      <c r="A98" s="37">
        <v>43426</v>
      </c>
      <c r="B98" s="17">
        <v>923.45499999999993</v>
      </c>
      <c r="C98" s="54">
        <f t="shared" si="4"/>
        <v>923.84032449799247</v>
      </c>
      <c r="D98" s="54">
        <f t="shared" si="5"/>
        <v>3.0906322669736701</v>
      </c>
      <c r="E98" s="54">
        <f t="shared" si="6"/>
        <v>-0.38532449799254209</v>
      </c>
      <c r="F98" s="54">
        <f t="shared" si="7"/>
        <v>-0.12467497415014361</v>
      </c>
    </row>
    <row r="99" spans="1:6" x14ac:dyDescent="0.25">
      <c r="A99" s="37">
        <v>43456</v>
      </c>
      <c r="B99" s="17">
        <v>923.37666666666655</v>
      </c>
      <c r="C99" s="54">
        <f t="shared" si="4"/>
        <v>923.84032449799247</v>
      </c>
      <c r="D99" s="54">
        <f t="shared" si="5"/>
        <v>3.0906322669736701</v>
      </c>
      <c r="E99" s="54">
        <f t="shared" si="6"/>
        <v>-0.46365783132591787</v>
      </c>
      <c r="F99" s="54">
        <f t="shared" si="7"/>
        <v>-0.15002038135709009</v>
      </c>
    </row>
    <row r="100" spans="1:6" x14ac:dyDescent="0.25">
      <c r="A100" s="37">
        <v>43487</v>
      </c>
      <c r="B100" s="17">
        <v>924.39333333333332</v>
      </c>
      <c r="C100" s="54">
        <f t="shared" si="4"/>
        <v>923.84032449799247</v>
      </c>
      <c r="D100" s="54">
        <f t="shared" si="5"/>
        <v>3.0906322669736701</v>
      </c>
      <c r="E100" s="54">
        <f t="shared" si="6"/>
        <v>0.55300883534084733</v>
      </c>
      <c r="F100" s="54">
        <f t="shared" si="7"/>
        <v>0.17893064834994118</v>
      </c>
    </row>
    <row r="101" spans="1:6" x14ac:dyDescent="0.25">
      <c r="A101" s="37">
        <v>43518</v>
      </c>
      <c r="B101" s="17">
        <v>925.25083333333316</v>
      </c>
      <c r="C101" s="54">
        <f t="shared" si="4"/>
        <v>923.84032449799247</v>
      </c>
      <c r="D101" s="54">
        <f t="shared" si="5"/>
        <v>3.0906322669736701</v>
      </c>
      <c r="E101" s="54">
        <f t="shared" si="6"/>
        <v>1.4105088353406927</v>
      </c>
      <c r="F101" s="54">
        <f t="shared" si="7"/>
        <v>0.45638196766833572</v>
      </c>
    </row>
    <row r="102" spans="1:6" x14ac:dyDescent="0.25">
      <c r="A102" s="37">
        <v>43546</v>
      </c>
      <c r="B102" s="17">
        <v>925.23500000000001</v>
      </c>
      <c r="C102" s="54">
        <f t="shared" si="4"/>
        <v>923.84032449799247</v>
      </c>
      <c r="D102" s="54">
        <f t="shared" si="5"/>
        <v>3.0906322669736701</v>
      </c>
      <c r="E102" s="54">
        <f t="shared" si="6"/>
        <v>1.3946755020075443</v>
      </c>
      <c r="F102" s="54">
        <f t="shared" si="7"/>
        <v>0.4512589598286964</v>
      </c>
    </row>
    <row r="103" spans="1:6" x14ac:dyDescent="0.25">
      <c r="A103" s="37">
        <v>43577</v>
      </c>
      <c r="B103" s="17">
        <v>924.73666666666668</v>
      </c>
      <c r="C103" s="54">
        <f t="shared" si="4"/>
        <v>923.84032449799247</v>
      </c>
      <c r="D103" s="54">
        <f t="shared" si="5"/>
        <v>3.0906322669736701</v>
      </c>
      <c r="E103" s="54">
        <f t="shared" si="6"/>
        <v>0.89634216867420946</v>
      </c>
      <c r="F103" s="54">
        <f t="shared" si="7"/>
        <v>0.29001902887395359</v>
      </c>
    </row>
    <row r="104" spans="1:6" x14ac:dyDescent="0.25">
      <c r="A104" s="37">
        <v>43607</v>
      </c>
      <c r="B104" s="17">
        <v>924.13333333333333</v>
      </c>
      <c r="C104" s="54">
        <f t="shared" si="4"/>
        <v>923.84032449799247</v>
      </c>
      <c r="D104" s="54">
        <f t="shared" si="5"/>
        <v>3.0906322669736701</v>
      </c>
      <c r="E104" s="54">
        <f t="shared" si="6"/>
        <v>0.29300883534085642</v>
      </c>
      <c r="F104" s="54">
        <f t="shared" si="7"/>
        <v>9.4805466982252479E-2</v>
      </c>
    </row>
    <row r="105" spans="1:6" x14ac:dyDescent="0.25">
      <c r="A105" s="37">
        <v>43638</v>
      </c>
      <c r="B105" s="17">
        <v>923.88499999999988</v>
      </c>
      <c r="C105" s="54">
        <f t="shared" si="4"/>
        <v>923.84032449799247</v>
      </c>
      <c r="D105" s="54">
        <f t="shared" si="5"/>
        <v>3.0906322669736701</v>
      </c>
      <c r="E105" s="54">
        <f t="shared" si="6"/>
        <v>4.4675502007407886E-2</v>
      </c>
      <c r="F105" s="54">
        <f t="shared" si="7"/>
        <v>1.4455133496407157E-2</v>
      </c>
    </row>
    <row r="106" spans="1:6" x14ac:dyDescent="0.25">
      <c r="A106" s="37">
        <v>43668</v>
      </c>
      <c r="B106" s="17">
        <v>923.80333333333328</v>
      </c>
      <c r="C106" s="54">
        <f t="shared" si="4"/>
        <v>923.84032449799247</v>
      </c>
      <c r="D106" s="54">
        <f t="shared" si="5"/>
        <v>3.0906322669736701</v>
      </c>
      <c r="E106" s="54">
        <f t="shared" si="6"/>
        <v>-3.6991164659184506E-2</v>
      </c>
      <c r="F106" s="54">
        <f t="shared" si="7"/>
        <v>-1.1968801676754008E-2</v>
      </c>
    </row>
    <row r="107" spans="1:6" x14ac:dyDescent="0.25">
      <c r="A107" s="37">
        <v>43699</v>
      </c>
      <c r="B107" s="17">
        <v>923.61166666666668</v>
      </c>
      <c r="C107" s="54">
        <f t="shared" si="4"/>
        <v>923.84032449799247</v>
      </c>
      <c r="D107" s="54">
        <f t="shared" si="5"/>
        <v>3.0906322669736701</v>
      </c>
      <c r="E107" s="54">
        <f t="shared" si="6"/>
        <v>-0.22865783132579054</v>
      </c>
      <c r="F107" s="54">
        <f t="shared" si="7"/>
        <v>-7.3984159736250665E-2</v>
      </c>
    </row>
    <row r="108" spans="1:6" x14ac:dyDescent="0.25">
      <c r="A108" s="37">
        <v>43730</v>
      </c>
      <c r="B108" s="17">
        <v>923.62833333333322</v>
      </c>
      <c r="C108" s="54">
        <f t="shared" si="4"/>
        <v>923.84032449799247</v>
      </c>
      <c r="D108" s="54">
        <f t="shared" si="5"/>
        <v>3.0906322669736701</v>
      </c>
      <c r="E108" s="54">
        <f t="shared" si="6"/>
        <v>-0.21199116465925272</v>
      </c>
      <c r="F108" s="54">
        <f t="shared" si="7"/>
        <v>-6.8591519905030068E-2</v>
      </c>
    </row>
    <row r="109" spans="1:6" x14ac:dyDescent="0.25">
      <c r="A109" s="37">
        <v>43760</v>
      </c>
      <c r="B109" s="17">
        <v>923.40333333333331</v>
      </c>
      <c r="C109" s="54">
        <f t="shared" si="4"/>
        <v>923.84032449799247</v>
      </c>
      <c r="D109" s="54">
        <f t="shared" si="5"/>
        <v>3.0906322669736701</v>
      </c>
      <c r="E109" s="54">
        <f t="shared" si="6"/>
        <v>-0.43699116465916177</v>
      </c>
      <c r="F109" s="54">
        <f t="shared" si="7"/>
        <v>-0.14139215762704149</v>
      </c>
    </row>
    <row r="110" spans="1:6" x14ac:dyDescent="0.25">
      <c r="A110" s="37">
        <v>43791</v>
      </c>
      <c r="B110" s="17">
        <v>923.29</v>
      </c>
      <c r="C110" s="54">
        <f t="shared" si="4"/>
        <v>923.84032449799247</v>
      </c>
      <c r="D110" s="54">
        <f t="shared" si="5"/>
        <v>3.0906322669736701</v>
      </c>
      <c r="E110" s="54">
        <f t="shared" si="6"/>
        <v>-0.55032449799250571</v>
      </c>
      <c r="F110" s="54">
        <f t="shared" si="7"/>
        <v>-0.17806210847962847</v>
      </c>
    </row>
    <row r="111" spans="1:6" x14ac:dyDescent="0.25">
      <c r="A111" s="37">
        <v>43821</v>
      </c>
      <c r="B111" s="17">
        <v>923.52833333333331</v>
      </c>
      <c r="C111" s="54">
        <f t="shared" si="4"/>
        <v>923.84032449799247</v>
      </c>
      <c r="D111" s="54">
        <f t="shared" si="5"/>
        <v>3.0906322669736701</v>
      </c>
      <c r="E111" s="54">
        <f t="shared" si="6"/>
        <v>-0.31199116465916177</v>
      </c>
      <c r="F111" s="54">
        <f t="shared" si="7"/>
        <v>-0.10094735889257436</v>
      </c>
    </row>
    <row r="112" spans="1:6" x14ac:dyDescent="0.25">
      <c r="A112" s="37">
        <v>43852</v>
      </c>
      <c r="B112" s="17">
        <v>923.77499999999998</v>
      </c>
      <c r="C112" s="54">
        <f t="shared" si="4"/>
        <v>923.84032449799247</v>
      </c>
      <c r="D112" s="54">
        <f t="shared" si="5"/>
        <v>3.0906322669736701</v>
      </c>
      <c r="E112" s="54">
        <f t="shared" si="6"/>
        <v>-6.532449799249207E-2</v>
      </c>
      <c r="F112" s="54">
        <f t="shared" si="7"/>
        <v>-2.1136289389891556E-2</v>
      </c>
    </row>
    <row r="113" spans="1:6" x14ac:dyDescent="0.25">
      <c r="A113" s="37">
        <v>43883</v>
      </c>
      <c r="B113" s="17">
        <v>923.68833333333339</v>
      </c>
      <c r="C113" s="54">
        <f t="shared" si="4"/>
        <v>923.84032449799247</v>
      </c>
      <c r="D113" s="54">
        <f t="shared" si="5"/>
        <v>3.0906322669736701</v>
      </c>
      <c r="E113" s="54">
        <f t="shared" si="6"/>
        <v>-0.15199116465907991</v>
      </c>
      <c r="F113" s="54">
        <f t="shared" si="7"/>
        <v>-4.9178016512429937E-2</v>
      </c>
    </row>
    <row r="114" spans="1:6" x14ac:dyDescent="0.25">
      <c r="A114" s="37">
        <v>43912</v>
      </c>
      <c r="B114" s="49"/>
      <c r="C114" s="63"/>
      <c r="D114" s="63"/>
      <c r="E114" s="63"/>
      <c r="F114" s="63"/>
    </row>
    <row r="115" spans="1:6" x14ac:dyDescent="0.25">
      <c r="A115" s="37">
        <v>43943</v>
      </c>
      <c r="B115" s="52"/>
      <c r="C115" s="63"/>
      <c r="D115" s="63"/>
      <c r="E115" s="63"/>
      <c r="F115" s="63"/>
    </row>
    <row r="116" spans="1:6" x14ac:dyDescent="0.25">
      <c r="A116" s="37">
        <v>43973</v>
      </c>
      <c r="B116" s="52"/>
      <c r="C116" s="63"/>
      <c r="D116" s="63"/>
      <c r="E116" s="63"/>
      <c r="F116" s="63"/>
    </row>
    <row r="117" spans="1:6" x14ac:dyDescent="0.25">
      <c r="A117" s="37">
        <v>44004</v>
      </c>
      <c r="B117" s="52"/>
      <c r="C117" s="63"/>
      <c r="D117" s="63"/>
      <c r="E117" s="63"/>
      <c r="F117" s="63"/>
    </row>
    <row r="118" spans="1:6" x14ac:dyDescent="0.25">
      <c r="A118" s="37">
        <v>44034</v>
      </c>
      <c r="B118" s="50">
        <v>923.39666666666665</v>
      </c>
      <c r="C118" s="54">
        <f t="shared" si="4"/>
        <v>923.84032449799247</v>
      </c>
      <c r="D118" s="30">
        <f t="shared" ref="D118:D132" si="8">_xlfn.STDEV.S($B$4:$B$173)</f>
        <v>3.0906322669736701</v>
      </c>
      <c r="E118" s="30">
        <f t="shared" ref="E118:E132" si="9">B118-C118</f>
        <v>-0.44365783132582237</v>
      </c>
      <c r="F118" s="13">
        <f t="shared" ref="F118:F132" si="10">E118/D118</f>
        <v>-0.14354921355954445</v>
      </c>
    </row>
    <row r="119" spans="1:6" x14ac:dyDescent="0.25">
      <c r="A119" s="37">
        <v>44065</v>
      </c>
      <c r="B119" s="50">
        <v>923.35333333333347</v>
      </c>
      <c r="C119" s="54">
        <f t="shared" si="4"/>
        <v>923.84032449799247</v>
      </c>
      <c r="D119" s="30">
        <f t="shared" si="8"/>
        <v>3.0906322669736701</v>
      </c>
      <c r="E119" s="30">
        <f t="shared" si="9"/>
        <v>-0.48699116465900261</v>
      </c>
      <c r="F119" s="13">
        <f t="shared" si="10"/>
        <v>-0.15757007712077686</v>
      </c>
    </row>
    <row r="120" spans="1:6" x14ac:dyDescent="0.25">
      <c r="A120" s="37">
        <v>44096</v>
      </c>
      <c r="B120" s="50">
        <v>923.4466666666666</v>
      </c>
      <c r="C120" s="54">
        <f t="shared" si="4"/>
        <v>923.84032449799247</v>
      </c>
      <c r="D120" s="30">
        <f t="shared" si="8"/>
        <v>3.0906322669736701</v>
      </c>
      <c r="E120" s="30">
        <f t="shared" si="9"/>
        <v>-0.39365783132586785</v>
      </c>
      <c r="F120" s="13">
        <f t="shared" si="10"/>
        <v>-0.1273712940657723</v>
      </c>
    </row>
    <row r="121" spans="1:6" x14ac:dyDescent="0.25">
      <c r="A121" s="37">
        <v>44126</v>
      </c>
      <c r="B121" s="50">
        <v>923.36166666666668</v>
      </c>
      <c r="C121" s="54">
        <f t="shared" si="4"/>
        <v>923.84032449799247</v>
      </c>
      <c r="D121" s="30">
        <f t="shared" si="8"/>
        <v>3.0906322669736701</v>
      </c>
      <c r="E121" s="30">
        <f t="shared" si="9"/>
        <v>-0.47865783132579054</v>
      </c>
      <c r="F121" s="13">
        <f t="shared" si="10"/>
        <v>-0.15487375720518495</v>
      </c>
    </row>
    <row r="122" spans="1:6" x14ac:dyDescent="0.25">
      <c r="A122" s="37">
        <v>44157</v>
      </c>
      <c r="B122" s="50">
        <v>923.27666666666664</v>
      </c>
      <c r="C122" s="54">
        <f t="shared" si="4"/>
        <v>923.84032449799247</v>
      </c>
      <c r="D122" s="30">
        <f t="shared" si="8"/>
        <v>3.0906322669736701</v>
      </c>
      <c r="E122" s="30">
        <f t="shared" si="9"/>
        <v>-0.56365783132582692</v>
      </c>
      <c r="F122" s="13">
        <f t="shared" si="10"/>
        <v>-0.18237622034463438</v>
      </c>
    </row>
    <row r="123" spans="1:6" x14ac:dyDescent="0.25">
      <c r="A123" s="37">
        <v>44187</v>
      </c>
      <c r="B123" s="50">
        <v>923.2116666666667</v>
      </c>
      <c r="C123" s="54">
        <f t="shared" si="4"/>
        <v>923.84032449799247</v>
      </c>
      <c r="D123" s="30">
        <f t="shared" si="8"/>
        <v>3.0906322669736701</v>
      </c>
      <c r="E123" s="30">
        <f t="shared" si="9"/>
        <v>-0.6286578313257678</v>
      </c>
      <c r="F123" s="13">
        <f t="shared" si="10"/>
        <v>-0.20340751568653817</v>
      </c>
    </row>
    <row r="124" spans="1:6" x14ac:dyDescent="0.25">
      <c r="A124" s="37">
        <v>44218</v>
      </c>
      <c r="B124" s="50">
        <v>926.495</v>
      </c>
      <c r="C124" s="54">
        <f t="shared" si="4"/>
        <v>923.84032449799247</v>
      </c>
      <c r="D124" s="30">
        <f t="shared" si="8"/>
        <v>3.0906322669736701</v>
      </c>
      <c r="E124" s="30">
        <f t="shared" si="9"/>
        <v>2.6546755020075352</v>
      </c>
      <c r="F124" s="13">
        <f t="shared" si="10"/>
        <v>0.85894253107212226</v>
      </c>
    </row>
    <row r="125" spans="1:6" x14ac:dyDescent="0.25">
      <c r="A125" s="37">
        <v>44249</v>
      </c>
      <c r="B125" s="50">
        <v>927.28666666666652</v>
      </c>
      <c r="C125" s="54">
        <f t="shared" si="4"/>
        <v>923.84032449799247</v>
      </c>
      <c r="D125" s="30">
        <f t="shared" si="8"/>
        <v>3.0906322669736701</v>
      </c>
      <c r="E125" s="30">
        <f t="shared" si="9"/>
        <v>3.4463421686740503</v>
      </c>
      <c r="F125" s="13">
        <f t="shared" si="10"/>
        <v>1.1150929230570317</v>
      </c>
    </row>
    <row r="126" spans="1:6" x14ac:dyDescent="0.25">
      <c r="A126" s="37">
        <v>44277</v>
      </c>
      <c r="B126" s="50">
        <v>926.63333333333333</v>
      </c>
      <c r="C126" s="54">
        <f t="shared" si="4"/>
        <v>923.84032449799247</v>
      </c>
      <c r="D126" s="30">
        <f t="shared" si="8"/>
        <v>3.0906322669736701</v>
      </c>
      <c r="E126" s="30">
        <f t="shared" si="9"/>
        <v>2.7930088353408564</v>
      </c>
      <c r="F126" s="13">
        <f t="shared" si="10"/>
        <v>0.90370144167159527</v>
      </c>
    </row>
    <row r="127" spans="1:6" x14ac:dyDescent="0.25">
      <c r="A127" s="37">
        <v>44308</v>
      </c>
      <c r="B127" s="50">
        <v>925.72333333333336</v>
      </c>
      <c r="C127" s="54">
        <f t="shared" si="4"/>
        <v>923.84032449799247</v>
      </c>
      <c r="D127" s="30">
        <f t="shared" si="8"/>
        <v>3.0906322669736701</v>
      </c>
      <c r="E127" s="30">
        <f t="shared" si="9"/>
        <v>1.8830088353408883</v>
      </c>
      <c r="F127" s="13">
        <f t="shared" si="10"/>
        <v>0.60926330688468477</v>
      </c>
    </row>
    <row r="128" spans="1:6" x14ac:dyDescent="0.25">
      <c r="A128" s="37">
        <v>44338</v>
      </c>
      <c r="B128" s="50">
        <v>924.91833333333318</v>
      </c>
      <c r="C128" s="54">
        <f t="shared" si="4"/>
        <v>923.84032449799247</v>
      </c>
      <c r="D128" s="30">
        <f t="shared" si="8"/>
        <v>3.0906322669736701</v>
      </c>
      <c r="E128" s="30">
        <f t="shared" si="9"/>
        <v>1.0780088353407109</v>
      </c>
      <c r="F128" s="13">
        <f t="shared" si="10"/>
        <v>0.34879880303465904</v>
      </c>
    </row>
    <row r="129" spans="1:6" x14ac:dyDescent="0.25">
      <c r="A129" s="37">
        <v>44369</v>
      </c>
      <c r="B129" s="50">
        <v>924.6783333333334</v>
      </c>
      <c r="C129" s="54">
        <f t="shared" si="4"/>
        <v>923.84032449799247</v>
      </c>
      <c r="D129" s="30">
        <f t="shared" si="8"/>
        <v>3.0906322669736701</v>
      </c>
      <c r="E129" s="30">
        <f t="shared" si="9"/>
        <v>0.83800883534092918</v>
      </c>
      <c r="F129" s="13">
        <f t="shared" si="10"/>
        <v>0.27114478946455273</v>
      </c>
    </row>
    <row r="130" spans="1:6" x14ac:dyDescent="0.25">
      <c r="A130" s="37">
        <v>44399</v>
      </c>
      <c r="B130" s="50">
        <v>924.6149999999999</v>
      </c>
      <c r="C130" s="54">
        <f t="shared" si="4"/>
        <v>923.84032449799247</v>
      </c>
      <c r="D130" s="30">
        <f t="shared" si="8"/>
        <v>3.0906322669736701</v>
      </c>
      <c r="E130" s="30">
        <f t="shared" si="9"/>
        <v>0.77467550200742608</v>
      </c>
      <c r="F130" s="13">
        <f t="shared" si="10"/>
        <v>0.25065275810570115</v>
      </c>
    </row>
    <row r="131" spans="1:6" x14ac:dyDescent="0.25">
      <c r="A131" s="37">
        <v>44430</v>
      </c>
      <c r="B131" s="50">
        <v>924.47000000000014</v>
      </c>
      <c r="C131" s="54">
        <f t="shared" si="4"/>
        <v>923.84032449799247</v>
      </c>
      <c r="D131" s="30">
        <f t="shared" si="8"/>
        <v>3.0906322669736701</v>
      </c>
      <c r="E131" s="30">
        <f t="shared" si="9"/>
        <v>0.62967550200767164</v>
      </c>
      <c r="F131" s="13">
        <f t="shared" si="10"/>
        <v>0.2037367915737987</v>
      </c>
    </row>
    <row r="132" spans="1:6" x14ac:dyDescent="0.25">
      <c r="A132" s="37">
        <v>44461</v>
      </c>
      <c r="B132" s="50">
        <v>924.12333333333333</v>
      </c>
      <c r="C132" s="54">
        <f t="shared" si="4"/>
        <v>923.84032449799247</v>
      </c>
      <c r="D132" s="30">
        <f t="shared" si="8"/>
        <v>3.0906322669736701</v>
      </c>
      <c r="E132" s="30">
        <f t="shared" si="9"/>
        <v>0.28300883534086552</v>
      </c>
      <c r="F132" s="13">
        <f t="shared" si="10"/>
        <v>9.156988308349806E-2</v>
      </c>
    </row>
    <row r="133" spans="1:6" x14ac:dyDescent="0.25">
      <c r="A133" s="37">
        <v>44491</v>
      </c>
      <c r="B133" s="50">
        <v>923.9799999999999</v>
      </c>
      <c r="C133" s="54">
        <f t="shared" ref="C133:C174" si="11">AVERAGE($B$4:$B$173)</f>
        <v>923.84032449799247</v>
      </c>
      <c r="D133" s="30">
        <f t="shared" ref="D133:D174" si="12">_xlfn.STDEV.S($B$4:$B$173)</f>
        <v>3.0906322669736701</v>
      </c>
      <c r="E133" s="30">
        <f t="shared" ref="E133:E173" si="13">B133-C133</f>
        <v>0.13967550200743517</v>
      </c>
      <c r="F133" s="13">
        <f t="shared" ref="F133:F143" si="14">E133/D133</f>
        <v>4.5193180534611015E-2</v>
      </c>
    </row>
    <row r="134" spans="1:6" x14ac:dyDescent="0.25">
      <c r="A134" s="37">
        <v>44522</v>
      </c>
      <c r="B134" s="50">
        <v>923.23333333333323</v>
      </c>
      <c r="C134" s="54">
        <f t="shared" si="11"/>
        <v>923.84032449799247</v>
      </c>
      <c r="D134" s="30">
        <f t="shared" si="12"/>
        <v>3.0906322669736701</v>
      </c>
      <c r="E134" s="30">
        <f t="shared" si="13"/>
        <v>-0.60699116465923453</v>
      </c>
      <c r="F134" s="13">
        <f t="shared" si="14"/>
        <v>-0.19639708390594035</v>
      </c>
    </row>
    <row r="135" spans="1:6" x14ac:dyDescent="0.25">
      <c r="A135" s="37">
        <v>44552</v>
      </c>
      <c r="B135" s="50">
        <v>923.39333333333332</v>
      </c>
      <c r="C135" s="54">
        <f t="shared" si="11"/>
        <v>923.84032449799247</v>
      </c>
      <c r="D135" s="30">
        <f t="shared" si="12"/>
        <v>3.0906322669736701</v>
      </c>
      <c r="E135" s="30">
        <f t="shared" si="13"/>
        <v>-0.44699116465915267</v>
      </c>
      <c r="F135" s="13">
        <f t="shared" si="14"/>
        <v>-0.14462774152579594</v>
      </c>
    </row>
    <row r="136" spans="1:6" x14ac:dyDescent="0.25">
      <c r="A136" s="37">
        <v>44583</v>
      </c>
      <c r="B136" s="50">
        <v>926.08</v>
      </c>
      <c r="C136" s="54">
        <f t="shared" si="11"/>
        <v>923.84032449799247</v>
      </c>
      <c r="D136" s="30">
        <f t="shared" si="12"/>
        <v>3.0906322669736701</v>
      </c>
      <c r="E136" s="30">
        <f t="shared" si="13"/>
        <v>2.2396755020075716</v>
      </c>
      <c r="F136" s="13">
        <f t="shared" si="14"/>
        <v>0.72466579927370312</v>
      </c>
    </row>
    <row r="137" spans="1:6" x14ac:dyDescent="0.25">
      <c r="A137" s="37">
        <v>44614</v>
      </c>
      <c r="B137" s="50">
        <v>924.67833333333328</v>
      </c>
      <c r="C137" s="54">
        <f t="shared" si="11"/>
        <v>923.84032449799247</v>
      </c>
      <c r="D137" s="30">
        <f t="shared" si="12"/>
        <v>3.0906322669736701</v>
      </c>
      <c r="E137" s="30">
        <f t="shared" si="13"/>
        <v>0.83800883534081549</v>
      </c>
      <c r="F137" s="13">
        <f t="shared" si="14"/>
        <v>0.27114478946451598</v>
      </c>
    </row>
    <row r="138" spans="1:6" x14ac:dyDescent="0.25">
      <c r="A138" s="37">
        <v>44642</v>
      </c>
      <c r="B138" s="50">
        <v>924.25833333333321</v>
      </c>
      <c r="C138" s="54">
        <f t="shared" si="11"/>
        <v>923.84032449799247</v>
      </c>
      <c r="D138" s="30">
        <f t="shared" si="12"/>
        <v>3.0906322669736701</v>
      </c>
      <c r="E138" s="30">
        <f t="shared" si="13"/>
        <v>0.41800883534074273</v>
      </c>
      <c r="F138" s="13">
        <f t="shared" si="14"/>
        <v>0.13525026571668283</v>
      </c>
    </row>
    <row r="139" spans="1:6" x14ac:dyDescent="0.25">
      <c r="A139" s="37">
        <v>44673</v>
      </c>
      <c r="B139" s="50">
        <v>924.23166666666657</v>
      </c>
      <c r="C139" s="54">
        <f t="shared" si="11"/>
        <v>923.84032449799247</v>
      </c>
      <c r="D139" s="30">
        <f t="shared" si="12"/>
        <v>3.0906322669736701</v>
      </c>
      <c r="E139" s="30">
        <f t="shared" si="13"/>
        <v>0.39134216867410032</v>
      </c>
      <c r="F139" s="13">
        <f t="shared" si="14"/>
        <v>0.12662204198667104</v>
      </c>
    </row>
    <row r="140" spans="1:6" x14ac:dyDescent="0.25">
      <c r="A140" s="37">
        <v>44703</v>
      </c>
      <c r="B140" s="50">
        <v>924.27666666666664</v>
      </c>
      <c r="C140" s="54">
        <f t="shared" si="11"/>
        <v>923.84032449799247</v>
      </c>
      <c r="D140" s="30">
        <f t="shared" si="12"/>
        <v>3.0906322669736701</v>
      </c>
      <c r="E140" s="30">
        <f t="shared" si="13"/>
        <v>0.43634216867417308</v>
      </c>
      <c r="F140" s="13">
        <f t="shared" si="14"/>
        <v>0.14118216953110274</v>
      </c>
    </row>
    <row r="141" spans="1:6" x14ac:dyDescent="0.25">
      <c r="A141" s="37">
        <v>44734</v>
      </c>
      <c r="B141" s="50">
        <v>924.23</v>
      </c>
      <c r="C141" s="54">
        <f t="shared" si="11"/>
        <v>923.84032449799247</v>
      </c>
      <c r="D141" s="30">
        <f t="shared" si="12"/>
        <v>3.0906322669736701</v>
      </c>
      <c r="E141" s="30">
        <f t="shared" si="13"/>
        <v>0.38967550200754886</v>
      </c>
      <c r="F141" s="13">
        <f t="shared" si="14"/>
        <v>0.12608277800358209</v>
      </c>
    </row>
    <row r="142" spans="1:6" x14ac:dyDescent="0.25">
      <c r="A142" s="37">
        <v>44764</v>
      </c>
      <c r="B142" s="50">
        <v>924.01499999999999</v>
      </c>
      <c r="C142" s="54">
        <f t="shared" si="11"/>
        <v>923.84032449799247</v>
      </c>
      <c r="D142" s="30">
        <f t="shared" si="12"/>
        <v>3.0906322669736701</v>
      </c>
      <c r="E142" s="30">
        <f t="shared" si="13"/>
        <v>0.17467550200751703</v>
      </c>
      <c r="F142" s="13">
        <f t="shared" si="14"/>
        <v>5.6517724180288297E-2</v>
      </c>
    </row>
    <row r="143" spans="1:6" x14ac:dyDescent="0.25">
      <c r="A143" s="37">
        <v>44795</v>
      </c>
      <c r="B143" s="50">
        <v>923.78166666666664</v>
      </c>
      <c r="C143" s="54">
        <f t="shared" si="11"/>
        <v>923.84032449799247</v>
      </c>
      <c r="D143" s="30">
        <f t="shared" si="12"/>
        <v>3.0906322669736701</v>
      </c>
      <c r="E143" s="30">
        <f t="shared" si="13"/>
        <v>-5.8657831325831467E-2</v>
      </c>
      <c r="F143" s="13">
        <f t="shared" si="14"/>
        <v>-1.8979233457388604E-2</v>
      </c>
    </row>
    <row r="144" spans="1:6" x14ac:dyDescent="0.25">
      <c r="A144" s="37">
        <v>44826</v>
      </c>
      <c r="B144" s="50">
        <v>923.70333333333326</v>
      </c>
      <c r="C144" s="54">
        <f t="shared" si="11"/>
        <v>923.84032449799247</v>
      </c>
      <c r="D144" s="30">
        <f t="shared" si="12"/>
        <v>3.0906322669736701</v>
      </c>
      <c r="E144" s="30">
        <f t="shared" si="13"/>
        <v>-0.13699116465920724</v>
      </c>
      <c r="F144" s="13">
        <f>E144/D144</f>
        <v>-4.4324640664335078E-2</v>
      </c>
    </row>
    <row r="145" spans="1:6" x14ac:dyDescent="0.25">
      <c r="A145" s="37">
        <v>44856</v>
      </c>
      <c r="B145" s="50">
        <v>923.48499999999979</v>
      </c>
      <c r="C145" s="54">
        <f t="shared" si="11"/>
        <v>923.84032449799247</v>
      </c>
      <c r="D145" s="30">
        <f t="shared" si="12"/>
        <v>3.0906322669736701</v>
      </c>
      <c r="E145" s="30">
        <f t="shared" si="13"/>
        <v>-0.35532449799268306</v>
      </c>
      <c r="F145" s="13">
        <f t="shared" ref="F145:F173" si="15">E145/D145</f>
        <v>-0.11496822245391712</v>
      </c>
    </row>
    <row r="146" spans="1:6" x14ac:dyDescent="0.25">
      <c r="A146" s="37">
        <v>44887</v>
      </c>
      <c r="B146" s="50">
        <v>923.36833333333323</v>
      </c>
      <c r="C146" s="54">
        <f t="shared" si="11"/>
        <v>923.84032449799247</v>
      </c>
      <c r="D146" s="30">
        <f t="shared" si="12"/>
        <v>3.0906322669736701</v>
      </c>
      <c r="E146" s="30">
        <f t="shared" si="13"/>
        <v>-0.47199116465924362</v>
      </c>
      <c r="F146" s="13">
        <f t="shared" si="15"/>
        <v>-0.15271670127271877</v>
      </c>
    </row>
    <row r="147" spans="1:6" x14ac:dyDescent="0.25">
      <c r="A147" s="37">
        <v>44917</v>
      </c>
      <c r="B147" s="50">
        <v>924.70833333333314</v>
      </c>
      <c r="C147" s="54">
        <f t="shared" si="11"/>
        <v>923.84032449799247</v>
      </c>
      <c r="D147" s="30">
        <f t="shared" si="12"/>
        <v>3.0906322669736701</v>
      </c>
      <c r="E147" s="30">
        <f t="shared" si="13"/>
        <v>0.86800883534067452</v>
      </c>
      <c r="F147" s="13">
        <f t="shared" si="15"/>
        <v>0.28085154116074246</v>
      </c>
    </row>
    <row r="148" spans="1:6" x14ac:dyDescent="0.25">
      <c r="A148" s="37">
        <v>44948</v>
      </c>
      <c r="B148" s="50">
        <v>926.21</v>
      </c>
      <c r="C148" s="54">
        <f t="shared" si="11"/>
        <v>923.84032449799247</v>
      </c>
      <c r="D148" s="30">
        <f t="shared" si="12"/>
        <v>3.0906322669736701</v>
      </c>
      <c r="E148" s="30">
        <f t="shared" si="13"/>
        <v>2.369675502007567</v>
      </c>
      <c r="F148" s="13">
        <f t="shared" si="15"/>
        <v>0.76672838995754744</v>
      </c>
    </row>
    <row r="149" spans="1:6" x14ac:dyDescent="0.25">
      <c r="A149" s="37">
        <v>44979</v>
      </c>
      <c r="B149" s="50">
        <v>925.69333333333327</v>
      </c>
      <c r="C149" s="54">
        <f t="shared" si="11"/>
        <v>923.84032449799247</v>
      </c>
      <c r="D149" s="30">
        <f t="shared" si="12"/>
        <v>3.0906322669736701</v>
      </c>
      <c r="E149" s="30">
        <f t="shared" si="13"/>
        <v>1.8530088353408019</v>
      </c>
      <c r="F149" s="13">
        <f t="shared" si="15"/>
        <v>0.59955655518838469</v>
      </c>
    </row>
    <row r="150" spans="1:6" x14ac:dyDescent="0.25">
      <c r="A150" s="37">
        <v>45007</v>
      </c>
      <c r="B150" s="50">
        <v>926.64166666666654</v>
      </c>
      <c r="C150" s="54">
        <f t="shared" si="11"/>
        <v>923.84032449799247</v>
      </c>
      <c r="D150" s="30">
        <f t="shared" si="12"/>
        <v>3.0906322669736701</v>
      </c>
      <c r="E150" s="30">
        <f t="shared" si="13"/>
        <v>2.8013421686740685</v>
      </c>
      <c r="F150" s="13">
        <f t="shared" si="15"/>
        <v>0.90639776158718721</v>
      </c>
    </row>
    <row r="151" spans="1:6" x14ac:dyDescent="0.25">
      <c r="A151" s="37">
        <v>45038</v>
      </c>
      <c r="B151" s="50">
        <v>925.42</v>
      </c>
      <c r="C151" s="54">
        <f t="shared" si="11"/>
        <v>923.84032449799247</v>
      </c>
      <c r="D151" s="30">
        <f t="shared" si="12"/>
        <v>3.0906322669736701</v>
      </c>
      <c r="E151" s="30">
        <f t="shared" si="13"/>
        <v>1.5796755020074897</v>
      </c>
      <c r="F151" s="13">
        <f t="shared" si="15"/>
        <v>0.51111726195569007</v>
      </c>
    </row>
    <row r="152" spans="1:6" x14ac:dyDescent="0.25">
      <c r="A152" s="37">
        <v>45068</v>
      </c>
      <c r="B152" s="50">
        <v>924.50999999999988</v>
      </c>
      <c r="C152" s="54">
        <f t="shared" si="11"/>
        <v>923.84032449799247</v>
      </c>
      <c r="D152" s="30">
        <f t="shared" si="12"/>
        <v>3.0906322669736701</v>
      </c>
      <c r="E152" s="30">
        <f t="shared" si="13"/>
        <v>0.66967550200740789</v>
      </c>
      <c r="F152" s="13">
        <f t="shared" si="15"/>
        <v>0.21667912716874285</v>
      </c>
    </row>
    <row r="153" spans="1:6" x14ac:dyDescent="0.25">
      <c r="A153" s="37">
        <v>45099</v>
      </c>
      <c r="B153" s="50">
        <v>924.42333333333318</v>
      </c>
      <c r="C153" s="54">
        <f t="shared" si="11"/>
        <v>923.84032449799247</v>
      </c>
      <c r="D153" s="30">
        <f t="shared" si="12"/>
        <v>3.0906322669736701</v>
      </c>
      <c r="E153" s="30">
        <f t="shared" si="13"/>
        <v>0.58300883534070636</v>
      </c>
      <c r="F153" s="13">
        <f t="shared" si="15"/>
        <v>0.18863740004616769</v>
      </c>
    </row>
    <row r="154" spans="1:6" x14ac:dyDescent="0.25">
      <c r="A154" s="37">
        <v>45129</v>
      </c>
      <c r="B154" s="50">
        <v>923.8066666666665</v>
      </c>
      <c r="C154" s="54">
        <f t="shared" si="11"/>
        <v>923.84032449799247</v>
      </c>
      <c r="D154" s="30">
        <f t="shared" si="12"/>
        <v>3.0906322669736701</v>
      </c>
      <c r="E154" s="30">
        <f t="shared" si="13"/>
        <v>-3.3657831325967891E-2</v>
      </c>
      <c r="F154" s="13">
        <f t="shared" si="15"/>
        <v>-1.0890273710539317E-2</v>
      </c>
    </row>
    <row r="155" spans="1:6" x14ac:dyDescent="0.25">
      <c r="A155" s="37">
        <v>45160</v>
      </c>
      <c r="B155" s="50">
        <v>923.68833333333339</v>
      </c>
      <c r="C155" s="54">
        <f t="shared" si="11"/>
        <v>923.84032449799247</v>
      </c>
      <c r="D155" s="30">
        <f t="shared" si="12"/>
        <v>3.0906322669736701</v>
      </c>
      <c r="E155" s="30">
        <f t="shared" si="13"/>
        <v>-0.15199116465907991</v>
      </c>
      <c r="F155" s="13">
        <f t="shared" si="15"/>
        <v>-4.9178016512429937E-2</v>
      </c>
    </row>
    <row r="156" spans="1:6" x14ac:dyDescent="0.25">
      <c r="A156" s="37">
        <v>45191</v>
      </c>
      <c r="B156" s="50">
        <v>923.60500000000002</v>
      </c>
      <c r="C156" s="54">
        <f t="shared" si="11"/>
        <v>923.84032449799247</v>
      </c>
      <c r="D156" s="30">
        <f t="shared" si="12"/>
        <v>3.0906322669736701</v>
      </c>
      <c r="E156" s="30">
        <f t="shared" si="13"/>
        <v>-0.23532449799245114</v>
      </c>
      <c r="F156" s="13">
        <f t="shared" si="15"/>
        <v>-7.614121566875362E-2</v>
      </c>
    </row>
    <row r="157" spans="1:6" x14ac:dyDescent="0.25">
      <c r="A157" s="37">
        <v>45221</v>
      </c>
      <c r="B157" s="50">
        <v>923.54499999999996</v>
      </c>
      <c r="C157" s="54">
        <f t="shared" si="11"/>
        <v>923.84032449799247</v>
      </c>
      <c r="D157" s="30">
        <f t="shared" si="12"/>
        <v>3.0906322669736701</v>
      </c>
      <c r="E157" s="30">
        <f t="shared" si="13"/>
        <v>-0.29532449799251026</v>
      </c>
      <c r="F157" s="13">
        <f t="shared" si="15"/>
        <v>-9.5554719061316976E-2</v>
      </c>
    </row>
    <row r="158" spans="1:6" x14ac:dyDescent="0.25">
      <c r="A158" s="37">
        <v>45252</v>
      </c>
      <c r="B158" s="50">
        <v>923.76499999999999</v>
      </c>
      <c r="C158" s="54">
        <f t="shared" si="11"/>
        <v>923.84032449799247</v>
      </c>
      <c r="D158" s="30">
        <f t="shared" si="12"/>
        <v>3.0906322669736701</v>
      </c>
      <c r="E158" s="30">
        <f t="shared" si="13"/>
        <v>-7.5324497992482975E-2</v>
      </c>
      <c r="F158" s="13">
        <f t="shared" si="15"/>
        <v>-2.4371873288645984E-2</v>
      </c>
    </row>
    <row r="159" spans="1:6" x14ac:dyDescent="0.25">
      <c r="A159" s="37">
        <v>45282</v>
      </c>
      <c r="B159" s="50">
        <v>923.68499999999995</v>
      </c>
      <c r="C159" s="54">
        <f t="shared" si="11"/>
        <v>923.84032449799247</v>
      </c>
      <c r="D159" s="30">
        <f t="shared" si="12"/>
        <v>3.0906322669736701</v>
      </c>
      <c r="E159" s="30">
        <f t="shared" si="13"/>
        <v>-0.1553244979925239</v>
      </c>
      <c r="F159" s="13">
        <f t="shared" si="15"/>
        <v>-5.0256544478718197E-2</v>
      </c>
    </row>
    <row r="160" spans="1:6" x14ac:dyDescent="0.25">
      <c r="A160" s="37">
        <v>45313</v>
      </c>
      <c r="B160" s="50">
        <v>924.59</v>
      </c>
      <c r="C160" s="54">
        <f t="shared" si="11"/>
        <v>923.84032449799247</v>
      </c>
      <c r="D160" s="30">
        <f t="shared" si="12"/>
        <v>3.0906322669736701</v>
      </c>
      <c r="E160" s="30">
        <f t="shared" si="13"/>
        <v>0.7496755020075625</v>
      </c>
      <c r="F160" s="13">
        <f t="shared" si="15"/>
        <v>0.24256379835885186</v>
      </c>
    </row>
    <row r="161" spans="1:6" x14ac:dyDescent="0.25">
      <c r="A161" s="37">
        <v>45344</v>
      </c>
      <c r="B161" s="50">
        <v>924.23</v>
      </c>
      <c r="C161" s="54">
        <f t="shared" si="11"/>
        <v>923.84032449799247</v>
      </c>
      <c r="D161" s="30">
        <f t="shared" si="12"/>
        <v>3.0906322669736701</v>
      </c>
      <c r="E161" s="30">
        <f t="shared" si="13"/>
        <v>0.38967550200754886</v>
      </c>
      <c r="F161" s="13">
        <f t="shared" si="15"/>
        <v>0.12608277800358209</v>
      </c>
    </row>
    <row r="162" spans="1:6" x14ac:dyDescent="0.25">
      <c r="A162" s="37">
        <v>45373</v>
      </c>
      <c r="B162" s="50">
        <v>924.65</v>
      </c>
      <c r="C162" s="54">
        <f t="shared" si="11"/>
        <v>923.84032449799247</v>
      </c>
      <c r="D162" s="30">
        <f t="shared" si="12"/>
        <v>3.0906322669736701</v>
      </c>
      <c r="E162" s="30">
        <f t="shared" si="13"/>
        <v>0.80967550200750793</v>
      </c>
      <c r="F162" s="13">
        <f t="shared" si="15"/>
        <v>0.2619773017513784</v>
      </c>
    </row>
    <row r="163" spans="1:6" x14ac:dyDescent="0.25">
      <c r="A163" s="37">
        <v>45404</v>
      </c>
      <c r="B163" s="50">
        <v>924.31</v>
      </c>
      <c r="C163" s="54">
        <f t="shared" si="11"/>
        <v>923.84032449799247</v>
      </c>
      <c r="D163" s="30">
        <f t="shared" si="12"/>
        <v>3.0906322669736701</v>
      </c>
      <c r="E163" s="30">
        <f t="shared" si="13"/>
        <v>0.4696755020074761</v>
      </c>
      <c r="F163" s="13">
        <f t="shared" si="15"/>
        <v>0.15196744919361752</v>
      </c>
    </row>
    <row r="164" spans="1:6" x14ac:dyDescent="0.25">
      <c r="A164" s="37">
        <v>45434</v>
      </c>
      <c r="B164" s="50">
        <v>923.69500000000005</v>
      </c>
      <c r="C164" s="54">
        <f t="shared" si="11"/>
        <v>923.84032449799247</v>
      </c>
      <c r="D164" s="30">
        <f t="shared" si="12"/>
        <v>3.0906322669736701</v>
      </c>
      <c r="E164" s="30">
        <f t="shared" si="13"/>
        <v>-0.14532449799241931</v>
      </c>
      <c r="F164" s="13">
        <f t="shared" si="15"/>
        <v>-4.7020960579926982E-2</v>
      </c>
    </row>
    <row r="165" spans="1:6" x14ac:dyDescent="0.25">
      <c r="A165" s="37">
        <v>45465</v>
      </c>
      <c r="B165" s="15">
        <v>923.50500000000011</v>
      </c>
      <c r="C165" s="54">
        <f t="shared" si="11"/>
        <v>923.84032449799247</v>
      </c>
      <c r="D165" s="30">
        <f t="shared" si="12"/>
        <v>3.0906322669736701</v>
      </c>
      <c r="E165" s="30">
        <f t="shared" si="13"/>
        <v>-0.33532449799236019</v>
      </c>
      <c r="F165" s="13">
        <f t="shared" si="15"/>
        <v>-0.10849705465629791</v>
      </c>
    </row>
    <row r="166" spans="1:6" x14ac:dyDescent="0.25">
      <c r="A166" s="37">
        <v>45495</v>
      </c>
      <c r="B166" s="15">
        <v>923.40333333333331</v>
      </c>
      <c r="C166" s="54">
        <f t="shared" si="11"/>
        <v>923.84032449799247</v>
      </c>
      <c r="D166" s="30">
        <f t="shared" si="12"/>
        <v>3.0906322669736701</v>
      </c>
      <c r="E166" s="30">
        <f t="shared" si="13"/>
        <v>-0.43699116465916177</v>
      </c>
      <c r="F166" s="13">
        <f t="shared" si="15"/>
        <v>-0.14139215762704149</v>
      </c>
    </row>
    <row r="167" spans="1:6" x14ac:dyDescent="0.25">
      <c r="A167" s="37">
        <v>45526</v>
      </c>
      <c r="B167" s="15">
        <v>923.26833333333332</v>
      </c>
      <c r="C167" s="54">
        <f t="shared" si="11"/>
        <v>923.84032449799247</v>
      </c>
      <c r="D167" s="30">
        <f t="shared" si="12"/>
        <v>3.0906322669736701</v>
      </c>
      <c r="E167" s="30">
        <f t="shared" si="13"/>
        <v>-0.57199116465915267</v>
      </c>
      <c r="F167" s="13">
        <f t="shared" si="15"/>
        <v>-0.18507254026026307</v>
      </c>
    </row>
    <row r="168" spans="1:6" x14ac:dyDescent="0.25">
      <c r="A168" s="37">
        <v>45557</v>
      </c>
      <c r="B168" s="15">
        <v>923.06166666666661</v>
      </c>
      <c r="C168" s="54">
        <f t="shared" si="11"/>
        <v>923.84032449799247</v>
      </c>
      <c r="D168" s="30">
        <f t="shared" si="12"/>
        <v>3.0906322669736701</v>
      </c>
      <c r="E168" s="30">
        <f t="shared" si="13"/>
        <v>-0.77865783132585875</v>
      </c>
      <c r="F168" s="13">
        <f t="shared" si="15"/>
        <v>-0.25194127416792816</v>
      </c>
    </row>
    <row r="169" spans="1:6" x14ac:dyDescent="0.25">
      <c r="A169" s="37">
        <v>45587</v>
      </c>
      <c r="B169" s="15">
        <v>923.1049999999999</v>
      </c>
      <c r="C169" s="54">
        <f t="shared" si="11"/>
        <v>923.84032449799247</v>
      </c>
      <c r="D169" s="30">
        <f t="shared" si="12"/>
        <v>3.0906322669736701</v>
      </c>
      <c r="E169" s="30">
        <f t="shared" si="13"/>
        <v>-0.73532449799256483</v>
      </c>
      <c r="F169" s="13">
        <f t="shared" si="15"/>
        <v>-0.23792041060665897</v>
      </c>
    </row>
    <row r="170" spans="1:6" x14ac:dyDescent="0.25">
      <c r="A170" s="37">
        <v>45618</v>
      </c>
      <c r="B170" s="15">
        <v>923.01666666666654</v>
      </c>
      <c r="C170" s="54">
        <f t="shared" si="11"/>
        <v>923.84032449799247</v>
      </c>
      <c r="D170" s="30">
        <f t="shared" si="12"/>
        <v>3.0906322669736701</v>
      </c>
      <c r="E170" s="30">
        <f t="shared" si="13"/>
        <v>-0.82365783132593151</v>
      </c>
      <c r="F170" s="13">
        <f t="shared" si="15"/>
        <v>-0.26650140171235986</v>
      </c>
    </row>
    <row r="171" spans="1:6" x14ac:dyDescent="0.25">
      <c r="A171" s="37">
        <v>45648</v>
      </c>
      <c r="B171" s="15">
        <v>922.90166666666664</v>
      </c>
      <c r="C171" s="54">
        <f t="shared" si="11"/>
        <v>923.84032449799247</v>
      </c>
      <c r="D171" s="30">
        <f t="shared" si="12"/>
        <v>3.0906322669736701</v>
      </c>
      <c r="E171" s="30">
        <f t="shared" si="13"/>
        <v>-0.93865783132582692</v>
      </c>
      <c r="F171" s="13">
        <f t="shared" si="15"/>
        <v>-0.30371061654803577</v>
      </c>
    </row>
    <row r="172" spans="1:6" x14ac:dyDescent="0.25">
      <c r="A172" s="37">
        <v>45679</v>
      </c>
      <c r="B172" s="15">
        <v>924.51583333333326</v>
      </c>
      <c r="C172" s="54">
        <f t="shared" si="11"/>
        <v>923.84032449799247</v>
      </c>
      <c r="D172" s="30">
        <f t="shared" si="12"/>
        <v>3.0906322669736701</v>
      </c>
      <c r="E172" s="30">
        <f t="shared" si="13"/>
        <v>0.67550883534079276</v>
      </c>
      <c r="F172" s="13">
        <f t="shared" si="15"/>
        <v>0.21856655110970133</v>
      </c>
    </row>
    <row r="173" spans="1:6" x14ac:dyDescent="0.25">
      <c r="A173" s="37">
        <v>45710</v>
      </c>
      <c r="B173" s="15">
        <v>925.66</v>
      </c>
      <c r="C173" s="54">
        <f t="shared" si="11"/>
        <v>923.84032449799247</v>
      </c>
      <c r="D173" s="30">
        <f t="shared" si="12"/>
        <v>3.0906322669736701</v>
      </c>
      <c r="E173" s="30">
        <f t="shared" si="13"/>
        <v>1.8196755020074988</v>
      </c>
      <c r="F173" s="13">
        <f t="shared" si="15"/>
        <v>0.58877127552586994</v>
      </c>
    </row>
    <row r="174" spans="1:6" x14ac:dyDescent="0.25">
      <c r="A174" s="37">
        <v>45738</v>
      </c>
      <c r="B174" s="4">
        <v>925.34833333333336</v>
      </c>
      <c r="C174" s="54">
        <f t="shared" si="11"/>
        <v>923.84032449799247</v>
      </c>
      <c r="D174" s="30">
        <f t="shared" si="12"/>
        <v>3.0906322669736701</v>
      </c>
      <c r="E174" s="30">
        <f t="shared" ref="E174" si="16">B174-C174</f>
        <v>1.5080088353408883</v>
      </c>
      <c r="F174" s="13">
        <f t="shared" ref="F174" si="17">E174/D174</f>
        <v>0.48792891068128336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74ED-6303-4C7D-90ED-A20FA9621720}">
  <dimension ref="A1:F173"/>
  <sheetViews>
    <sheetView zoomScale="85" zoomScaleNormal="85" workbookViewId="0">
      <selection activeCell="G1" sqref="G1:G1048576"/>
    </sheetView>
  </sheetViews>
  <sheetFormatPr defaultRowHeight="15" x14ac:dyDescent="0.25"/>
  <cols>
    <col min="1" max="1" width="15.5703125" style="39" customWidth="1"/>
    <col min="2" max="2" width="19.5703125" style="1" customWidth="1"/>
    <col min="3" max="3" width="22.85546875" style="1" customWidth="1"/>
    <col min="4" max="4" width="16" style="1" customWidth="1"/>
    <col min="5" max="5" width="13.7109375" style="1" customWidth="1"/>
    <col min="6" max="6" width="21.5703125" style="11" bestFit="1" customWidth="1"/>
    <col min="7" max="7" width="21.5703125" bestFit="1" customWidth="1"/>
  </cols>
  <sheetData>
    <row r="1" spans="1:6" ht="20.25" customHeight="1" x14ac:dyDescent="0.25">
      <c r="A1" s="78" t="s">
        <v>14</v>
      </c>
      <c r="B1" s="79"/>
      <c r="C1" s="79"/>
      <c r="D1" s="79"/>
      <c r="E1" s="79"/>
      <c r="F1" s="79"/>
    </row>
    <row r="2" spans="1:6" x14ac:dyDescent="0.25">
      <c r="A2" s="73" t="s">
        <v>10</v>
      </c>
      <c r="B2" s="74"/>
      <c r="C2" s="74"/>
      <c r="D2" s="74"/>
      <c r="E2" s="74"/>
      <c r="F2" s="77"/>
    </row>
    <row r="3" spans="1:6" x14ac:dyDescent="0.25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25">
      <c r="A4" s="37">
        <v>40565</v>
      </c>
      <c r="B4" s="17">
        <v>232.05000000000004</v>
      </c>
      <c r="C4" s="54">
        <f>AVERAGE($B$4:$B$173)</f>
        <v>231.36542215568863</v>
      </c>
      <c r="D4" s="54">
        <f>_xlfn.STDEV.S($B$4:$B$173)</f>
        <v>1.1814497745881174</v>
      </c>
      <c r="E4" s="54">
        <f>B4-C4</f>
        <v>0.68457784431140567</v>
      </c>
      <c r="F4" s="54">
        <f>E4/D4</f>
        <v>0.5794388039475199</v>
      </c>
    </row>
    <row r="5" spans="1:6" x14ac:dyDescent="0.25">
      <c r="A5" s="37">
        <v>40596</v>
      </c>
      <c r="B5" s="17">
        <v>231.53333333333333</v>
      </c>
      <c r="C5" s="54">
        <f t="shared" ref="C5:C68" si="0">AVERAGE($B$4:$B$173)</f>
        <v>231.36542215568863</v>
      </c>
      <c r="D5" s="54">
        <f t="shared" ref="D5:D68" si="1">_xlfn.STDEV.S($B$4:$B$173)</f>
        <v>1.1814497745881174</v>
      </c>
      <c r="E5" s="54">
        <f t="shared" ref="E5:E68" si="2">B5-C5</f>
        <v>0.16791117764469732</v>
      </c>
      <c r="F5" s="54">
        <f t="shared" ref="F5:F68" si="3">E5/D5</f>
        <v>0.14212299266232906</v>
      </c>
    </row>
    <row r="6" spans="1:6" x14ac:dyDescent="0.25">
      <c r="A6" s="37">
        <v>40624</v>
      </c>
      <c r="B6" s="17">
        <v>231.50333333333333</v>
      </c>
      <c r="C6" s="54">
        <f t="shared" si="0"/>
        <v>231.36542215568863</v>
      </c>
      <c r="D6" s="54">
        <f t="shared" si="1"/>
        <v>1.1814497745881174</v>
      </c>
      <c r="E6" s="54">
        <f t="shared" si="2"/>
        <v>0.13791117764469618</v>
      </c>
      <c r="F6" s="54">
        <f t="shared" si="3"/>
        <v>0.11673046168448034</v>
      </c>
    </row>
    <row r="7" spans="1:6" x14ac:dyDescent="0.25">
      <c r="A7" s="37">
        <v>40655</v>
      </c>
      <c r="B7" s="17">
        <v>231.47333333333336</v>
      </c>
      <c r="C7" s="54">
        <f t="shared" si="0"/>
        <v>231.36542215568863</v>
      </c>
      <c r="D7" s="54">
        <f t="shared" si="1"/>
        <v>1.1814497745881174</v>
      </c>
      <c r="E7" s="54">
        <f t="shared" si="2"/>
        <v>0.10791117764472347</v>
      </c>
      <c r="F7" s="54">
        <f t="shared" si="3"/>
        <v>9.1337930706655704E-2</v>
      </c>
    </row>
    <row r="8" spans="1:6" x14ac:dyDescent="0.25">
      <c r="A8" s="37">
        <v>40685</v>
      </c>
      <c r="B8" s="17">
        <v>231.15</v>
      </c>
      <c r="C8" s="54">
        <f t="shared" si="0"/>
        <v>231.36542215568863</v>
      </c>
      <c r="D8" s="54">
        <f t="shared" si="1"/>
        <v>1.1814497745881174</v>
      </c>
      <c r="E8" s="54">
        <f t="shared" si="2"/>
        <v>-0.21542215568862844</v>
      </c>
      <c r="F8" s="54">
        <f t="shared" si="3"/>
        <v>-0.1823371253879412</v>
      </c>
    </row>
    <row r="9" spans="1:6" x14ac:dyDescent="0.25">
      <c r="A9" s="37">
        <v>40716</v>
      </c>
      <c r="B9" s="17">
        <v>231.03</v>
      </c>
      <c r="C9" s="54">
        <f t="shared" si="0"/>
        <v>231.36542215568863</v>
      </c>
      <c r="D9" s="54">
        <f t="shared" si="1"/>
        <v>1.1814497745881174</v>
      </c>
      <c r="E9" s="54">
        <f t="shared" si="2"/>
        <v>-0.33542215568863298</v>
      </c>
      <c r="F9" s="54">
        <f t="shared" si="3"/>
        <v>-0.28390724929933603</v>
      </c>
    </row>
    <row r="10" spans="1:6" x14ac:dyDescent="0.25">
      <c r="A10" s="37">
        <v>40746</v>
      </c>
      <c r="B10" s="17">
        <v>230.96666666666667</v>
      </c>
      <c r="C10" s="54">
        <f t="shared" si="0"/>
        <v>231.36542215568863</v>
      </c>
      <c r="D10" s="54">
        <f t="shared" si="1"/>
        <v>1.1814497745881174</v>
      </c>
      <c r="E10" s="54">
        <f t="shared" si="2"/>
        <v>-0.39875548902196556</v>
      </c>
      <c r="F10" s="54">
        <f t="shared" si="3"/>
        <v>-0.33751370358590282</v>
      </c>
    </row>
    <row r="11" spans="1:6" x14ac:dyDescent="0.25">
      <c r="A11" s="37">
        <v>40777</v>
      </c>
      <c r="B11" s="17">
        <v>230.71666666666667</v>
      </c>
      <c r="C11" s="54">
        <f t="shared" si="0"/>
        <v>231.36542215568863</v>
      </c>
      <c r="D11" s="54">
        <f t="shared" si="1"/>
        <v>1.1814497745881174</v>
      </c>
      <c r="E11" s="54">
        <f t="shared" si="2"/>
        <v>-0.64875548902196556</v>
      </c>
      <c r="F11" s="54">
        <f t="shared" si="3"/>
        <v>-0.5491181284013007</v>
      </c>
    </row>
    <row r="12" spans="1:6" x14ac:dyDescent="0.25">
      <c r="A12" s="37">
        <v>40808</v>
      </c>
      <c r="B12" s="17">
        <v>230.67333333333332</v>
      </c>
      <c r="C12" s="54">
        <f t="shared" si="0"/>
        <v>231.36542215568863</v>
      </c>
      <c r="D12" s="54">
        <f t="shared" si="1"/>
        <v>1.1814497745881174</v>
      </c>
      <c r="E12" s="54">
        <f t="shared" si="2"/>
        <v>-0.69208882235531632</v>
      </c>
      <c r="F12" s="54">
        <f t="shared" si="3"/>
        <v>-0.58579622870265102</v>
      </c>
    </row>
    <row r="13" spans="1:6" x14ac:dyDescent="0.25">
      <c r="A13" s="37">
        <v>40869</v>
      </c>
      <c r="B13" s="17">
        <v>230.38</v>
      </c>
      <c r="C13" s="54">
        <f t="shared" si="0"/>
        <v>231.36542215568863</v>
      </c>
      <c r="D13" s="54">
        <f t="shared" si="1"/>
        <v>1.1814497745881174</v>
      </c>
      <c r="E13" s="54">
        <f t="shared" si="2"/>
        <v>-0.98542215568863867</v>
      </c>
      <c r="F13" s="54">
        <f t="shared" si="3"/>
        <v>-0.83407875381937513</v>
      </c>
    </row>
    <row r="14" spans="1:6" x14ac:dyDescent="0.25">
      <c r="A14" s="37">
        <v>40899</v>
      </c>
      <c r="B14" s="17">
        <v>232.07600000000002</v>
      </c>
      <c r="C14" s="54">
        <f t="shared" si="0"/>
        <v>231.36542215568863</v>
      </c>
      <c r="D14" s="54">
        <f t="shared" si="1"/>
        <v>1.1814497745881174</v>
      </c>
      <c r="E14" s="54">
        <f t="shared" si="2"/>
        <v>0.71057784431138771</v>
      </c>
      <c r="F14" s="54">
        <f t="shared" si="3"/>
        <v>0.60144566412830602</v>
      </c>
    </row>
    <row r="15" spans="1:6" x14ac:dyDescent="0.25">
      <c r="A15" s="37">
        <v>40930</v>
      </c>
      <c r="B15" s="17">
        <v>232.07333333333335</v>
      </c>
      <c r="C15" s="54">
        <f t="shared" si="0"/>
        <v>231.36542215568863</v>
      </c>
      <c r="D15" s="54">
        <f t="shared" si="1"/>
        <v>1.1814497745881174</v>
      </c>
      <c r="E15" s="54">
        <f t="shared" si="2"/>
        <v>0.70791117764471778</v>
      </c>
      <c r="F15" s="54">
        <f t="shared" si="3"/>
        <v>0.59918855026360573</v>
      </c>
    </row>
    <row r="16" spans="1:6" x14ac:dyDescent="0.25">
      <c r="A16" s="37">
        <v>40961</v>
      </c>
      <c r="B16" s="17">
        <v>232.23666666666668</v>
      </c>
      <c r="C16" s="54">
        <f t="shared" si="0"/>
        <v>231.36542215568863</v>
      </c>
      <c r="D16" s="54">
        <f t="shared" si="1"/>
        <v>1.1814497745881174</v>
      </c>
      <c r="E16" s="54">
        <f t="shared" si="2"/>
        <v>0.87124451097804467</v>
      </c>
      <c r="F16" s="54">
        <f t="shared" si="3"/>
        <v>0.73743677447632683</v>
      </c>
    </row>
    <row r="17" spans="1:6" x14ac:dyDescent="0.25">
      <c r="A17" s="37">
        <v>40990</v>
      </c>
      <c r="B17" s="17">
        <v>233.30333333333337</v>
      </c>
      <c r="C17" s="54">
        <f t="shared" si="0"/>
        <v>231.36542215568863</v>
      </c>
      <c r="D17" s="54">
        <f t="shared" si="1"/>
        <v>1.1814497745881174</v>
      </c>
      <c r="E17" s="54">
        <f t="shared" si="2"/>
        <v>1.937911177644736</v>
      </c>
      <c r="F17" s="54">
        <f t="shared" si="3"/>
        <v>1.6402823203553785</v>
      </c>
    </row>
    <row r="18" spans="1:6" x14ac:dyDescent="0.25">
      <c r="A18" s="37">
        <v>41021</v>
      </c>
      <c r="B18" s="17">
        <v>232.61333333333334</v>
      </c>
      <c r="C18" s="54">
        <f t="shared" si="0"/>
        <v>231.36542215568863</v>
      </c>
      <c r="D18" s="54">
        <f t="shared" si="1"/>
        <v>1.1814497745881174</v>
      </c>
      <c r="E18" s="54">
        <f t="shared" si="2"/>
        <v>1.2479111776447098</v>
      </c>
      <c r="F18" s="54">
        <f t="shared" si="3"/>
        <v>1.0562541078648582</v>
      </c>
    </row>
    <row r="19" spans="1:6" x14ac:dyDescent="0.25">
      <c r="A19" s="37">
        <v>41051</v>
      </c>
      <c r="B19" s="17">
        <v>232.33666666666667</v>
      </c>
      <c r="C19" s="54">
        <f t="shared" si="0"/>
        <v>231.36542215568863</v>
      </c>
      <c r="D19" s="54">
        <f t="shared" si="1"/>
        <v>1.1814497745881174</v>
      </c>
      <c r="E19" s="54">
        <f t="shared" si="2"/>
        <v>0.97124451097803899</v>
      </c>
      <c r="F19" s="54">
        <f t="shared" si="3"/>
        <v>0.82207854440248118</v>
      </c>
    </row>
    <row r="20" spans="1:6" x14ac:dyDescent="0.25">
      <c r="A20" s="37">
        <v>41082</v>
      </c>
      <c r="B20" s="17">
        <v>232.35333333333332</v>
      </c>
      <c r="C20" s="54">
        <f t="shared" si="0"/>
        <v>231.36542215568863</v>
      </c>
      <c r="D20" s="54">
        <f t="shared" si="1"/>
        <v>1.1814497745881174</v>
      </c>
      <c r="E20" s="54">
        <f t="shared" si="2"/>
        <v>0.9879111776446905</v>
      </c>
      <c r="F20" s="54">
        <f t="shared" si="3"/>
        <v>0.83618550605682818</v>
      </c>
    </row>
    <row r="21" spans="1:6" x14ac:dyDescent="0.25">
      <c r="A21" s="37">
        <v>41112</v>
      </c>
      <c r="B21" s="17">
        <v>232.23666666666668</v>
      </c>
      <c r="C21" s="54">
        <f t="shared" si="0"/>
        <v>231.36542215568863</v>
      </c>
      <c r="D21" s="54">
        <f t="shared" si="1"/>
        <v>1.1814497745881174</v>
      </c>
      <c r="E21" s="54">
        <f t="shared" si="2"/>
        <v>0.87124451097804467</v>
      </c>
      <c r="F21" s="54">
        <f t="shared" si="3"/>
        <v>0.73743677447632683</v>
      </c>
    </row>
    <row r="22" spans="1:6" x14ac:dyDescent="0.25">
      <c r="A22" s="37">
        <v>41143</v>
      </c>
      <c r="B22" s="17">
        <v>232.22333333333336</v>
      </c>
      <c r="C22" s="54">
        <f t="shared" si="0"/>
        <v>231.36542215568863</v>
      </c>
      <c r="D22" s="54">
        <f t="shared" si="1"/>
        <v>1.1814497745881174</v>
      </c>
      <c r="E22" s="54">
        <f t="shared" si="2"/>
        <v>0.85791117764472347</v>
      </c>
      <c r="F22" s="54">
        <f t="shared" si="3"/>
        <v>0.72615120515284914</v>
      </c>
    </row>
    <row r="23" spans="1:6" x14ac:dyDescent="0.25">
      <c r="A23" s="37">
        <v>41174</v>
      </c>
      <c r="B23" s="17">
        <v>232.14333333333335</v>
      </c>
      <c r="C23" s="54">
        <f t="shared" si="0"/>
        <v>231.36542215568863</v>
      </c>
      <c r="D23" s="54">
        <f t="shared" si="1"/>
        <v>1.1814497745881174</v>
      </c>
      <c r="E23" s="54">
        <f t="shared" si="2"/>
        <v>0.77791117764471096</v>
      </c>
      <c r="F23" s="54">
        <f t="shared" si="3"/>
        <v>0.65843778921191132</v>
      </c>
    </row>
    <row r="24" spans="1:6" x14ac:dyDescent="0.25">
      <c r="A24" s="37">
        <v>41204</v>
      </c>
      <c r="B24" s="17">
        <v>232.19666666666669</v>
      </c>
      <c r="C24" s="54">
        <f t="shared" si="0"/>
        <v>231.36542215568863</v>
      </c>
      <c r="D24" s="54">
        <f t="shared" si="1"/>
        <v>1.1814497745881174</v>
      </c>
      <c r="E24" s="54">
        <f t="shared" si="2"/>
        <v>0.83124451097805263</v>
      </c>
      <c r="F24" s="54">
        <f t="shared" si="3"/>
        <v>0.70358006650586991</v>
      </c>
    </row>
    <row r="25" spans="1:6" x14ac:dyDescent="0.25">
      <c r="A25" s="37">
        <v>41235</v>
      </c>
      <c r="B25" s="17">
        <v>232.79666666666671</v>
      </c>
      <c r="C25" s="54">
        <f t="shared" si="0"/>
        <v>231.36542215568863</v>
      </c>
      <c r="D25" s="54">
        <f t="shared" si="1"/>
        <v>1.1814497745881174</v>
      </c>
      <c r="E25" s="54">
        <f t="shared" si="2"/>
        <v>1.4312445109780754</v>
      </c>
      <c r="F25" s="54">
        <f t="shared" si="3"/>
        <v>1.2114306860628439</v>
      </c>
    </row>
    <row r="26" spans="1:6" x14ac:dyDescent="0.25">
      <c r="A26" s="37">
        <v>41265</v>
      </c>
      <c r="B26" s="17">
        <v>233.25833333333335</v>
      </c>
      <c r="C26" s="54">
        <f t="shared" si="0"/>
        <v>231.36542215568863</v>
      </c>
      <c r="D26" s="54">
        <f t="shared" si="1"/>
        <v>1.1814497745881174</v>
      </c>
      <c r="E26" s="54">
        <f t="shared" si="2"/>
        <v>1.8929111776447201</v>
      </c>
      <c r="F26" s="54">
        <f t="shared" si="3"/>
        <v>1.6021935238885934</v>
      </c>
    </row>
    <row r="27" spans="1:6" x14ac:dyDescent="0.25">
      <c r="A27" s="37">
        <v>41296</v>
      </c>
      <c r="B27" s="17">
        <v>229.92999999999998</v>
      </c>
      <c r="C27" s="54">
        <f t="shared" si="0"/>
        <v>231.36542215568863</v>
      </c>
      <c r="D27" s="54">
        <f t="shared" si="1"/>
        <v>1.1814497745881174</v>
      </c>
      <c r="E27" s="54">
        <f t="shared" si="2"/>
        <v>-1.4354221556886557</v>
      </c>
      <c r="F27" s="54">
        <f t="shared" si="3"/>
        <v>-1.2149667184871058</v>
      </c>
    </row>
    <row r="28" spans="1:6" x14ac:dyDescent="0.25">
      <c r="A28" s="37">
        <v>41327</v>
      </c>
      <c r="B28" s="17">
        <v>230.37333333333333</v>
      </c>
      <c r="C28" s="54">
        <f t="shared" si="0"/>
        <v>231.36542215568863</v>
      </c>
      <c r="D28" s="54">
        <f t="shared" si="1"/>
        <v>1.1814497745881174</v>
      </c>
      <c r="E28" s="54">
        <f t="shared" si="2"/>
        <v>-0.99208882235529927</v>
      </c>
      <c r="F28" s="54">
        <f t="shared" si="3"/>
        <v>-0.83972153848111397</v>
      </c>
    </row>
    <row r="29" spans="1:6" x14ac:dyDescent="0.25">
      <c r="A29" s="37">
        <v>41355</v>
      </c>
      <c r="B29" s="17">
        <v>232.84</v>
      </c>
      <c r="C29" s="54">
        <f t="shared" si="0"/>
        <v>231.36542215568863</v>
      </c>
      <c r="D29" s="54">
        <f t="shared" si="1"/>
        <v>1.1814497745881174</v>
      </c>
      <c r="E29" s="54">
        <f t="shared" si="2"/>
        <v>1.4745778443113693</v>
      </c>
      <c r="F29" s="54">
        <f t="shared" si="3"/>
        <v>1.2481087863641462</v>
      </c>
    </row>
    <row r="30" spans="1:6" x14ac:dyDescent="0.25">
      <c r="A30" s="37">
        <v>41386</v>
      </c>
      <c r="B30" s="17">
        <v>232.82666666666668</v>
      </c>
      <c r="C30" s="54">
        <f t="shared" si="0"/>
        <v>231.36542215568863</v>
      </c>
      <c r="D30" s="54">
        <f t="shared" si="1"/>
        <v>1.1814497745881174</v>
      </c>
      <c r="E30" s="54">
        <f t="shared" si="2"/>
        <v>1.4612445109780481</v>
      </c>
      <c r="F30" s="54">
        <f t="shared" si="3"/>
        <v>1.2368232170406686</v>
      </c>
    </row>
    <row r="31" spans="1:6" x14ac:dyDescent="0.25">
      <c r="A31" s="37">
        <v>41416</v>
      </c>
      <c r="B31" s="17">
        <v>232.8366666666667</v>
      </c>
      <c r="C31" s="54">
        <f t="shared" si="0"/>
        <v>231.36542215568863</v>
      </c>
      <c r="D31" s="54">
        <f t="shared" si="1"/>
        <v>1.1814497745881174</v>
      </c>
      <c r="E31" s="54">
        <f t="shared" si="2"/>
        <v>1.4712445109780674</v>
      </c>
      <c r="F31" s="54">
        <f t="shared" si="3"/>
        <v>1.2452873940333009</v>
      </c>
    </row>
    <row r="32" spans="1:6" x14ac:dyDescent="0.25">
      <c r="A32" s="37">
        <v>41447</v>
      </c>
      <c r="B32" s="17">
        <v>232.44333333333336</v>
      </c>
      <c r="C32" s="54">
        <f t="shared" si="0"/>
        <v>231.36542215568863</v>
      </c>
      <c r="D32" s="54">
        <f t="shared" si="1"/>
        <v>1.1814497745881174</v>
      </c>
      <c r="E32" s="54">
        <f t="shared" si="2"/>
        <v>1.0779111776447223</v>
      </c>
      <c r="F32" s="54">
        <f t="shared" si="3"/>
        <v>0.91236309899039836</v>
      </c>
    </row>
    <row r="33" spans="1:6" x14ac:dyDescent="0.25">
      <c r="A33" s="37">
        <v>41477</v>
      </c>
      <c r="B33" s="17">
        <v>233.41333333333333</v>
      </c>
      <c r="C33" s="54">
        <f t="shared" si="0"/>
        <v>231.36542215568863</v>
      </c>
      <c r="D33" s="54">
        <f t="shared" si="1"/>
        <v>1.1814497745881174</v>
      </c>
      <c r="E33" s="54">
        <f t="shared" si="2"/>
        <v>2.0479111776446928</v>
      </c>
      <c r="F33" s="54">
        <f t="shared" si="3"/>
        <v>1.7333882672741168</v>
      </c>
    </row>
    <row r="34" spans="1:6" x14ac:dyDescent="0.25">
      <c r="A34" s="37">
        <v>41508</v>
      </c>
      <c r="B34" s="17">
        <v>231.81333333333336</v>
      </c>
      <c r="C34" s="54">
        <f t="shared" si="0"/>
        <v>231.36542215568863</v>
      </c>
      <c r="D34" s="54">
        <f t="shared" si="1"/>
        <v>1.1814497745881174</v>
      </c>
      <c r="E34" s="54">
        <f t="shared" si="2"/>
        <v>0.44791117764472688</v>
      </c>
      <c r="F34" s="54">
        <f t="shared" si="3"/>
        <v>0.37911994845559965</v>
      </c>
    </row>
    <row r="35" spans="1:6" x14ac:dyDescent="0.25">
      <c r="A35" s="37">
        <v>41539</v>
      </c>
      <c r="B35" s="17">
        <v>231.64000000000001</v>
      </c>
      <c r="C35" s="54">
        <f t="shared" si="0"/>
        <v>231.36542215568863</v>
      </c>
      <c r="D35" s="54">
        <f t="shared" si="1"/>
        <v>1.1814497745881174</v>
      </c>
      <c r="E35" s="54">
        <f t="shared" si="2"/>
        <v>0.27457784431138066</v>
      </c>
      <c r="F35" s="54">
        <f t="shared" si="3"/>
        <v>0.23240754725024623</v>
      </c>
    </row>
    <row r="36" spans="1:6" x14ac:dyDescent="0.25">
      <c r="A36" s="37">
        <v>41569</v>
      </c>
      <c r="B36" s="17">
        <v>231.62</v>
      </c>
      <c r="C36" s="54">
        <f t="shared" si="0"/>
        <v>231.36542215568863</v>
      </c>
      <c r="D36" s="54">
        <f t="shared" si="1"/>
        <v>1.1814497745881174</v>
      </c>
      <c r="E36" s="54">
        <f t="shared" si="2"/>
        <v>0.25457784431137043</v>
      </c>
      <c r="F36" s="54">
        <f t="shared" si="3"/>
        <v>0.21547919326500575</v>
      </c>
    </row>
    <row r="37" spans="1:6" x14ac:dyDescent="0.25">
      <c r="A37" s="37">
        <v>41600</v>
      </c>
      <c r="B37" s="17">
        <v>231.41333333333333</v>
      </c>
      <c r="C37" s="54">
        <f t="shared" si="0"/>
        <v>231.36542215568863</v>
      </c>
      <c r="D37" s="54">
        <f t="shared" si="1"/>
        <v>1.1814497745881174</v>
      </c>
      <c r="E37" s="54">
        <f t="shared" si="2"/>
        <v>4.7911177644692771E-2</v>
      </c>
      <c r="F37" s="54">
        <f t="shared" si="3"/>
        <v>4.0552868750934244E-2</v>
      </c>
    </row>
    <row r="38" spans="1:6" x14ac:dyDescent="0.25">
      <c r="A38" s="37">
        <v>41630</v>
      </c>
      <c r="B38" s="17">
        <v>232.75666666666666</v>
      </c>
      <c r="C38" s="54">
        <f t="shared" si="0"/>
        <v>231.36542215568863</v>
      </c>
      <c r="D38" s="54">
        <f t="shared" si="1"/>
        <v>1.1814497745881174</v>
      </c>
      <c r="E38" s="54">
        <f t="shared" si="2"/>
        <v>1.3912445109780265</v>
      </c>
      <c r="F38" s="54">
        <f t="shared" si="3"/>
        <v>1.1775739780923389</v>
      </c>
    </row>
    <row r="39" spans="1:6" x14ac:dyDescent="0.25">
      <c r="A39" s="37">
        <v>41661</v>
      </c>
      <c r="B39" s="17">
        <v>232.96333333333334</v>
      </c>
      <c r="C39" s="54">
        <f t="shared" si="0"/>
        <v>231.36542215568863</v>
      </c>
      <c r="D39" s="54">
        <f t="shared" si="1"/>
        <v>1.1814497745881174</v>
      </c>
      <c r="E39" s="54">
        <f t="shared" si="2"/>
        <v>1.5979111776447041</v>
      </c>
      <c r="F39" s="54">
        <f t="shared" si="3"/>
        <v>1.3525003026064104</v>
      </c>
    </row>
    <row r="40" spans="1:6" x14ac:dyDescent="0.25">
      <c r="A40" s="37">
        <v>41692</v>
      </c>
      <c r="B40" s="17">
        <v>233.03333333333333</v>
      </c>
      <c r="C40" s="54">
        <f t="shared" si="0"/>
        <v>231.36542215568863</v>
      </c>
      <c r="D40" s="54">
        <f t="shared" si="1"/>
        <v>1.1814497745881174</v>
      </c>
      <c r="E40" s="54">
        <f t="shared" si="2"/>
        <v>1.6679111776446973</v>
      </c>
      <c r="F40" s="54">
        <f t="shared" si="3"/>
        <v>1.4117495415547161</v>
      </c>
    </row>
    <row r="41" spans="1:6" x14ac:dyDescent="0.25">
      <c r="A41" s="37">
        <v>41720</v>
      </c>
      <c r="B41" s="17">
        <v>233.13333333333333</v>
      </c>
      <c r="C41" s="54">
        <f t="shared" si="0"/>
        <v>231.36542215568863</v>
      </c>
      <c r="D41" s="54">
        <f t="shared" si="1"/>
        <v>1.1814497745881174</v>
      </c>
      <c r="E41" s="54">
        <f t="shared" si="2"/>
        <v>1.7679111776446916</v>
      </c>
      <c r="F41" s="54">
        <f t="shared" si="3"/>
        <v>1.4963913114808702</v>
      </c>
    </row>
    <row r="42" spans="1:6" x14ac:dyDescent="0.25">
      <c r="A42" s="37">
        <v>41751</v>
      </c>
      <c r="B42" s="17">
        <v>234.19666666666669</v>
      </c>
      <c r="C42" s="54">
        <f t="shared" si="0"/>
        <v>231.36542215568863</v>
      </c>
      <c r="D42" s="54">
        <f t="shared" si="1"/>
        <v>1.1814497745881174</v>
      </c>
      <c r="E42" s="54">
        <f t="shared" si="2"/>
        <v>2.8312445109780526</v>
      </c>
      <c r="F42" s="54">
        <f t="shared" si="3"/>
        <v>2.3964154650290523</v>
      </c>
    </row>
    <row r="43" spans="1:6" x14ac:dyDescent="0.25">
      <c r="A43" s="37">
        <v>41781</v>
      </c>
      <c r="B43" s="17">
        <v>233.81000000000003</v>
      </c>
      <c r="C43" s="54">
        <f t="shared" si="0"/>
        <v>231.36542215568863</v>
      </c>
      <c r="D43" s="54">
        <f t="shared" si="1"/>
        <v>1.1814497745881174</v>
      </c>
      <c r="E43" s="54">
        <f t="shared" si="2"/>
        <v>2.4445778443113966</v>
      </c>
      <c r="F43" s="54">
        <f t="shared" si="3"/>
        <v>2.0691339546479131</v>
      </c>
    </row>
    <row r="44" spans="1:6" x14ac:dyDescent="0.25">
      <c r="A44" s="37">
        <v>41812</v>
      </c>
      <c r="B44" s="17">
        <v>233.36666666666667</v>
      </c>
      <c r="C44" s="54">
        <f t="shared" si="0"/>
        <v>231.36542215568863</v>
      </c>
      <c r="D44" s="54">
        <f t="shared" si="1"/>
        <v>1.1814497745881174</v>
      </c>
      <c r="E44" s="54">
        <f t="shared" si="2"/>
        <v>2.0012445109780401</v>
      </c>
      <c r="F44" s="54">
        <f t="shared" si="3"/>
        <v>1.6938887746419211</v>
      </c>
    </row>
    <row r="45" spans="1:6" x14ac:dyDescent="0.25">
      <c r="A45" s="37">
        <v>41842</v>
      </c>
      <c r="B45" s="17">
        <v>233.57333333333335</v>
      </c>
      <c r="C45" s="54">
        <f t="shared" si="0"/>
        <v>231.36542215568863</v>
      </c>
      <c r="D45" s="54">
        <f t="shared" si="1"/>
        <v>1.1814497745881174</v>
      </c>
      <c r="E45" s="54">
        <f t="shared" si="2"/>
        <v>2.2079111776447178</v>
      </c>
      <c r="F45" s="54">
        <f t="shared" si="3"/>
        <v>1.8688150991559926</v>
      </c>
    </row>
    <row r="46" spans="1:6" x14ac:dyDescent="0.25">
      <c r="A46" s="37">
        <v>41873</v>
      </c>
      <c r="B46" s="17">
        <v>233.05333333333331</v>
      </c>
      <c r="C46" s="54">
        <f t="shared" si="0"/>
        <v>231.36542215568863</v>
      </c>
      <c r="D46" s="54">
        <f t="shared" si="1"/>
        <v>1.1814497745881174</v>
      </c>
      <c r="E46" s="54">
        <f t="shared" si="2"/>
        <v>1.6879111776446791</v>
      </c>
      <c r="F46" s="54">
        <f t="shared" si="3"/>
        <v>1.4286778955399324</v>
      </c>
    </row>
    <row r="47" spans="1:6" x14ac:dyDescent="0.25">
      <c r="A47" s="37">
        <v>41904</v>
      </c>
      <c r="B47" s="17">
        <v>232.95666666666668</v>
      </c>
      <c r="C47" s="54">
        <f t="shared" si="0"/>
        <v>231.36542215568863</v>
      </c>
      <c r="D47" s="54">
        <f t="shared" si="1"/>
        <v>1.1814497745881174</v>
      </c>
      <c r="E47" s="54">
        <f t="shared" si="2"/>
        <v>1.5912445109780435</v>
      </c>
      <c r="F47" s="54">
        <f t="shared" si="3"/>
        <v>1.3468575179446716</v>
      </c>
    </row>
    <row r="48" spans="1:6" x14ac:dyDescent="0.25">
      <c r="A48" s="37">
        <v>41934</v>
      </c>
      <c r="B48" s="17">
        <v>232.90666666666667</v>
      </c>
      <c r="C48" s="54">
        <f t="shared" si="0"/>
        <v>231.36542215568863</v>
      </c>
      <c r="D48" s="54">
        <f t="shared" si="1"/>
        <v>1.1814497745881174</v>
      </c>
      <c r="E48" s="54">
        <f t="shared" si="2"/>
        <v>1.5412445109780322</v>
      </c>
      <c r="F48" s="54">
        <f t="shared" si="3"/>
        <v>1.3045366329815824</v>
      </c>
    </row>
    <row r="49" spans="1:6" x14ac:dyDescent="0.25">
      <c r="A49" s="37">
        <v>41965</v>
      </c>
      <c r="B49" s="17">
        <v>232.94000000000003</v>
      </c>
      <c r="C49" s="54">
        <f t="shared" si="0"/>
        <v>231.36542215568863</v>
      </c>
      <c r="D49" s="54">
        <f t="shared" si="1"/>
        <v>1.1814497745881174</v>
      </c>
      <c r="E49" s="54">
        <f t="shared" si="2"/>
        <v>1.574577844311392</v>
      </c>
      <c r="F49" s="54">
        <f t="shared" si="3"/>
        <v>1.3327505562903246</v>
      </c>
    </row>
    <row r="50" spans="1:6" x14ac:dyDescent="0.25">
      <c r="A50" s="37">
        <v>41995</v>
      </c>
      <c r="B50" s="17">
        <v>231.00333333333333</v>
      </c>
      <c r="C50" s="54">
        <f t="shared" si="0"/>
        <v>231.36542215568863</v>
      </c>
      <c r="D50" s="54">
        <f t="shared" si="1"/>
        <v>1.1814497745881174</v>
      </c>
      <c r="E50" s="54">
        <f t="shared" si="2"/>
        <v>-0.36208882235530382</v>
      </c>
      <c r="F50" s="54">
        <f t="shared" si="3"/>
        <v>-0.30647838794631532</v>
      </c>
    </row>
    <row r="51" spans="1:6" x14ac:dyDescent="0.25">
      <c r="A51" s="37">
        <v>42026</v>
      </c>
      <c r="B51" s="17">
        <v>231.821</v>
      </c>
      <c r="C51" s="54">
        <f t="shared" si="0"/>
        <v>231.36542215568863</v>
      </c>
      <c r="D51" s="54">
        <f t="shared" si="1"/>
        <v>1.1814497745881174</v>
      </c>
      <c r="E51" s="54">
        <f t="shared" si="2"/>
        <v>0.45557784431136383</v>
      </c>
      <c r="F51" s="54">
        <f t="shared" si="3"/>
        <v>0.38560915081658004</v>
      </c>
    </row>
    <row r="52" spans="1:6" x14ac:dyDescent="0.25">
      <c r="A52" s="37">
        <v>42057</v>
      </c>
      <c r="B52" s="17">
        <v>231.50733333333332</v>
      </c>
      <c r="C52" s="54">
        <f t="shared" si="0"/>
        <v>231.36542215568863</v>
      </c>
      <c r="D52" s="54">
        <f t="shared" si="1"/>
        <v>1.1814497745881174</v>
      </c>
      <c r="E52" s="54">
        <f t="shared" si="2"/>
        <v>0.14191117764468686</v>
      </c>
      <c r="F52" s="54">
        <f t="shared" si="3"/>
        <v>0.12011613248151883</v>
      </c>
    </row>
    <row r="53" spans="1:6" x14ac:dyDescent="0.25">
      <c r="A53" s="37">
        <v>42085</v>
      </c>
      <c r="B53" s="17">
        <v>231.29833333333332</v>
      </c>
      <c r="C53" s="54">
        <f t="shared" si="0"/>
        <v>231.36542215568863</v>
      </c>
      <c r="D53" s="54">
        <f t="shared" si="1"/>
        <v>1.1814497745881174</v>
      </c>
      <c r="E53" s="54">
        <f t="shared" si="2"/>
        <v>-6.7088822355316324E-2</v>
      </c>
      <c r="F53" s="54">
        <f t="shared" si="3"/>
        <v>-5.6785166664156457E-2</v>
      </c>
    </row>
    <row r="54" spans="1:6" x14ac:dyDescent="0.25">
      <c r="A54" s="37">
        <v>42116</v>
      </c>
      <c r="B54" s="17">
        <v>231.64333333333332</v>
      </c>
      <c r="C54" s="54">
        <f t="shared" si="0"/>
        <v>231.36542215568863</v>
      </c>
      <c r="D54" s="54">
        <f t="shared" si="1"/>
        <v>1.1814497745881174</v>
      </c>
      <c r="E54" s="54">
        <f t="shared" si="2"/>
        <v>0.27791117764468254</v>
      </c>
      <c r="F54" s="54">
        <f t="shared" si="3"/>
        <v>0.23522893958109159</v>
      </c>
    </row>
    <row r="55" spans="1:6" x14ac:dyDescent="0.25">
      <c r="A55" s="37">
        <v>42146</v>
      </c>
      <c r="B55" s="17">
        <v>231.30566666666667</v>
      </c>
      <c r="C55" s="54">
        <f t="shared" si="0"/>
        <v>231.36542215568863</v>
      </c>
      <c r="D55" s="54">
        <f t="shared" si="1"/>
        <v>1.1814497745881174</v>
      </c>
      <c r="E55" s="54">
        <f t="shared" si="2"/>
        <v>-5.9755489021966923E-2</v>
      </c>
      <c r="F55" s="54">
        <f t="shared" si="3"/>
        <v>-5.0578103536224522E-2</v>
      </c>
    </row>
    <row r="56" spans="1:6" x14ac:dyDescent="0.25">
      <c r="A56" s="37">
        <v>42177</v>
      </c>
      <c r="B56" s="17">
        <v>230.99733333333333</v>
      </c>
      <c r="C56" s="54">
        <f t="shared" si="0"/>
        <v>231.36542215568863</v>
      </c>
      <c r="D56" s="54">
        <f t="shared" si="1"/>
        <v>1.1814497745881174</v>
      </c>
      <c r="E56" s="54">
        <f t="shared" si="2"/>
        <v>-0.36808882235530405</v>
      </c>
      <c r="F56" s="54">
        <f t="shared" si="3"/>
        <v>-0.31155689414188503</v>
      </c>
    </row>
    <row r="57" spans="1:6" x14ac:dyDescent="0.25">
      <c r="A57" s="37">
        <v>42207</v>
      </c>
      <c r="B57" s="17">
        <v>230.78133333333335</v>
      </c>
      <c r="C57" s="54">
        <f t="shared" si="0"/>
        <v>231.36542215568863</v>
      </c>
      <c r="D57" s="54">
        <f t="shared" si="1"/>
        <v>1.1814497745881174</v>
      </c>
      <c r="E57" s="54">
        <f t="shared" si="2"/>
        <v>-0.58408882235528381</v>
      </c>
      <c r="F57" s="54">
        <f t="shared" si="3"/>
        <v>-0.49438311718237166</v>
      </c>
    </row>
    <row r="58" spans="1:6" x14ac:dyDescent="0.25">
      <c r="A58" s="37">
        <v>42238</v>
      </c>
      <c r="B58" s="17">
        <v>230.4606666666667</v>
      </c>
      <c r="C58" s="54">
        <f t="shared" si="0"/>
        <v>231.36542215568863</v>
      </c>
      <c r="D58" s="54">
        <f t="shared" si="1"/>
        <v>1.1814497745881174</v>
      </c>
      <c r="E58" s="54">
        <f t="shared" si="2"/>
        <v>-0.90475548902193736</v>
      </c>
      <c r="F58" s="54">
        <f t="shared" si="3"/>
        <v>-0.76580105941224419</v>
      </c>
    </row>
    <row r="59" spans="1:6" x14ac:dyDescent="0.25">
      <c r="A59" s="37">
        <v>42269</v>
      </c>
      <c r="B59" s="17">
        <v>230.48966666666669</v>
      </c>
      <c r="C59" s="54">
        <f t="shared" si="0"/>
        <v>231.36542215568863</v>
      </c>
      <c r="D59" s="54">
        <f t="shared" si="1"/>
        <v>1.1814497745881174</v>
      </c>
      <c r="E59" s="54">
        <f t="shared" si="2"/>
        <v>-0.875755489021941</v>
      </c>
      <c r="F59" s="54">
        <f t="shared" si="3"/>
        <v>-0.74125494613366105</v>
      </c>
    </row>
    <row r="60" spans="1:6" x14ac:dyDescent="0.25">
      <c r="A60" s="37">
        <v>42299</v>
      </c>
      <c r="B60" s="17">
        <v>230.45166666666668</v>
      </c>
      <c r="C60" s="54">
        <f t="shared" si="0"/>
        <v>231.36542215568863</v>
      </c>
      <c r="D60" s="54">
        <f t="shared" si="1"/>
        <v>1.1814497745881174</v>
      </c>
      <c r="E60" s="54">
        <f t="shared" si="2"/>
        <v>-0.91375548902195192</v>
      </c>
      <c r="F60" s="54">
        <f t="shared" si="3"/>
        <v>-0.7734188187056108</v>
      </c>
    </row>
    <row r="61" spans="1:6" x14ac:dyDescent="0.25">
      <c r="A61" s="37">
        <v>42330</v>
      </c>
      <c r="B61" s="17">
        <v>229.77166666666668</v>
      </c>
      <c r="C61" s="54">
        <f t="shared" si="0"/>
        <v>231.36542215568863</v>
      </c>
      <c r="D61" s="54">
        <f t="shared" si="1"/>
        <v>1.1814497745881174</v>
      </c>
      <c r="E61" s="54">
        <f t="shared" si="2"/>
        <v>-1.5937554890219587</v>
      </c>
      <c r="F61" s="54">
        <f t="shared" si="3"/>
        <v>-1.3489828542034987</v>
      </c>
    </row>
    <row r="62" spans="1:6" x14ac:dyDescent="0.25">
      <c r="A62" s="37">
        <v>42360</v>
      </c>
      <c r="B62" s="17">
        <v>230.32000000000002</v>
      </c>
      <c r="C62" s="54">
        <f t="shared" si="0"/>
        <v>231.36542215568863</v>
      </c>
      <c r="D62" s="54">
        <f t="shared" si="1"/>
        <v>1.1814497745881174</v>
      </c>
      <c r="E62" s="54">
        <f t="shared" si="2"/>
        <v>-1.0454221556886125</v>
      </c>
      <c r="F62" s="54">
        <f t="shared" si="3"/>
        <v>-0.88486381577504858</v>
      </c>
    </row>
    <row r="63" spans="1:6" x14ac:dyDescent="0.25">
      <c r="A63" s="37">
        <v>42391</v>
      </c>
      <c r="B63" s="17">
        <v>230.24333333333334</v>
      </c>
      <c r="C63" s="54">
        <f t="shared" si="0"/>
        <v>231.36542215568863</v>
      </c>
      <c r="D63" s="54">
        <f t="shared" si="1"/>
        <v>1.1814497745881174</v>
      </c>
      <c r="E63" s="54">
        <f t="shared" si="2"/>
        <v>-1.1220888223552947</v>
      </c>
      <c r="F63" s="54">
        <f t="shared" si="3"/>
        <v>-0.94975583938511698</v>
      </c>
    </row>
    <row r="64" spans="1:6" x14ac:dyDescent="0.25">
      <c r="A64" s="37">
        <v>42422</v>
      </c>
      <c r="B64" s="17">
        <v>230.22</v>
      </c>
      <c r="C64" s="54">
        <f t="shared" si="0"/>
        <v>231.36542215568863</v>
      </c>
      <c r="D64" s="54">
        <f t="shared" si="1"/>
        <v>1.1814497745881174</v>
      </c>
      <c r="E64" s="54">
        <f t="shared" si="2"/>
        <v>-1.1454221556886353</v>
      </c>
      <c r="F64" s="54">
        <f t="shared" si="3"/>
        <v>-0.96950558570122691</v>
      </c>
    </row>
    <row r="65" spans="1:6" x14ac:dyDescent="0.25">
      <c r="A65" s="37">
        <v>42451</v>
      </c>
      <c r="B65" s="17">
        <v>230.13666666666666</v>
      </c>
      <c r="C65" s="54">
        <f t="shared" si="0"/>
        <v>231.36542215568863</v>
      </c>
      <c r="D65" s="54">
        <f t="shared" si="1"/>
        <v>1.1814497745881174</v>
      </c>
      <c r="E65" s="54">
        <f t="shared" si="2"/>
        <v>-1.2287554890219781</v>
      </c>
      <c r="F65" s="54">
        <f t="shared" si="3"/>
        <v>-1.0400403939730343</v>
      </c>
    </row>
    <row r="66" spans="1:6" x14ac:dyDescent="0.25">
      <c r="A66" s="37">
        <v>42482</v>
      </c>
      <c r="B66" s="17">
        <v>230.1866666666667</v>
      </c>
      <c r="C66" s="54">
        <f t="shared" si="0"/>
        <v>231.36542215568863</v>
      </c>
      <c r="D66" s="54">
        <f t="shared" si="1"/>
        <v>1.1814497745881174</v>
      </c>
      <c r="E66" s="54">
        <f t="shared" si="2"/>
        <v>-1.1787554890219383</v>
      </c>
      <c r="F66" s="54">
        <f t="shared" si="3"/>
        <v>-0.9977195090099209</v>
      </c>
    </row>
    <row r="67" spans="1:6" x14ac:dyDescent="0.25">
      <c r="A67" s="37">
        <v>42512</v>
      </c>
      <c r="B67" s="17">
        <v>230.01333333333332</v>
      </c>
      <c r="C67" s="54">
        <f t="shared" si="0"/>
        <v>231.36542215568863</v>
      </c>
      <c r="D67" s="54">
        <f t="shared" si="1"/>
        <v>1.1814497745881174</v>
      </c>
      <c r="E67" s="54">
        <f t="shared" si="2"/>
        <v>-1.3520888223553129</v>
      </c>
      <c r="F67" s="54">
        <f t="shared" si="3"/>
        <v>-1.1444319102152984</v>
      </c>
    </row>
    <row r="68" spans="1:6" x14ac:dyDescent="0.25">
      <c r="A68" s="37">
        <v>42543</v>
      </c>
      <c r="B68" s="17">
        <v>229.93333333333331</v>
      </c>
      <c r="C68" s="54">
        <f t="shared" si="0"/>
        <v>231.36542215568863</v>
      </c>
      <c r="D68" s="54">
        <f t="shared" si="1"/>
        <v>1.1814497745881174</v>
      </c>
      <c r="E68" s="54">
        <f t="shared" si="2"/>
        <v>-1.4320888223553254</v>
      </c>
      <c r="F68" s="54">
        <f t="shared" si="3"/>
        <v>-1.2121453261562363</v>
      </c>
    </row>
    <row r="69" spans="1:6" x14ac:dyDescent="0.25">
      <c r="A69" s="37">
        <v>42573</v>
      </c>
      <c r="B69" s="17">
        <v>229.79666666666671</v>
      </c>
      <c r="C69" s="54">
        <f t="shared" ref="C69:C114" si="4">AVERAGE($B$4:$B$173)</f>
        <v>231.36542215568863</v>
      </c>
      <c r="D69" s="54">
        <f t="shared" ref="D69:D132" si="5">_xlfn.STDEV.S($B$4:$B$173)</f>
        <v>1.1814497745881174</v>
      </c>
      <c r="E69" s="54">
        <f t="shared" ref="E69:E132" si="6">B69-C69</f>
        <v>-1.5687554890219246</v>
      </c>
      <c r="F69" s="54">
        <f t="shared" ref="F69:F132" si="7">E69/D69</f>
        <v>-1.3278224117219299</v>
      </c>
    </row>
    <row r="70" spans="1:6" x14ac:dyDescent="0.25">
      <c r="A70" s="37">
        <v>42604</v>
      </c>
      <c r="B70" s="17">
        <v>229.76</v>
      </c>
      <c r="C70" s="54">
        <f t="shared" si="4"/>
        <v>231.36542215568863</v>
      </c>
      <c r="D70" s="54">
        <f t="shared" si="5"/>
        <v>1.1814497745881174</v>
      </c>
      <c r="E70" s="54">
        <f t="shared" si="6"/>
        <v>-1.6054221556886432</v>
      </c>
      <c r="F70" s="54">
        <f t="shared" si="7"/>
        <v>-1.3588577273615656</v>
      </c>
    </row>
    <row r="71" spans="1:6" x14ac:dyDescent="0.25">
      <c r="A71" s="37">
        <v>42635</v>
      </c>
      <c r="B71" s="17">
        <v>229.72333333333336</v>
      </c>
      <c r="C71" s="54">
        <f t="shared" si="4"/>
        <v>231.36542215568863</v>
      </c>
      <c r="D71" s="54">
        <f t="shared" si="5"/>
        <v>1.1814497745881174</v>
      </c>
      <c r="E71" s="54">
        <f t="shared" si="6"/>
        <v>-1.6420888223552765</v>
      </c>
      <c r="F71" s="54">
        <f t="shared" si="7"/>
        <v>-1.3898930430011291</v>
      </c>
    </row>
    <row r="72" spans="1:6" x14ac:dyDescent="0.25">
      <c r="A72" s="37">
        <v>42665</v>
      </c>
      <c r="B72" s="17">
        <v>229.59333333333333</v>
      </c>
      <c r="C72" s="54">
        <f t="shared" si="4"/>
        <v>231.36542215568863</v>
      </c>
      <c r="D72" s="54">
        <f t="shared" si="5"/>
        <v>1.1814497745881174</v>
      </c>
      <c r="E72" s="54">
        <f t="shared" si="6"/>
        <v>-1.7720888223553004</v>
      </c>
      <c r="F72" s="54">
        <f t="shared" si="7"/>
        <v>-1.4999273439051561</v>
      </c>
    </row>
    <row r="73" spans="1:6" x14ac:dyDescent="0.25">
      <c r="A73" s="37">
        <v>42696</v>
      </c>
      <c r="B73" s="17">
        <v>229.58666666666667</v>
      </c>
      <c r="C73" s="54">
        <f t="shared" si="4"/>
        <v>231.36542215568863</v>
      </c>
      <c r="D73" s="54">
        <f t="shared" si="5"/>
        <v>1.1814497745881174</v>
      </c>
      <c r="E73" s="54">
        <f t="shared" si="6"/>
        <v>-1.778755489021961</v>
      </c>
      <c r="F73" s="54">
        <f t="shared" si="7"/>
        <v>-1.505570128566895</v>
      </c>
    </row>
    <row r="74" spans="1:6" x14ac:dyDescent="0.25">
      <c r="A74" s="37">
        <v>42726</v>
      </c>
      <c r="B74" s="17">
        <v>229.85333333333335</v>
      </c>
      <c r="C74" s="54">
        <f t="shared" si="4"/>
        <v>231.36542215568863</v>
      </c>
      <c r="D74" s="54">
        <f t="shared" si="5"/>
        <v>1.1814497745881174</v>
      </c>
      <c r="E74" s="54">
        <f t="shared" si="6"/>
        <v>-1.5120888223552811</v>
      </c>
      <c r="F74" s="54">
        <f t="shared" si="7"/>
        <v>-1.2798587420971261</v>
      </c>
    </row>
    <row r="75" spans="1:6" x14ac:dyDescent="0.25">
      <c r="A75" s="37">
        <v>42757</v>
      </c>
      <c r="B75" s="17">
        <v>229.92</v>
      </c>
      <c r="C75" s="54">
        <f t="shared" si="4"/>
        <v>231.36542215568863</v>
      </c>
      <c r="D75" s="54">
        <f t="shared" si="5"/>
        <v>1.1814497745881174</v>
      </c>
      <c r="E75" s="54">
        <f t="shared" si="6"/>
        <v>-1.4454221556886466</v>
      </c>
      <c r="F75" s="54">
        <f t="shared" si="7"/>
        <v>-1.223430895479714</v>
      </c>
    </row>
    <row r="76" spans="1:6" x14ac:dyDescent="0.25">
      <c r="A76" s="37">
        <v>42788</v>
      </c>
      <c r="B76" s="17">
        <v>230.31166666666664</v>
      </c>
      <c r="C76" s="54">
        <f t="shared" si="4"/>
        <v>231.36542215568863</v>
      </c>
      <c r="D76" s="54">
        <f t="shared" si="5"/>
        <v>1.1814497745881174</v>
      </c>
      <c r="E76" s="54">
        <f t="shared" si="6"/>
        <v>-1.0537554890219951</v>
      </c>
      <c r="F76" s="54">
        <f t="shared" si="7"/>
        <v>-0.89191729660227015</v>
      </c>
    </row>
    <row r="77" spans="1:6" x14ac:dyDescent="0.25">
      <c r="A77" s="37">
        <v>42816</v>
      </c>
      <c r="B77" s="17">
        <v>230.70333333333335</v>
      </c>
      <c r="C77" s="54">
        <f t="shared" si="4"/>
        <v>231.36542215568863</v>
      </c>
      <c r="D77" s="54">
        <f t="shared" si="5"/>
        <v>1.1814497745881174</v>
      </c>
      <c r="E77" s="54">
        <f t="shared" si="6"/>
        <v>-0.66208882235528677</v>
      </c>
      <c r="F77" s="54">
        <f t="shared" si="7"/>
        <v>-0.56040369772477827</v>
      </c>
    </row>
    <row r="78" spans="1:6" x14ac:dyDescent="0.25">
      <c r="A78" s="37">
        <v>42847</v>
      </c>
      <c r="B78" s="17">
        <v>230.91666666666666</v>
      </c>
      <c r="C78" s="54">
        <f t="shared" si="4"/>
        <v>231.36542215568863</v>
      </c>
      <c r="D78" s="54">
        <f t="shared" si="5"/>
        <v>1.1814497745881174</v>
      </c>
      <c r="E78" s="54">
        <f t="shared" si="6"/>
        <v>-0.44875548902197693</v>
      </c>
      <c r="F78" s="54">
        <f t="shared" si="7"/>
        <v>-0.37983458854899199</v>
      </c>
    </row>
    <row r="79" spans="1:6" x14ac:dyDescent="0.25">
      <c r="A79" s="37">
        <v>42877</v>
      </c>
      <c r="B79" s="17">
        <v>230.89333333333335</v>
      </c>
      <c r="C79" s="54">
        <f t="shared" si="4"/>
        <v>231.36542215568863</v>
      </c>
      <c r="D79" s="54">
        <f t="shared" si="5"/>
        <v>1.1814497745881174</v>
      </c>
      <c r="E79" s="54">
        <f t="shared" si="6"/>
        <v>-0.47208882235528904</v>
      </c>
      <c r="F79" s="54">
        <f t="shared" si="7"/>
        <v>-0.39958433486507783</v>
      </c>
    </row>
    <row r="80" spans="1:6" x14ac:dyDescent="0.25">
      <c r="A80" s="37">
        <v>42908</v>
      </c>
      <c r="B80" s="17">
        <v>230.70500000000001</v>
      </c>
      <c r="C80" s="54">
        <f t="shared" si="4"/>
        <v>231.36542215568863</v>
      </c>
      <c r="D80" s="54">
        <f t="shared" si="5"/>
        <v>1.1814497745881174</v>
      </c>
      <c r="E80" s="54">
        <f t="shared" si="6"/>
        <v>-0.66042215568862161</v>
      </c>
      <c r="F80" s="54">
        <f t="shared" si="7"/>
        <v>-0.55899300155934362</v>
      </c>
    </row>
    <row r="81" spans="1:6" x14ac:dyDescent="0.25">
      <c r="A81" s="37">
        <v>42938</v>
      </c>
      <c r="B81" s="17">
        <v>230.58333333333334</v>
      </c>
      <c r="C81" s="54">
        <f t="shared" si="4"/>
        <v>231.36542215568863</v>
      </c>
      <c r="D81" s="54">
        <f t="shared" si="5"/>
        <v>1.1814497745881174</v>
      </c>
      <c r="E81" s="54">
        <f t="shared" si="6"/>
        <v>-0.78208882235529131</v>
      </c>
      <c r="F81" s="54">
        <f t="shared" si="7"/>
        <v>-0.66197382163617313</v>
      </c>
    </row>
    <row r="82" spans="1:6" x14ac:dyDescent="0.25">
      <c r="A82" s="37">
        <v>42969</v>
      </c>
      <c r="B82" s="17">
        <v>230.48333333333335</v>
      </c>
      <c r="C82" s="54">
        <f t="shared" si="4"/>
        <v>231.36542215568863</v>
      </c>
      <c r="D82" s="54">
        <f t="shared" si="5"/>
        <v>1.1814497745881174</v>
      </c>
      <c r="E82" s="54">
        <f t="shared" si="6"/>
        <v>-0.88208882235528563</v>
      </c>
      <c r="F82" s="54">
        <f t="shared" si="7"/>
        <v>-0.74661559156232737</v>
      </c>
    </row>
    <row r="83" spans="1:6" x14ac:dyDescent="0.25">
      <c r="A83" s="37">
        <v>43000</v>
      </c>
      <c r="B83" s="17">
        <v>230.37</v>
      </c>
      <c r="C83" s="54">
        <f t="shared" si="4"/>
        <v>231.36542215568863</v>
      </c>
      <c r="D83" s="54">
        <f t="shared" si="5"/>
        <v>1.1814497745881174</v>
      </c>
      <c r="E83" s="54">
        <f t="shared" si="6"/>
        <v>-0.99542215568862957</v>
      </c>
      <c r="F83" s="54">
        <f t="shared" si="7"/>
        <v>-0.84254293081198339</v>
      </c>
    </row>
    <row r="84" spans="1:6" x14ac:dyDescent="0.25">
      <c r="A84" s="37">
        <v>43030</v>
      </c>
      <c r="B84" s="17">
        <v>230.29</v>
      </c>
      <c r="C84" s="54">
        <f t="shared" si="4"/>
        <v>231.36542215568863</v>
      </c>
      <c r="D84" s="54">
        <f t="shared" si="5"/>
        <v>1.1814497745881174</v>
      </c>
      <c r="E84" s="54">
        <f t="shared" si="6"/>
        <v>-1.0754221556886421</v>
      </c>
      <c r="F84" s="54">
        <f t="shared" si="7"/>
        <v>-0.91025634675292133</v>
      </c>
    </row>
    <row r="85" spans="1:6" x14ac:dyDescent="0.25">
      <c r="A85" s="37">
        <v>43061</v>
      </c>
      <c r="B85" s="17">
        <v>230.16</v>
      </c>
      <c r="C85" s="54">
        <f t="shared" si="4"/>
        <v>231.36542215568863</v>
      </c>
      <c r="D85" s="54">
        <f t="shared" si="5"/>
        <v>1.1814497745881174</v>
      </c>
      <c r="E85" s="54">
        <f t="shared" si="6"/>
        <v>-1.2054221556886375</v>
      </c>
      <c r="F85" s="54">
        <f t="shared" si="7"/>
        <v>-1.0202906476569242</v>
      </c>
    </row>
    <row r="86" spans="1:6" x14ac:dyDescent="0.25">
      <c r="A86" s="37">
        <v>43091</v>
      </c>
      <c r="B86" s="17">
        <v>230.54666666666665</v>
      </c>
      <c r="C86" s="54">
        <f t="shared" si="4"/>
        <v>231.36542215568863</v>
      </c>
      <c r="D86" s="54">
        <f t="shared" si="5"/>
        <v>1.1814497745881174</v>
      </c>
      <c r="E86" s="54">
        <f t="shared" si="6"/>
        <v>-0.81875548902198148</v>
      </c>
      <c r="F86" s="54">
        <f t="shared" si="7"/>
        <v>-0.69300913727578461</v>
      </c>
    </row>
    <row r="87" spans="1:6" x14ac:dyDescent="0.25">
      <c r="A87" s="37">
        <v>43122</v>
      </c>
      <c r="B87" s="17">
        <v>230.61333333333334</v>
      </c>
      <c r="C87" s="54">
        <f t="shared" si="4"/>
        <v>231.36542215568863</v>
      </c>
      <c r="D87" s="54">
        <f t="shared" si="5"/>
        <v>1.1814497745881174</v>
      </c>
      <c r="E87" s="54">
        <f t="shared" si="6"/>
        <v>-0.75208882235529018</v>
      </c>
      <c r="F87" s="54">
        <f t="shared" si="7"/>
        <v>-0.63658129065832436</v>
      </c>
    </row>
    <row r="88" spans="1:6" x14ac:dyDescent="0.25">
      <c r="A88" s="37">
        <v>43153</v>
      </c>
      <c r="B88" s="17">
        <v>227.94</v>
      </c>
      <c r="C88" s="54">
        <f t="shared" si="4"/>
        <v>231.36542215568863</v>
      </c>
      <c r="D88" s="54">
        <f t="shared" si="5"/>
        <v>1.1814497745881174</v>
      </c>
      <c r="E88" s="54">
        <f t="shared" si="6"/>
        <v>-3.4254221556886364</v>
      </c>
      <c r="F88" s="54">
        <f t="shared" si="7"/>
        <v>-2.8993379400176562</v>
      </c>
    </row>
    <row r="89" spans="1:6" x14ac:dyDescent="0.25">
      <c r="A89" s="37">
        <v>43181</v>
      </c>
      <c r="B89" s="17">
        <v>228.04000000000002</v>
      </c>
      <c r="C89" s="54">
        <f t="shared" si="4"/>
        <v>231.36542215568863</v>
      </c>
      <c r="D89" s="54">
        <f t="shared" si="5"/>
        <v>1.1814497745881174</v>
      </c>
      <c r="E89" s="54">
        <f t="shared" si="6"/>
        <v>-3.3254221556886137</v>
      </c>
      <c r="F89" s="54">
        <f t="shared" si="7"/>
        <v>-2.8146961700914779</v>
      </c>
    </row>
    <row r="90" spans="1:6" x14ac:dyDescent="0.25">
      <c r="A90" s="37">
        <v>43212</v>
      </c>
      <c r="B90" s="17">
        <v>228.05500000000001</v>
      </c>
      <c r="C90" s="54">
        <f t="shared" si="4"/>
        <v>231.36542215568863</v>
      </c>
      <c r="D90" s="54">
        <f t="shared" si="5"/>
        <v>1.1814497745881174</v>
      </c>
      <c r="E90" s="54">
        <f t="shared" si="6"/>
        <v>-3.3104221556886273</v>
      </c>
      <c r="F90" s="54">
        <f t="shared" si="7"/>
        <v>-2.8019999046025652</v>
      </c>
    </row>
    <row r="91" spans="1:6" x14ac:dyDescent="0.25">
      <c r="A91" s="37">
        <v>43242</v>
      </c>
      <c r="B91" s="17">
        <v>228.3725</v>
      </c>
      <c r="C91" s="54">
        <f t="shared" si="4"/>
        <v>231.36542215568863</v>
      </c>
      <c r="D91" s="54">
        <f t="shared" si="5"/>
        <v>1.1814497745881174</v>
      </c>
      <c r="E91" s="54">
        <f t="shared" si="6"/>
        <v>-2.9929221556886318</v>
      </c>
      <c r="F91" s="54">
        <f t="shared" si="7"/>
        <v>-2.5332622850870141</v>
      </c>
    </row>
    <row r="92" spans="1:6" x14ac:dyDescent="0.25">
      <c r="A92" s="37">
        <v>43273</v>
      </c>
      <c r="B92" s="17">
        <v>228.405</v>
      </c>
      <c r="C92" s="54">
        <f t="shared" si="4"/>
        <v>231.36542215568863</v>
      </c>
      <c r="D92" s="54">
        <f t="shared" si="5"/>
        <v>1.1814497745881174</v>
      </c>
      <c r="E92" s="54">
        <f t="shared" si="6"/>
        <v>-2.960422155688633</v>
      </c>
      <c r="F92" s="54">
        <f t="shared" si="7"/>
        <v>-2.5057537098610134</v>
      </c>
    </row>
    <row r="93" spans="1:6" x14ac:dyDescent="0.25">
      <c r="A93" s="37">
        <v>43303</v>
      </c>
      <c r="B93" s="17">
        <v>230.99333333333334</v>
      </c>
      <c r="C93" s="54">
        <f t="shared" si="4"/>
        <v>231.36542215568863</v>
      </c>
      <c r="D93" s="54">
        <f t="shared" si="5"/>
        <v>1.1814497745881174</v>
      </c>
      <c r="E93" s="54">
        <f t="shared" si="6"/>
        <v>-0.37208882235529472</v>
      </c>
      <c r="F93" s="54">
        <f t="shared" si="7"/>
        <v>-0.31494256493892353</v>
      </c>
    </row>
    <row r="94" spans="1:6" x14ac:dyDescent="0.25">
      <c r="A94" s="37">
        <v>43334</v>
      </c>
      <c r="B94" s="17">
        <v>230.97333333333336</v>
      </c>
      <c r="C94" s="54">
        <f t="shared" si="4"/>
        <v>231.36542215568863</v>
      </c>
      <c r="D94" s="54">
        <f t="shared" si="5"/>
        <v>1.1814497745881174</v>
      </c>
      <c r="E94" s="54">
        <f t="shared" si="6"/>
        <v>-0.39208882235527653</v>
      </c>
      <c r="F94" s="54">
        <f t="shared" si="7"/>
        <v>-0.33187091892413995</v>
      </c>
    </row>
    <row r="95" spans="1:6" x14ac:dyDescent="0.25">
      <c r="A95" s="37">
        <v>43365</v>
      </c>
      <c r="B95" s="17">
        <v>231.03333333333333</v>
      </c>
      <c r="C95" s="54">
        <f t="shared" si="4"/>
        <v>231.36542215568863</v>
      </c>
      <c r="D95" s="54">
        <f t="shared" si="5"/>
        <v>1.1814497745881174</v>
      </c>
      <c r="E95" s="54">
        <f t="shared" si="6"/>
        <v>-0.33208882235530268</v>
      </c>
      <c r="F95" s="54">
        <f t="shared" si="7"/>
        <v>-0.28108585696846661</v>
      </c>
    </row>
    <row r="96" spans="1:6" x14ac:dyDescent="0.25">
      <c r="A96" s="37">
        <v>43395</v>
      </c>
      <c r="B96" s="17">
        <v>230.94333333333336</v>
      </c>
      <c r="C96" s="54">
        <f t="shared" si="4"/>
        <v>231.36542215568863</v>
      </c>
      <c r="D96" s="54">
        <f t="shared" si="5"/>
        <v>1.1814497745881174</v>
      </c>
      <c r="E96" s="54">
        <f t="shared" si="6"/>
        <v>-0.42208882235527767</v>
      </c>
      <c r="F96" s="54">
        <f t="shared" si="7"/>
        <v>-0.35726344990198866</v>
      </c>
    </row>
    <row r="97" spans="1:6" x14ac:dyDescent="0.25">
      <c r="A97" s="37">
        <v>43426</v>
      </c>
      <c r="B97" s="17">
        <v>230.93000000000004</v>
      </c>
      <c r="C97" s="54">
        <f t="shared" si="4"/>
        <v>231.36542215568863</v>
      </c>
      <c r="D97" s="54">
        <f t="shared" si="5"/>
        <v>1.1814497745881174</v>
      </c>
      <c r="E97" s="54">
        <f t="shared" si="6"/>
        <v>-0.43542215568859888</v>
      </c>
      <c r="F97" s="54">
        <f t="shared" si="7"/>
        <v>-0.36854901922546629</v>
      </c>
    </row>
    <row r="98" spans="1:6" x14ac:dyDescent="0.25">
      <c r="A98" s="37">
        <v>43456</v>
      </c>
      <c r="B98" s="17">
        <v>230.77666666666667</v>
      </c>
      <c r="C98" s="54">
        <f t="shared" si="4"/>
        <v>231.36542215568863</v>
      </c>
      <c r="D98" s="54">
        <f t="shared" si="5"/>
        <v>1.1814497745881174</v>
      </c>
      <c r="E98" s="54">
        <f t="shared" si="6"/>
        <v>-0.58875548902196329</v>
      </c>
      <c r="F98" s="54">
        <f t="shared" si="7"/>
        <v>-0.49833306644560327</v>
      </c>
    </row>
    <row r="99" spans="1:6" x14ac:dyDescent="0.25">
      <c r="A99" s="37">
        <v>43487</v>
      </c>
      <c r="B99" s="17">
        <v>230.93999999999997</v>
      </c>
      <c r="C99" s="54">
        <f t="shared" si="4"/>
        <v>231.36542215568863</v>
      </c>
      <c r="D99" s="54">
        <f t="shared" si="5"/>
        <v>1.1814497745881174</v>
      </c>
      <c r="E99" s="54">
        <f t="shared" si="6"/>
        <v>-0.42542215568866482</v>
      </c>
      <c r="F99" s="54">
        <f t="shared" si="7"/>
        <v>-0.36008484223290615</v>
      </c>
    </row>
    <row r="100" spans="1:6" x14ac:dyDescent="0.25">
      <c r="A100" s="37">
        <v>43518</v>
      </c>
      <c r="B100" s="17">
        <v>231.14833333333331</v>
      </c>
      <c r="C100" s="54">
        <f t="shared" si="4"/>
        <v>231.36542215568863</v>
      </c>
      <c r="D100" s="54">
        <f t="shared" si="5"/>
        <v>1.1814497745881174</v>
      </c>
      <c r="E100" s="54">
        <f t="shared" si="6"/>
        <v>-0.21708882235532201</v>
      </c>
      <c r="F100" s="54">
        <f t="shared" si="7"/>
        <v>-0.18374782155339997</v>
      </c>
    </row>
    <row r="101" spans="1:6" x14ac:dyDescent="0.25">
      <c r="A101" s="37">
        <v>43546</v>
      </c>
      <c r="B101" s="17">
        <v>231.35666666666665</v>
      </c>
      <c r="C101" s="54">
        <f t="shared" si="4"/>
        <v>231.36542215568863</v>
      </c>
      <c r="D101" s="54">
        <f t="shared" si="5"/>
        <v>1.1814497745881174</v>
      </c>
      <c r="E101" s="54">
        <f t="shared" si="6"/>
        <v>-8.7554890219792014E-3</v>
      </c>
      <c r="F101" s="54">
        <f t="shared" si="7"/>
        <v>-7.4108008738937563E-3</v>
      </c>
    </row>
    <row r="102" spans="1:6" x14ac:dyDescent="0.25">
      <c r="A102" s="37">
        <v>43577</v>
      </c>
      <c r="B102" s="17">
        <v>231.46666666666667</v>
      </c>
      <c r="C102" s="54">
        <f t="shared" si="4"/>
        <v>231.36542215568863</v>
      </c>
      <c r="D102" s="54">
        <f t="shared" si="5"/>
        <v>1.1814497745881174</v>
      </c>
      <c r="E102" s="54">
        <f t="shared" si="6"/>
        <v>0.10124451097803444</v>
      </c>
      <c r="F102" s="54">
        <f t="shared" si="7"/>
        <v>8.5695146044892839E-2</v>
      </c>
    </row>
    <row r="103" spans="1:6" x14ac:dyDescent="0.25">
      <c r="A103" s="37">
        <v>43607</v>
      </c>
      <c r="B103" s="17">
        <v>231.69000000000003</v>
      </c>
      <c r="C103" s="54">
        <f t="shared" si="4"/>
        <v>231.36542215568863</v>
      </c>
      <c r="D103" s="54">
        <f t="shared" si="5"/>
        <v>1.1814497745881174</v>
      </c>
      <c r="E103" s="54">
        <f t="shared" si="6"/>
        <v>0.32457784431139203</v>
      </c>
      <c r="F103" s="54">
        <f t="shared" si="7"/>
        <v>0.27472843221333543</v>
      </c>
    </row>
    <row r="104" spans="1:6" x14ac:dyDescent="0.25">
      <c r="A104" s="37">
        <v>43638</v>
      </c>
      <c r="B104" s="17">
        <v>231.22</v>
      </c>
      <c r="C104" s="54">
        <f t="shared" si="4"/>
        <v>231.36542215568863</v>
      </c>
      <c r="D104" s="54">
        <f t="shared" si="5"/>
        <v>1.1814497745881174</v>
      </c>
      <c r="E104" s="54">
        <f t="shared" si="6"/>
        <v>-0.14542215568863526</v>
      </c>
      <c r="F104" s="54">
        <f t="shared" si="7"/>
        <v>-0.12308788643963559</v>
      </c>
    </row>
    <row r="105" spans="1:6" x14ac:dyDescent="0.25">
      <c r="A105" s="37">
        <v>43668</v>
      </c>
      <c r="B105" s="17">
        <v>231.13333333333333</v>
      </c>
      <c r="C105" s="54">
        <f t="shared" si="4"/>
        <v>231.36542215568863</v>
      </c>
      <c r="D105" s="54">
        <f t="shared" si="5"/>
        <v>1.1814497745881174</v>
      </c>
      <c r="E105" s="54">
        <f t="shared" si="6"/>
        <v>-0.23208882235530837</v>
      </c>
      <c r="F105" s="54">
        <f t="shared" si="7"/>
        <v>-0.19644408704231228</v>
      </c>
    </row>
    <row r="106" spans="1:6" x14ac:dyDescent="0.25">
      <c r="A106" s="37">
        <v>43699</v>
      </c>
      <c r="B106" s="17">
        <v>228.41499999999999</v>
      </c>
      <c r="C106" s="54">
        <f t="shared" si="4"/>
        <v>231.36542215568863</v>
      </c>
      <c r="D106" s="54">
        <f t="shared" si="5"/>
        <v>1.1814497745881174</v>
      </c>
      <c r="E106" s="54">
        <f t="shared" si="6"/>
        <v>-2.9504221556886421</v>
      </c>
      <c r="F106" s="54">
        <f t="shared" si="7"/>
        <v>-2.4972895328684048</v>
      </c>
    </row>
    <row r="107" spans="1:6" x14ac:dyDescent="0.25">
      <c r="A107" s="37">
        <v>43730</v>
      </c>
      <c r="B107" s="17">
        <v>228.39499999999998</v>
      </c>
      <c r="C107" s="54">
        <f t="shared" si="4"/>
        <v>231.36542215568863</v>
      </c>
      <c r="D107" s="54">
        <f t="shared" si="5"/>
        <v>1.1814497745881174</v>
      </c>
      <c r="E107" s="54">
        <f t="shared" si="6"/>
        <v>-2.9704221556886523</v>
      </c>
      <c r="F107" s="54">
        <f t="shared" si="7"/>
        <v>-2.5142178868536456</v>
      </c>
    </row>
    <row r="108" spans="1:6" x14ac:dyDescent="0.25">
      <c r="A108" s="37">
        <v>43760</v>
      </c>
      <c r="B108" s="17">
        <v>230.82000000000002</v>
      </c>
      <c r="C108" s="54">
        <f t="shared" si="4"/>
        <v>231.36542215568863</v>
      </c>
      <c r="D108" s="54">
        <f t="shared" si="5"/>
        <v>1.1814497745881174</v>
      </c>
      <c r="E108" s="54">
        <f t="shared" si="6"/>
        <v>-0.54542215568861252</v>
      </c>
      <c r="F108" s="54">
        <f t="shared" si="7"/>
        <v>-0.46165496614425289</v>
      </c>
    </row>
    <row r="109" spans="1:6" x14ac:dyDescent="0.25">
      <c r="A109" s="37">
        <v>43791</v>
      </c>
      <c r="B109" s="17">
        <v>230.63666666666668</v>
      </c>
      <c r="C109" s="54">
        <f t="shared" si="4"/>
        <v>231.36542215568863</v>
      </c>
      <c r="D109" s="54">
        <f t="shared" si="5"/>
        <v>1.1814497745881174</v>
      </c>
      <c r="E109" s="54">
        <f t="shared" si="6"/>
        <v>-0.72875548902194964</v>
      </c>
      <c r="F109" s="54">
        <f t="shared" si="7"/>
        <v>-0.61683154434221443</v>
      </c>
    </row>
    <row r="110" spans="1:6" x14ac:dyDescent="0.25">
      <c r="A110" s="37">
        <v>43821</v>
      </c>
      <c r="B110" s="17">
        <v>230.58666666666667</v>
      </c>
      <c r="C110" s="54">
        <f t="shared" si="4"/>
        <v>231.36542215568863</v>
      </c>
      <c r="D110" s="54">
        <f t="shared" si="5"/>
        <v>1.1814497745881174</v>
      </c>
      <c r="E110" s="54">
        <f t="shared" si="6"/>
        <v>-0.77875548902196101</v>
      </c>
      <c r="F110" s="54">
        <f t="shared" si="7"/>
        <v>-0.65915242930530371</v>
      </c>
    </row>
    <row r="111" spans="1:6" x14ac:dyDescent="0.25">
      <c r="A111" s="37">
        <v>43852</v>
      </c>
      <c r="B111" s="17">
        <v>230.99</v>
      </c>
      <c r="C111" s="54">
        <f t="shared" si="4"/>
        <v>231.36542215568863</v>
      </c>
      <c r="D111" s="54">
        <f t="shared" si="5"/>
        <v>1.1814497745881174</v>
      </c>
      <c r="E111" s="54">
        <f t="shared" si="6"/>
        <v>-0.37542215568862503</v>
      </c>
      <c r="F111" s="54">
        <f t="shared" si="7"/>
        <v>-0.31776395726979295</v>
      </c>
    </row>
    <row r="112" spans="1:6" x14ac:dyDescent="0.25">
      <c r="A112" s="37">
        <v>43883</v>
      </c>
      <c r="B112" s="17">
        <v>231.32000000000002</v>
      </c>
      <c r="C112" s="54">
        <f t="shared" si="4"/>
        <v>231.36542215568863</v>
      </c>
      <c r="D112" s="54">
        <f t="shared" si="5"/>
        <v>1.1814497745881174</v>
      </c>
      <c r="E112" s="54">
        <f t="shared" si="6"/>
        <v>-4.542215568861252E-2</v>
      </c>
      <c r="F112" s="54">
        <f t="shared" si="7"/>
        <v>-3.844611651345721E-2</v>
      </c>
    </row>
    <row r="113" spans="1:6" x14ac:dyDescent="0.25">
      <c r="A113" s="37">
        <v>43912</v>
      </c>
      <c r="B113" s="17">
        <v>231.66333333333333</v>
      </c>
      <c r="C113" s="54">
        <f t="shared" si="4"/>
        <v>231.36542215568863</v>
      </c>
      <c r="D113" s="54">
        <f t="shared" si="5"/>
        <v>1.1814497745881174</v>
      </c>
      <c r="E113" s="54">
        <f t="shared" si="6"/>
        <v>0.29791117764469277</v>
      </c>
      <c r="F113" s="54">
        <f t="shared" si="7"/>
        <v>0.2521572935663321</v>
      </c>
    </row>
    <row r="114" spans="1:6" x14ac:dyDescent="0.25">
      <c r="A114" s="37">
        <v>43943</v>
      </c>
      <c r="B114" s="17">
        <v>231.52333333333331</v>
      </c>
      <c r="C114" s="54">
        <f t="shared" si="4"/>
        <v>231.36542215568863</v>
      </c>
      <c r="D114" s="54">
        <f t="shared" si="5"/>
        <v>1.1814497745881174</v>
      </c>
      <c r="E114" s="54">
        <f t="shared" si="6"/>
        <v>0.15791117764467799</v>
      </c>
      <c r="F114" s="54">
        <f t="shared" si="7"/>
        <v>0.13365881566969678</v>
      </c>
    </row>
    <row r="115" spans="1:6" x14ac:dyDescent="0.25">
      <c r="A115" s="51">
        <v>43973</v>
      </c>
      <c r="B115" s="52"/>
      <c r="C115" s="54">
        <f>AVERAGE($B$4:$B$173)</f>
        <v>231.36542215568863</v>
      </c>
      <c r="D115" s="54">
        <f t="shared" si="5"/>
        <v>1.1814497745881174</v>
      </c>
      <c r="E115" s="47"/>
      <c r="F115" s="53"/>
    </row>
    <row r="116" spans="1:6" x14ac:dyDescent="0.25">
      <c r="A116" s="51">
        <v>44004</v>
      </c>
      <c r="B116" s="52"/>
      <c r="C116" s="54">
        <f t="shared" ref="C116:C159" si="8">AVERAGE($B$4:$B$173)</f>
        <v>231.36542215568863</v>
      </c>
      <c r="D116" s="54">
        <f t="shared" si="5"/>
        <v>1.1814497745881174</v>
      </c>
      <c r="E116" s="47"/>
      <c r="F116" s="53"/>
    </row>
    <row r="117" spans="1:6" x14ac:dyDescent="0.25">
      <c r="A117" s="51">
        <v>44034</v>
      </c>
      <c r="B117" s="52"/>
      <c r="C117" s="54">
        <f t="shared" si="8"/>
        <v>231.36542215568863</v>
      </c>
      <c r="D117" s="54">
        <f t="shared" si="5"/>
        <v>1.1814497745881174</v>
      </c>
      <c r="E117" s="47"/>
      <c r="F117" s="53"/>
    </row>
    <row r="118" spans="1:6" x14ac:dyDescent="0.25">
      <c r="A118" s="37">
        <v>44065</v>
      </c>
      <c r="B118" s="50">
        <v>231.61</v>
      </c>
      <c r="C118" s="54">
        <f t="shared" si="8"/>
        <v>231.36542215568863</v>
      </c>
      <c r="D118" s="54">
        <f t="shared" si="5"/>
        <v>1.1814497745881174</v>
      </c>
      <c r="E118" s="30">
        <f t="shared" si="6"/>
        <v>0.24457784431137952</v>
      </c>
      <c r="F118" s="13">
        <f t="shared" si="7"/>
        <v>0.20701501627239755</v>
      </c>
    </row>
    <row r="119" spans="1:6" x14ac:dyDescent="0.25">
      <c r="A119" s="37">
        <v>44096</v>
      </c>
      <c r="B119" s="50">
        <v>231.09</v>
      </c>
      <c r="C119" s="54">
        <f t="shared" si="8"/>
        <v>231.36542215568863</v>
      </c>
      <c r="D119" s="54">
        <f t="shared" si="5"/>
        <v>1.1814497745881174</v>
      </c>
      <c r="E119" s="30">
        <f t="shared" si="6"/>
        <v>-0.27542215568863071</v>
      </c>
      <c r="F119" s="13">
        <f t="shared" si="7"/>
        <v>-0.2331221873436386</v>
      </c>
    </row>
    <row r="120" spans="1:6" x14ac:dyDescent="0.25">
      <c r="A120" s="37">
        <v>44126</v>
      </c>
      <c r="B120" s="50">
        <v>230.64000000000001</v>
      </c>
      <c r="C120" s="54">
        <f t="shared" si="8"/>
        <v>231.36542215568863</v>
      </c>
      <c r="D120" s="54">
        <f t="shared" si="5"/>
        <v>1.1814497745881174</v>
      </c>
      <c r="E120" s="30">
        <f t="shared" si="6"/>
        <v>-0.72542215568861934</v>
      </c>
      <c r="F120" s="13">
        <f t="shared" si="7"/>
        <v>-0.61401015201134512</v>
      </c>
    </row>
    <row r="121" spans="1:6" x14ac:dyDescent="0.25">
      <c r="A121" s="37">
        <v>44157</v>
      </c>
      <c r="B121" s="50">
        <v>230.81666666666669</v>
      </c>
      <c r="C121" s="54">
        <f t="shared" si="8"/>
        <v>231.36542215568863</v>
      </c>
      <c r="D121" s="54">
        <f t="shared" si="5"/>
        <v>1.1814497745881174</v>
      </c>
      <c r="E121" s="30">
        <f t="shared" si="6"/>
        <v>-0.54875548902194282</v>
      </c>
      <c r="F121" s="13">
        <f t="shared" si="7"/>
        <v>-0.46447635847512225</v>
      </c>
    </row>
    <row r="122" spans="1:6" x14ac:dyDescent="0.25">
      <c r="A122" s="37">
        <v>44187</v>
      </c>
      <c r="B122" s="50">
        <v>230.99333333333334</v>
      </c>
      <c r="C122" s="54">
        <f t="shared" si="8"/>
        <v>231.36542215568863</v>
      </c>
      <c r="D122" s="54">
        <f t="shared" si="5"/>
        <v>1.1814497745881174</v>
      </c>
      <c r="E122" s="30">
        <f t="shared" si="6"/>
        <v>-0.37208882235529472</v>
      </c>
      <c r="F122" s="13">
        <f t="shared" si="7"/>
        <v>-0.31494256493892353</v>
      </c>
    </row>
    <row r="123" spans="1:6" x14ac:dyDescent="0.25">
      <c r="A123" s="37">
        <v>44218</v>
      </c>
      <c r="B123" s="50">
        <v>231</v>
      </c>
      <c r="C123" s="54">
        <f t="shared" si="8"/>
        <v>231.36542215568863</v>
      </c>
      <c r="D123" s="54">
        <f t="shared" si="5"/>
        <v>1.1814497745881174</v>
      </c>
      <c r="E123" s="30">
        <f t="shared" si="6"/>
        <v>-0.36542215568863412</v>
      </c>
      <c r="F123" s="13">
        <f t="shared" si="7"/>
        <v>-0.30929978027718469</v>
      </c>
    </row>
    <row r="124" spans="1:6" x14ac:dyDescent="0.25">
      <c r="A124" s="37">
        <v>44249</v>
      </c>
      <c r="B124" s="50">
        <v>231.29666666666665</v>
      </c>
      <c r="C124" s="54">
        <f t="shared" si="8"/>
        <v>231.36542215568863</v>
      </c>
      <c r="D124" s="54">
        <f t="shared" si="5"/>
        <v>1.1814497745881174</v>
      </c>
      <c r="E124" s="30">
        <f t="shared" si="6"/>
        <v>-6.8755489021981475E-2</v>
      </c>
      <c r="F124" s="13">
        <f t="shared" si="7"/>
        <v>-5.8195862829591161E-2</v>
      </c>
    </row>
    <row r="125" spans="1:6" x14ac:dyDescent="0.25">
      <c r="A125" s="37">
        <v>44277</v>
      </c>
      <c r="B125" s="50">
        <v>233.99666666666667</v>
      </c>
      <c r="C125" s="54">
        <f t="shared" si="8"/>
        <v>231.36542215568863</v>
      </c>
      <c r="D125" s="54">
        <f t="shared" si="5"/>
        <v>1.1814497745881174</v>
      </c>
      <c r="E125" s="30">
        <f t="shared" si="6"/>
        <v>2.6312445109780356</v>
      </c>
      <c r="F125" s="13">
        <f t="shared" si="7"/>
        <v>2.2271319251767197</v>
      </c>
    </row>
    <row r="126" spans="1:6" x14ac:dyDescent="0.25">
      <c r="A126" s="37">
        <v>44308</v>
      </c>
      <c r="B126" s="50">
        <v>233.48333333333335</v>
      </c>
      <c r="C126" s="54">
        <f t="shared" si="8"/>
        <v>231.36542215568863</v>
      </c>
      <c r="D126" s="54">
        <f t="shared" si="5"/>
        <v>1.1814497745881174</v>
      </c>
      <c r="E126" s="30">
        <f t="shared" si="6"/>
        <v>2.1179111776447144</v>
      </c>
      <c r="F126" s="13">
        <f t="shared" si="7"/>
        <v>1.7926375062224464</v>
      </c>
    </row>
    <row r="127" spans="1:6" x14ac:dyDescent="0.25">
      <c r="A127" s="37">
        <v>44338</v>
      </c>
      <c r="B127" s="50">
        <v>232.81666666666669</v>
      </c>
      <c r="C127" s="54">
        <f t="shared" si="8"/>
        <v>231.36542215568863</v>
      </c>
      <c r="D127" s="54">
        <f t="shared" si="5"/>
        <v>1.1814497745881174</v>
      </c>
      <c r="E127" s="30">
        <f t="shared" si="6"/>
        <v>1.4512445109780572</v>
      </c>
      <c r="F127" s="13">
        <f t="shared" si="7"/>
        <v>1.2283590400480604</v>
      </c>
    </row>
    <row r="128" spans="1:6" x14ac:dyDescent="0.25">
      <c r="A128" s="37">
        <v>44369</v>
      </c>
      <c r="B128" s="50">
        <v>232.44000000000003</v>
      </c>
      <c r="C128" s="54">
        <f t="shared" si="8"/>
        <v>231.36542215568863</v>
      </c>
      <c r="D128" s="54">
        <f t="shared" si="5"/>
        <v>1.1814497745881174</v>
      </c>
      <c r="E128" s="30">
        <f t="shared" si="6"/>
        <v>1.074577844311392</v>
      </c>
      <c r="F128" s="13">
        <f t="shared" si="7"/>
        <v>0.90954170665952894</v>
      </c>
    </row>
    <row r="129" spans="1:6" x14ac:dyDescent="0.25">
      <c r="A129" s="37">
        <v>44399</v>
      </c>
      <c r="B129" s="50">
        <v>232.11333333333332</v>
      </c>
      <c r="C129" s="54">
        <f t="shared" si="8"/>
        <v>231.36542215568863</v>
      </c>
      <c r="D129" s="54">
        <f t="shared" si="5"/>
        <v>1.1814497745881174</v>
      </c>
      <c r="E129" s="30">
        <f t="shared" si="6"/>
        <v>0.7479111776446814</v>
      </c>
      <c r="F129" s="13">
        <f t="shared" si="7"/>
        <v>0.63304525823403857</v>
      </c>
    </row>
    <row r="130" spans="1:6" x14ac:dyDescent="0.25">
      <c r="A130" s="37">
        <v>44430</v>
      </c>
      <c r="B130" s="50">
        <v>231.87666666666667</v>
      </c>
      <c r="C130" s="54">
        <f t="shared" si="8"/>
        <v>231.36542215568863</v>
      </c>
      <c r="D130" s="54">
        <f t="shared" si="5"/>
        <v>1.1814497745881174</v>
      </c>
      <c r="E130" s="30">
        <f t="shared" si="6"/>
        <v>0.51124451097803103</v>
      </c>
      <c r="F130" s="13">
        <f t="shared" si="7"/>
        <v>0.43272640274214241</v>
      </c>
    </row>
    <row r="131" spans="1:6" x14ac:dyDescent="0.25">
      <c r="A131" s="37">
        <v>44461</v>
      </c>
      <c r="B131" s="50">
        <v>231.70666666666668</v>
      </c>
      <c r="C131" s="54">
        <f t="shared" si="8"/>
        <v>231.36542215568863</v>
      </c>
      <c r="D131" s="54">
        <f t="shared" si="5"/>
        <v>1.1814497745881174</v>
      </c>
      <c r="E131" s="30">
        <f t="shared" si="6"/>
        <v>0.34124451097804354</v>
      </c>
      <c r="F131" s="13">
        <f t="shared" si="7"/>
        <v>0.28883539386768248</v>
      </c>
    </row>
    <row r="132" spans="1:6" x14ac:dyDescent="0.25">
      <c r="A132" s="37">
        <v>44491</v>
      </c>
      <c r="B132" s="50">
        <v>231.75</v>
      </c>
      <c r="C132" s="54">
        <f t="shared" si="8"/>
        <v>231.36542215568863</v>
      </c>
      <c r="D132" s="54">
        <f t="shared" si="5"/>
        <v>1.1814497745881174</v>
      </c>
      <c r="E132" s="30">
        <f t="shared" si="6"/>
        <v>0.38457784431136588</v>
      </c>
      <c r="F132" s="13">
        <f t="shared" si="7"/>
        <v>0.32551349416900877</v>
      </c>
    </row>
    <row r="133" spans="1:6" x14ac:dyDescent="0.25">
      <c r="A133" s="37">
        <v>44522</v>
      </c>
      <c r="B133" s="50">
        <v>231.92</v>
      </c>
      <c r="C133" s="54">
        <f t="shared" si="8"/>
        <v>231.36542215568863</v>
      </c>
      <c r="D133" s="54">
        <f t="shared" ref="D133:D173" si="9">_xlfn.STDEV.S($B$4:$B$173)</f>
        <v>1.1814497745881174</v>
      </c>
      <c r="E133" s="30">
        <f t="shared" ref="E133:E173" si="10">B133-C133</f>
        <v>0.55457784431135337</v>
      </c>
      <c r="F133" s="13">
        <f t="shared" ref="F133:F143" si="11">E133/D133</f>
        <v>0.4694045030434687</v>
      </c>
    </row>
    <row r="134" spans="1:6" x14ac:dyDescent="0.25">
      <c r="A134" s="37">
        <v>44552</v>
      </c>
      <c r="B134" s="50">
        <v>231.41333333333333</v>
      </c>
      <c r="C134" s="54">
        <f t="shared" si="8"/>
        <v>231.36542215568863</v>
      </c>
      <c r="D134" s="54">
        <f t="shared" si="9"/>
        <v>1.1814497745881174</v>
      </c>
      <c r="E134" s="30">
        <f t="shared" si="10"/>
        <v>4.7911177644692771E-2</v>
      </c>
      <c r="F134" s="13">
        <f t="shared" si="11"/>
        <v>4.0552868750934244E-2</v>
      </c>
    </row>
    <row r="135" spans="1:6" x14ac:dyDescent="0.25">
      <c r="A135" s="37">
        <v>44583</v>
      </c>
      <c r="B135" s="50">
        <v>231.42666666666665</v>
      </c>
      <c r="C135" s="54">
        <f t="shared" si="8"/>
        <v>231.36542215568863</v>
      </c>
      <c r="D135" s="54">
        <f t="shared" si="9"/>
        <v>1.1814497745881174</v>
      </c>
      <c r="E135" s="30">
        <f t="shared" si="10"/>
        <v>6.1244510978013977E-2</v>
      </c>
      <c r="F135" s="13">
        <f t="shared" si="11"/>
        <v>5.1838438074411859E-2</v>
      </c>
    </row>
    <row r="136" spans="1:6" x14ac:dyDescent="0.25">
      <c r="A136" s="37">
        <v>44614</v>
      </c>
      <c r="B136" s="50">
        <v>232.75</v>
      </c>
      <c r="C136" s="54">
        <f t="shared" si="8"/>
        <v>231.36542215568863</v>
      </c>
      <c r="D136" s="54">
        <f t="shared" si="9"/>
        <v>1.1814497745881174</v>
      </c>
      <c r="E136" s="30">
        <f t="shared" si="10"/>
        <v>1.3845778443113659</v>
      </c>
      <c r="F136" s="13">
        <f t="shared" si="11"/>
        <v>1.1719311934306</v>
      </c>
    </row>
    <row r="137" spans="1:6" x14ac:dyDescent="0.25">
      <c r="A137" s="37">
        <v>44642</v>
      </c>
      <c r="B137" s="50">
        <v>232.47666666666666</v>
      </c>
      <c r="C137" s="54">
        <f t="shared" si="8"/>
        <v>231.36542215568863</v>
      </c>
      <c r="D137" s="54">
        <f t="shared" si="9"/>
        <v>1.1814497745881174</v>
      </c>
      <c r="E137" s="30">
        <f t="shared" si="10"/>
        <v>1.1112445109780253</v>
      </c>
      <c r="F137" s="13">
        <f t="shared" si="11"/>
        <v>0.94057702229909235</v>
      </c>
    </row>
    <row r="138" spans="1:6" x14ac:dyDescent="0.25">
      <c r="A138" s="37">
        <v>44673</v>
      </c>
      <c r="B138" s="50">
        <v>232.01333333333332</v>
      </c>
      <c r="C138" s="54">
        <f t="shared" si="8"/>
        <v>231.36542215568863</v>
      </c>
      <c r="D138" s="54">
        <f t="shared" si="9"/>
        <v>1.1814497745881174</v>
      </c>
      <c r="E138" s="30">
        <f t="shared" si="10"/>
        <v>0.64791117764468709</v>
      </c>
      <c r="F138" s="13">
        <f t="shared" si="11"/>
        <v>0.54840348830788421</v>
      </c>
    </row>
    <row r="139" spans="1:6" x14ac:dyDescent="0.25">
      <c r="A139" s="37">
        <v>44703</v>
      </c>
      <c r="B139" s="50">
        <v>231.97</v>
      </c>
      <c r="C139" s="54">
        <f t="shared" si="8"/>
        <v>231.36542215568863</v>
      </c>
      <c r="D139" s="54">
        <f t="shared" si="9"/>
        <v>1.1814497745881174</v>
      </c>
      <c r="E139" s="30">
        <f t="shared" si="10"/>
        <v>0.60457784431136474</v>
      </c>
      <c r="F139" s="13">
        <f t="shared" si="11"/>
        <v>0.51172538800655787</v>
      </c>
    </row>
    <row r="140" spans="1:6" x14ac:dyDescent="0.25">
      <c r="A140" s="37">
        <v>44734</v>
      </c>
      <c r="B140" s="50">
        <v>231.99</v>
      </c>
      <c r="C140" s="54">
        <f t="shared" si="8"/>
        <v>231.36542215568863</v>
      </c>
      <c r="D140" s="54">
        <f t="shared" si="9"/>
        <v>1.1814497745881174</v>
      </c>
      <c r="E140" s="30">
        <f t="shared" si="10"/>
        <v>0.62457784431137497</v>
      </c>
      <c r="F140" s="13">
        <f t="shared" si="11"/>
        <v>0.52865374199179838</v>
      </c>
    </row>
    <row r="141" spans="1:6" x14ac:dyDescent="0.25">
      <c r="A141" s="37">
        <v>44764</v>
      </c>
      <c r="B141" s="50">
        <v>232.18000000000004</v>
      </c>
      <c r="C141" s="54">
        <f t="shared" si="8"/>
        <v>231.36542215568863</v>
      </c>
      <c r="D141" s="54">
        <f t="shared" si="9"/>
        <v>1.1814497745881174</v>
      </c>
      <c r="E141" s="30">
        <f t="shared" si="10"/>
        <v>0.81457784431140112</v>
      </c>
      <c r="F141" s="13">
        <f t="shared" si="11"/>
        <v>0.68947310485152291</v>
      </c>
    </row>
    <row r="142" spans="1:6" x14ac:dyDescent="0.25">
      <c r="A142" s="37">
        <v>44795</v>
      </c>
      <c r="B142" s="50">
        <v>231.79399999999998</v>
      </c>
      <c r="C142" s="54">
        <f t="shared" si="8"/>
        <v>231.36542215568863</v>
      </c>
      <c r="D142" s="54">
        <f t="shared" si="9"/>
        <v>1.1814497745881174</v>
      </c>
      <c r="E142" s="30">
        <f t="shared" si="10"/>
        <v>0.4285778443113486</v>
      </c>
      <c r="F142" s="13">
        <f t="shared" si="11"/>
        <v>0.36275587293650419</v>
      </c>
    </row>
    <row r="143" spans="1:6" x14ac:dyDescent="0.25">
      <c r="A143" s="37">
        <v>44826</v>
      </c>
      <c r="B143" s="50">
        <v>231.62666666666667</v>
      </c>
      <c r="C143" s="54">
        <f t="shared" si="8"/>
        <v>231.36542215568863</v>
      </c>
      <c r="D143" s="54">
        <f t="shared" si="9"/>
        <v>1.1814497745881174</v>
      </c>
      <c r="E143" s="30">
        <f t="shared" si="10"/>
        <v>0.26124451097803103</v>
      </c>
      <c r="F143" s="13">
        <f t="shared" si="11"/>
        <v>0.22112197792674457</v>
      </c>
    </row>
    <row r="144" spans="1:6" x14ac:dyDescent="0.25">
      <c r="A144" s="37">
        <v>44856</v>
      </c>
      <c r="B144" s="50">
        <v>231.36333333333334</v>
      </c>
      <c r="C144" s="54">
        <f t="shared" si="8"/>
        <v>231.36542215568863</v>
      </c>
      <c r="D144" s="54">
        <f t="shared" si="9"/>
        <v>1.1814497745881174</v>
      </c>
      <c r="E144" s="30">
        <f t="shared" si="10"/>
        <v>-2.0888223552901763E-3</v>
      </c>
      <c r="F144" s="13">
        <f>E144/D144</f>
        <v>-1.7680162121308893E-3</v>
      </c>
    </row>
    <row r="145" spans="1:6" x14ac:dyDescent="0.25">
      <c r="A145" s="37">
        <v>44887</v>
      </c>
      <c r="B145" s="50">
        <v>231.05666666666664</v>
      </c>
      <c r="C145" s="54">
        <f t="shared" si="8"/>
        <v>231.36542215568863</v>
      </c>
      <c r="D145" s="54">
        <f t="shared" si="9"/>
        <v>1.1814497745881174</v>
      </c>
      <c r="E145" s="30">
        <f t="shared" si="10"/>
        <v>-0.30875548902199057</v>
      </c>
      <c r="F145" s="13">
        <f t="shared" ref="F145:F173" si="12">E145/D145</f>
        <v>-0.26133611065238077</v>
      </c>
    </row>
    <row r="146" spans="1:6" x14ac:dyDescent="0.25">
      <c r="A146" s="37">
        <v>44917</v>
      </c>
      <c r="B146" s="50">
        <v>231.21333333333334</v>
      </c>
      <c r="C146" s="54">
        <f t="shared" si="8"/>
        <v>231.36542215568863</v>
      </c>
      <c r="D146" s="54">
        <f t="shared" si="9"/>
        <v>1.1814497745881174</v>
      </c>
      <c r="E146" s="30">
        <f t="shared" si="10"/>
        <v>-0.15208882235529586</v>
      </c>
      <c r="F146" s="13">
        <f t="shared" si="12"/>
        <v>-0.1287306711013744</v>
      </c>
    </row>
    <row r="147" spans="1:6" x14ac:dyDescent="0.25">
      <c r="A147" s="37">
        <v>44949</v>
      </c>
      <c r="B147" s="50">
        <v>231.56666666666663</v>
      </c>
      <c r="C147" s="54">
        <f t="shared" si="8"/>
        <v>231.36542215568863</v>
      </c>
      <c r="D147" s="54">
        <f t="shared" si="9"/>
        <v>1.1814497745881174</v>
      </c>
      <c r="E147" s="30">
        <f t="shared" si="10"/>
        <v>0.20124451097800033</v>
      </c>
      <c r="F147" s="13">
        <f t="shared" si="12"/>
        <v>0.1703369159710231</v>
      </c>
    </row>
    <row r="148" spans="1:6" x14ac:dyDescent="0.25">
      <c r="A148" s="37">
        <v>44980</v>
      </c>
      <c r="B148" s="50">
        <v>231.70666666666668</v>
      </c>
      <c r="C148" s="54">
        <f t="shared" si="8"/>
        <v>231.36542215568863</v>
      </c>
      <c r="D148" s="54">
        <f t="shared" si="9"/>
        <v>1.1814497745881174</v>
      </c>
      <c r="E148" s="30">
        <f t="shared" si="10"/>
        <v>0.34124451097804354</v>
      </c>
      <c r="F148" s="13">
        <f t="shared" si="12"/>
        <v>0.28883539386768248</v>
      </c>
    </row>
    <row r="149" spans="1:6" x14ac:dyDescent="0.25">
      <c r="A149" s="37">
        <v>45008</v>
      </c>
      <c r="B149" s="50">
        <v>232.86666666666665</v>
      </c>
      <c r="C149" s="54">
        <f t="shared" si="8"/>
        <v>231.36542215568863</v>
      </c>
      <c r="D149" s="54">
        <f t="shared" si="9"/>
        <v>1.1814497745881174</v>
      </c>
      <c r="E149" s="30">
        <f t="shared" si="10"/>
        <v>1.5012445109780117</v>
      </c>
      <c r="F149" s="13">
        <f t="shared" si="12"/>
        <v>1.2706799250111014</v>
      </c>
    </row>
    <row r="150" spans="1:6" x14ac:dyDescent="0.25">
      <c r="A150" s="37">
        <v>45039</v>
      </c>
      <c r="B150" s="50">
        <v>233.61666666666667</v>
      </c>
      <c r="C150" s="54">
        <f t="shared" si="8"/>
        <v>231.36542215568863</v>
      </c>
      <c r="D150" s="54">
        <f t="shared" si="9"/>
        <v>1.1814497745881174</v>
      </c>
      <c r="E150" s="30">
        <f t="shared" si="10"/>
        <v>2.2512445109780401</v>
      </c>
      <c r="F150" s="13">
        <f t="shared" si="12"/>
        <v>1.905493199457319</v>
      </c>
    </row>
    <row r="151" spans="1:6" x14ac:dyDescent="0.25">
      <c r="A151" s="37">
        <v>45069</v>
      </c>
      <c r="B151" s="50">
        <v>232.47333333333333</v>
      </c>
      <c r="C151" s="54">
        <f t="shared" si="8"/>
        <v>231.36542215568863</v>
      </c>
      <c r="D151" s="54">
        <f t="shared" si="9"/>
        <v>1.1814497745881174</v>
      </c>
      <c r="E151" s="30">
        <f t="shared" si="10"/>
        <v>1.107911177644695</v>
      </c>
      <c r="F151" s="13">
        <f t="shared" si="12"/>
        <v>0.93775562996822293</v>
      </c>
    </row>
    <row r="152" spans="1:6" x14ac:dyDescent="0.25">
      <c r="A152" s="37">
        <v>45100</v>
      </c>
      <c r="B152" s="50">
        <v>232.17333333333332</v>
      </c>
      <c r="C152" s="54">
        <f t="shared" si="8"/>
        <v>231.36542215568863</v>
      </c>
      <c r="D152" s="54">
        <f t="shared" si="9"/>
        <v>1.1814497745881174</v>
      </c>
      <c r="E152" s="30">
        <f t="shared" si="10"/>
        <v>0.80791117764468368</v>
      </c>
      <c r="F152" s="13">
        <f t="shared" si="12"/>
        <v>0.683830320189736</v>
      </c>
    </row>
    <row r="153" spans="1:6" x14ac:dyDescent="0.25">
      <c r="A153" s="37">
        <v>45130</v>
      </c>
      <c r="B153" s="50">
        <v>231.89666666666668</v>
      </c>
      <c r="C153" s="54">
        <f t="shared" si="8"/>
        <v>231.36542215568863</v>
      </c>
      <c r="D153" s="54">
        <f t="shared" si="9"/>
        <v>1.1814497745881174</v>
      </c>
      <c r="E153" s="30">
        <f t="shared" si="10"/>
        <v>0.53124451097804126</v>
      </c>
      <c r="F153" s="13">
        <f t="shared" si="12"/>
        <v>0.44965475672738286</v>
      </c>
    </row>
    <row r="154" spans="1:6" x14ac:dyDescent="0.25">
      <c r="A154" s="37">
        <v>45161</v>
      </c>
      <c r="B154" s="50">
        <v>231.49333333333334</v>
      </c>
      <c r="C154" s="54">
        <f t="shared" si="8"/>
        <v>231.36542215568863</v>
      </c>
      <c r="D154" s="54">
        <f t="shared" si="9"/>
        <v>1.1814497745881174</v>
      </c>
      <c r="E154" s="30">
        <f t="shared" si="10"/>
        <v>0.12791117764470528</v>
      </c>
      <c r="F154" s="13">
        <f t="shared" si="12"/>
        <v>0.10826628469187213</v>
      </c>
    </row>
    <row r="155" spans="1:6" x14ac:dyDescent="0.25">
      <c r="A155" s="37">
        <v>45192</v>
      </c>
      <c r="B155" s="50">
        <v>231.12666666666667</v>
      </c>
      <c r="C155" s="54">
        <f t="shared" si="8"/>
        <v>231.36542215568863</v>
      </c>
      <c r="D155" s="54">
        <f t="shared" si="9"/>
        <v>1.1814497745881174</v>
      </c>
      <c r="E155" s="30">
        <f t="shared" si="10"/>
        <v>-0.23875548902196897</v>
      </c>
      <c r="F155" s="13">
        <f t="shared" si="12"/>
        <v>-0.2020868717040511</v>
      </c>
    </row>
    <row r="156" spans="1:6" x14ac:dyDescent="0.25">
      <c r="A156" s="37">
        <v>45222</v>
      </c>
      <c r="B156" s="50">
        <v>231.02666666666667</v>
      </c>
      <c r="C156" s="54">
        <f t="shared" si="8"/>
        <v>231.36542215568863</v>
      </c>
      <c r="D156" s="54">
        <f t="shared" si="9"/>
        <v>1.1814497745881174</v>
      </c>
      <c r="E156" s="30">
        <f t="shared" si="10"/>
        <v>-0.33875548902196329</v>
      </c>
      <c r="F156" s="13">
        <f t="shared" si="12"/>
        <v>-0.28672864163020539</v>
      </c>
    </row>
    <row r="157" spans="1:6" x14ac:dyDescent="0.25">
      <c r="A157" s="37">
        <v>45253</v>
      </c>
      <c r="B157" s="50">
        <v>230.99</v>
      </c>
      <c r="C157" s="54">
        <f t="shared" si="8"/>
        <v>231.36542215568863</v>
      </c>
      <c r="D157" s="54">
        <f t="shared" si="9"/>
        <v>1.1814497745881174</v>
      </c>
      <c r="E157" s="30">
        <f t="shared" si="10"/>
        <v>-0.37542215568862503</v>
      </c>
      <c r="F157" s="13">
        <f t="shared" si="12"/>
        <v>-0.31776395726979295</v>
      </c>
    </row>
    <row r="158" spans="1:6" x14ac:dyDescent="0.25">
      <c r="A158" s="37">
        <v>45283</v>
      </c>
      <c r="B158" s="50">
        <v>231.00666666666666</v>
      </c>
      <c r="C158" s="54">
        <f t="shared" si="8"/>
        <v>231.36542215568863</v>
      </c>
      <c r="D158" s="54">
        <f t="shared" si="9"/>
        <v>1.1814497745881174</v>
      </c>
      <c r="E158" s="30">
        <f t="shared" si="10"/>
        <v>-0.35875548902197352</v>
      </c>
      <c r="F158" s="13">
        <f t="shared" si="12"/>
        <v>-0.3036569956154459</v>
      </c>
    </row>
    <row r="159" spans="1:6" x14ac:dyDescent="0.25">
      <c r="A159" s="37">
        <v>45315</v>
      </c>
      <c r="B159" s="50">
        <v>231.25</v>
      </c>
      <c r="C159" s="54">
        <f t="shared" si="8"/>
        <v>231.36542215568863</v>
      </c>
      <c r="D159" s="54">
        <f t="shared" si="9"/>
        <v>1.1814497745881174</v>
      </c>
      <c r="E159" s="30">
        <f t="shared" si="10"/>
        <v>-0.11542215568863412</v>
      </c>
      <c r="F159" s="13">
        <f t="shared" si="12"/>
        <v>-9.7695355461786884E-2</v>
      </c>
    </row>
    <row r="160" spans="1:6" x14ac:dyDescent="0.25">
      <c r="A160" s="37">
        <v>45346</v>
      </c>
      <c r="B160" s="50">
        <v>231.99</v>
      </c>
      <c r="C160" s="30">
        <f t="shared" ref="C160:C173" si="13">AVERAGE($B$4:$B$173)</f>
        <v>231.36542215568863</v>
      </c>
      <c r="D160" s="54">
        <f t="shared" si="9"/>
        <v>1.1814497745881174</v>
      </c>
      <c r="E160" s="30">
        <f t="shared" si="10"/>
        <v>0.62457784431137497</v>
      </c>
      <c r="F160" s="13">
        <f t="shared" si="12"/>
        <v>0.52865374199179838</v>
      </c>
    </row>
    <row r="161" spans="1:6" x14ac:dyDescent="0.25">
      <c r="A161" s="37">
        <v>45375</v>
      </c>
      <c r="B161" s="50">
        <v>231.95000000000002</v>
      </c>
      <c r="C161" s="30">
        <f t="shared" si="13"/>
        <v>231.36542215568863</v>
      </c>
      <c r="D161" s="54">
        <f t="shared" si="9"/>
        <v>1.1814497745881174</v>
      </c>
      <c r="E161" s="30">
        <f t="shared" si="10"/>
        <v>0.58457784431138293</v>
      </c>
      <c r="F161" s="13">
        <f t="shared" si="12"/>
        <v>0.49479703402134145</v>
      </c>
    </row>
    <row r="162" spans="1:6" x14ac:dyDescent="0.25">
      <c r="A162" s="37">
        <v>45406</v>
      </c>
      <c r="B162" s="50">
        <v>231.86666666666667</v>
      </c>
      <c r="C162" s="30">
        <f t="shared" si="13"/>
        <v>231.36542215568863</v>
      </c>
      <c r="D162" s="54">
        <f t="shared" si="9"/>
        <v>1.1814497745881174</v>
      </c>
      <c r="E162" s="30">
        <f t="shared" si="10"/>
        <v>0.50124451097804013</v>
      </c>
      <c r="F162" s="13">
        <f t="shared" si="12"/>
        <v>0.42426222574953415</v>
      </c>
    </row>
    <row r="163" spans="1:6" x14ac:dyDescent="0.25">
      <c r="A163" s="37">
        <v>45436</v>
      </c>
      <c r="B163" s="50">
        <v>231.96</v>
      </c>
      <c r="C163" s="30">
        <f t="shared" si="13"/>
        <v>231.36542215568863</v>
      </c>
      <c r="D163" s="54">
        <f t="shared" si="9"/>
        <v>1.1814497745881174</v>
      </c>
      <c r="E163" s="30">
        <f t="shared" si="10"/>
        <v>0.59457784431137384</v>
      </c>
      <c r="F163" s="13">
        <f t="shared" si="12"/>
        <v>0.50326121101394972</v>
      </c>
    </row>
    <row r="164" spans="1:6" x14ac:dyDescent="0.25">
      <c r="A164" s="37">
        <v>45468</v>
      </c>
      <c r="B164" s="50">
        <v>231.71333333333334</v>
      </c>
      <c r="C164" s="30">
        <f t="shared" si="13"/>
        <v>231.36542215568863</v>
      </c>
      <c r="D164" s="54">
        <f t="shared" si="9"/>
        <v>1.1814497745881174</v>
      </c>
      <c r="E164" s="30">
        <f t="shared" si="10"/>
        <v>0.34791117764470414</v>
      </c>
      <c r="F164" s="13">
        <f t="shared" si="12"/>
        <v>0.29447817852942126</v>
      </c>
    </row>
    <row r="165" spans="1:6" x14ac:dyDescent="0.25">
      <c r="A165" s="37">
        <v>45500</v>
      </c>
      <c r="B165" s="15">
        <v>231.65333333333334</v>
      </c>
      <c r="C165" s="30">
        <f t="shared" si="13"/>
        <v>231.36542215568863</v>
      </c>
      <c r="D165" s="54">
        <f t="shared" si="9"/>
        <v>1.1814497745881174</v>
      </c>
      <c r="E165" s="30">
        <f t="shared" si="10"/>
        <v>0.28791117764470187</v>
      </c>
      <c r="F165" s="13">
        <f t="shared" si="12"/>
        <v>0.24369311657372386</v>
      </c>
    </row>
    <row r="166" spans="1:6" x14ac:dyDescent="0.25">
      <c r="A166" s="38">
        <v>45514</v>
      </c>
      <c r="B166" s="15">
        <v>231.37833333333333</v>
      </c>
      <c r="C166" s="30">
        <f t="shared" si="13"/>
        <v>231.36542215568863</v>
      </c>
      <c r="D166" s="54">
        <f t="shared" si="9"/>
        <v>1.1814497745881174</v>
      </c>
      <c r="E166" s="30">
        <f t="shared" si="10"/>
        <v>1.2911177644696181E-2</v>
      </c>
      <c r="F166" s="13">
        <f t="shared" si="12"/>
        <v>1.0928249276781434E-2</v>
      </c>
    </row>
    <row r="167" spans="1:6" x14ac:dyDescent="0.25">
      <c r="A167" s="38">
        <v>45545</v>
      </c>
      <c r="B167" s="15">
        <v>231.15666666666667</v>
      </c>
      <c r="C167" s="30">
        <f t="shared" si="13"/>
        <v>231.36542215568863</v>
      </c>
      <c r="D167" s="54">
        <f t="shared" si="9"/>
        <v>1.1814497745881174</v>
      </c>
      <c r="E167" s="30">
        <f t="shared" si="10"/>
        <v>-0.20875548902196783</v>
      </c>
      <c r="F167" s="13">
        <f t="shared" si="12"/>
        <v>-0.17669434072620241</v>
      </c>
    </row>
    <row r="168" spans="1:6" x14ac:dyDescent="0.25">
      <c r="A168" s="38">
        <v>45575</v>
      </c>
      <c r="B168" s="15">
        <v>231.04333333333332</v>
      </c>
      <c r="C168" s="30">
        <f t="shared" si="13"/>
        <v>231.36542215568863</v>
      </c>
      <c r="D168" s="54">
        <f t="shared" si="9"/>
        <v>1.1814497745881174</v>
      </c>
      <c r="E168" s="30">
        <f t="shared" si="10"/>
        <v>-0.32208882235531178</v>
      </c>
      <c r="F168" s="13">
        <f t="shared" si="12"/>
        <v>-0.2726216799758584</v>
      </c>
    </row>
    <row r="169" spans="1:6" x14ac:dyDescent="0.25">
      <c r="A169" s="38">
        <v>45606</v>
      </c>
      <c r="B169" s="15">
        <v>230.6933333333333</v>
      </c>
      <c r="C169" s="30">
        <f t="shared" si="13"/>
        <v>231.36542215568863</v>
      </c>
      <c r="D169" s="54">
        <f t="shared" si="9"/>
        <v>1.1814497745881174</v>
      </c>
      <c r="E169" s="30">
        <f t="shared" si="10"/>
        <v>-0.67208882235533451</v>
      </c>
      <c r="F169" s="13">
        <f t="shared" si="12"/>
        <v>-0.56886787471743461</v>
      </c>
    </row>
    <row r="170" spans="1:6" x14ac:dyDescent="0.25">
      <c r="A170" s="38">
        <v>45636</v>
      </c>
      <c r="B170" s="15">
        <v>230.89333333333332</v>
      </c>
      <c r="C170" s="30">
        <f t="shared" si="13"/>
        <v>231.36542215568863</v>
      </c>
      <c r="D170" s="54">
        <f t="shared" si="9"/>
        <v>1.1814497745881174</v>
      </c>
      <c r="E170" s="30">
        <f t="shared" si="10"/>
        <v>-0.47208882235531746</v>
      </c>
      <c r="F170" s="13">
        <f t="shared" si="12"/>
        <v>-0.39958433486510192</v>
      </c>
    </row>
    <row r="171" spans="1:6" x14ac:dyDescent="0.25">
      <c r="A171" s="38">
        <v>45667</v>
      </c>
      <c r="B171" s="15">
        <v>230.84666666666666</v>
      </c>
      <c r="C171" s="30">
        <f t="shared" si="13"/>
        <v>231.36542215568863</v>
      </c>
      <c r="D171" s="54">
        <f t="shared" si="9"/>
        <v>1.1814497745881174</v>
      </c>
      <c r="E171" s="30">
        <f t="shared" si="10"/>
        <v>-0.51875548902197011</v>
      </c>
      <c r="F171" s="13">
        <f t="shared" si="12"/>
        <v>-0.43908382749729763</v>
      </c>
    </row>
    <row r="172" spans="1:6" x14ac:dyDescent="0.25">
      <c r="A172" s="38">
        <v>45698</v>
      </c>
      <c r="B172" s="15">
        <v>232.58666666666667</v>
      </c>
      <c r="C172" s="30">
        <f t="shared" si="13"/>
        <v>231.36542215568863</v>
      </c>
      <c r="D172" s="54">
        <f t="shared" si="9"/>
        <v>1.1814497745881174</v>
      </c>
      <c r="E172" s="30">
        <f t="shared" si="10"/>
        <v>1.221244510978039</v>
      </c>
      <c r="F172" s="13">
        <f t="shared" si="12"/>
        <v>1.0336829692178791</v>
      </c>
    </row>
    <row r="173" spans="1:6" x14ac:dyDescent="0.25">
      <c r="A173" s="8">
        <v>45720</v>
      </c>
      <c r="B173" s="15">
        <v>231.95000000000002</v>
      </c>
      <c r="C173" s="30">
        <f t="shared" si="13"/>
        <v>231.36542215568863</v>
      </c>
      <c r="D173" s="54">
        <f t="shared" si="9"/>
        <v>1.1814497745881174</v>
      </c>
      <c r="E173" s="30">
        <f t="shared" si="10"/>
        <v>0.58457784431138293</v>
      </c>
      <c r="F173" s="13">
        <f t="shared" si="12"/>
        <v>0.49479703402134145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228E-7087-4EFA-920F-CB1FB9D69AA9}">
  <dimension ref="A1:F173"/>
  <sheetViews>
    <sheetView topLeftCell="A56" zoomScale="85" zoomScaleNormal="85" workbookViewId="0">
      <selection activeCell="G56" sqref="G1:G1048576"/>
    </sheetView>
  </sheetViews>
  <sheetFormatPr defaultRowHeight="15" x14ac:dyDescent="0.25"/>
  <cols>
    <col min="1" max="1" width="15.5703125" style="39" customWidth="1"/>
    <col min="2" max="2" width="19.5703125" style="1" customWidth="1"/>
    <col min="3" max="3" width="22.85546875" style="1" customWidth="1"/>
    <col min="4" max="4" width="16" style="1" customWidth="1"/>
    <col min="5" max="5" width="13.7109375" style="1" customWidth="1"/>
    <col min="6" max="6" width="21.5703125" style="11" bestFit="1" customWidth="1"/>
  </cols>
  <sheetData>
    <row r="1" spans="1:6" ht="20.25" customHeight="1" x14ac:dyDescent="0.25">
      <c r="A1" s="78" t="s">
        <v>15</v>
      </c>
      <c r="B1" s="79"/>
      <c r="C1" s="79"/>
      <c r="D1" s="79"/>
      <c r="E1" s="79"/>
      <c r="F1" s="79"/>
    </row>
    <row r="2" spans="1:6" x14ac:dyDescent="0.25">
      <c r="A2" s="73" t="s">
        <v>10</v>
      </c>
      <c r="B2" s="74"/>
      <c r="C2" s="74"/>
      <c r="D2" s="74"/>
      <c r="E2" s="74"/>
      <c r="F2" s="77"/>
    </row>
    <row r="3" spans="1:6" x14ac:dyDescent="0.25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25">
      <c r="A4" s="37">
        <v>40565</v>
      </c>
      <c r="B4" s="17"/>
      <c r="C4" s="54">
        <f>AVERAGE($B$4:$B$173)</f>
        <v>1295.4260621301776</v>
      </c>
      <c r="D4" s="54">
        <f>_xlfn.STDEV.S($B$4:$B$173)</f>
        <v>5.6326939992983203</v>
      </c>
      <c r="E4" s="54">
        <f>B4-C4</f>
        <v>-1295.4260621301776</v>
      </c>
      <c r="F4" s="54">
        <f>E4/D4</f>
        <v>-229.98339023770015</v>
      </c>
    </row>
    <row r="5" spans="1:6" x14ac:dyDescent="0.25">
      <c r="A5" s="37">
        <v>40596</v>
      </c>
      <c r="B5" s="17"/>
      <c r="C5" s="54">
        <f t="shared" ref="C5:C68" si="0">AVERAGE($B$4:$B$173)</f>
        <v>1295.4260621301776</v>
      </c>
      <c r="D5" s="54">
        <f t="shared" ref="D5:D68" si="1">_xlfn.STDEV.S($B$4:$B$173)</f>
        <v>5.6326939992983203</v>
      </c>
      <c r="E5" s="54">
        <f t="shared" ref="E5:E68" si="2">B5-C5</f>
        <v>-1295.4260621301776</v>
      </c>
      <c r="F5" s="54">
        <f t="shared" ref="F5:F68" si="3">E5/D5</f>
        <v>-229.98339023770015</v>
      </c>
    </row>
    <row r="6" spans="1:6" x14ac:dyDescent="0.25">
      <c r="A6" s="37">
        <v>40624</v>
      </c>
      <c r="B6" s="17"/>
      <c r="C6" s="54">
        <f t="shared" si="0"/>
        <v>1295.4260621301776</v>
      </c>
      <c r="D6" s="54">
        <f t="shared" si="1"/>
        <v>5.6326939992983203</v>
      </c>
      <c r="E6" s="54">
        <f t="shared" si="2"/>
        <v>-1295.4260621301776</v>
      </c>
      <c r="F6" s="54">
        <f t="shared" si="3"/>
        <v>-229.98339023770015</v>
      </c>
    </row>
    <row r="7" spans="1:6" x14ac:dyDescent="0.25">
      <c r="A7" s="37">
        <v>40655</v>
      </c>
      <c r="B7" s="17"/>
      <c r="C7" s="54">
        <f t="shared" si="0"/>
        <v>1295.4260621301776</v>
      </c>
      <c r="D7" s="54">
        <f t="shared" si="1"/>
        <v>5.6326939992983203</v>
      </c>
      <c r="E7" s="54">
        <f t="shared" si="2"/>
        <v>-1295.4260621301776</v>
      </c>
      <c r="F7" s="54">
        <f t="shared" si="3"/>
        <v>-229.98339023770015</v>
      </c>
    </row>
    <row r="8" spans="1:6" x14ac:dyDescent="0.25">
      <c r="A8" s="37">
        <v>40685</v>
      </c>
      <c r="B8" s="17"/>
      <c r="C8" s="54">
        <f t="shared" si="0"/>
        <v>1295.4260621301776</v>
      </c>
      <c r="D8" s="54">
        <f t="shared" si="1"/>
        <v>5.6326939992983203</v>
      </c>
      <c r="E8" s="54">
        <f t="shared" si="2"/>
        <v>-1295.4260621301776</v>
      </c>
      <c r="F8" s="54">
        <f t="shared" si="3"/>
        <v>-229.98339023770015</v>
      </c>
    </row>
    <row r="9" spans="1:6" x14ac:dyDescent="0.25">
      <c r="A9" s="37">
        <v>40716</v>
      </c>
      <c r="B9" s="17"/>
      <c r="C9" s="54">
        <f t="shared" si="0"/>
        <v>1295.4260621301776</v>
      </c>
      <c r="D9" s="54">
        <f t="shared" si="1"/>
        <v>5.6326939992983203</v>
      </c>
      <c r="E9" s="54">
        <f t="shared" si="2"/>
        <v>-1295.4260621301776</v>
      </c>
      <c r="F9" s="54">
        <f t="shared" si="3"/>
        <v>-229.98339023770015</v>
      </c>
    </row>
    <row r="10" spans="1:6" x14ac:dyDescent="0.25">
      <c r="A10" s="37">
        <v>40746</v>
      </c>
      <c r="B10" s="17"/>
      <c r="C10" s="54">
        <f t="shared" si="0"/>
        <v>1295.4260621301776</v>
      </c>
      <c r="D10" s="54">
        <f t="shared" si="1"/>
        <v>5.6326939992983203</v>
      </c>
      <c r="E10" s="54">
        <f t="shared" si="2"/>
        <v>-1295.4260621301776</v>
      </c>
      <c r="F10" s="54">
        <f t="shared" si="3"/>
        <v>-229.98339023770015</v>
      </c>
    </row>
    <row r="11" spans="1:6" x14ac:dyDescent="0.25">
      <c r="A11" s="37">
        <v>40777</v>
      </c>
      <c r="B11" s="17"/>
      <c r="C11" s="54">
        <f t="shared" si="0"/>
        <v>1295.4260621301776</v>
      </c>
      <c r="D11" s="54">
        <f t="shared" si="1"/>
        <v>5.6326939992983203</v>
      </c>
      <c r="E11" s="54">
        <f t="shared" si="2"/>
        <v>-1295.4260621301776</v>
      </c>
      <c r="F11" s="54">
        <f t="shared" si="3"/>
        <v>-229.98339023770015</v>
      </c>
    </row>
    <row r="12" spans="1:6" x14ac:dyDescent="0.25">
      <c r="A12" s="37">
        <v>40808</v>
      </c>
      <c r="B12" s="17"/>
      <c r="C12" s="54">
        <f t="shared" si="0"/>
        <v>1295.4260621301776</v>
      </c>
      <c r="D12" s="54">
        <f t="shared" si="1"/>
        <v>5.6326939992983203</v>
      </c>
      <c r="E12" s="54">
        <f t="shared" si="2"/>
        <v>-1295.4260621301776</v>
      </c>
      <c r="F12" s="54">
        <f t="shared" si="3"/>
        <v>-229.98339023770015</v>
      </c>
    </row>
    <row r="13" spans="1:6" x14ac:dyDescent="0.25">
      <c r="A13" s="37">
        <v>40869</v>
      </c>
      <c r="B13" s="17"/>
      <c r="C13" s="54">
        <f t="shared" si="0"/>
        <v>1295.4260621301776</v>
      </c>
      <c r="D13" s="54">
        <f t="shared" si="1"/>
        <v>5.6326939992983203</v>
      </c>
      <c r="E13" s="54">
        <f t="shared" si="2"/>
        <v>-1295.4260621301776</v>
      </c>
      <c r="F13" s="54">
        <f t="shared" si="3"/>
        <v>-229.98339023770015</v>
      </c>
    </row>
    <row r="14" spans="1:6" x14ac:dyDescent="0.25">
      <c r="A14" s="37">
        <v>40899</v>
      </c>
      <c r="B14" s="17"/>
      <c r="C14" s="54">
        <f t="shared" si="0"/>
        <v>1295.4260621301776</v>
      </c>
      <c r="D14" s="54">
        <f t="shared" si="1"/>
        <v>5.6326939992983203</v>
      </c>
      <c r="E14" s="54">
        <f t="shared" si="2"/>
        <v>-1295.4260621301776</v>
      </c>
      <c r="F14" s="54">
        <f t="shared" si="3"/>
        <v>-229.98339023770015</v>
      </c>
    </row>
    <row r="15" spans="1:6" x14ac:dyDescent="0.25">
      <c r="A15" s="37">
        <v>40930</v>
      </c>
      <c r="B15" s="17"/>
      <c r="C15" s="54">
        <f t="shared" si="0"/>
        <v>1295.4260621301776</v>
      </c>
      <c r="D15" s="54">
        <f t="shared" si="1"/>
        <v>5.6326939992983203</v>
      </c>
      <c r="E15" s="54">
        <f t="shared" si="2"/>
        <v>-1295.4260621301776</v>
      </c>
      <c r="F15" s="54">
        <f t="shared" si="3"/>
        <v>-229.98339023770015</v>
      </c>
    </row>
    <row r="16" spans="1:6" x14ac:dyDescent="0.25">
      <c r="A16" s="37">
        <v>40961</v>
      </c>
      <c r="B16" s="17"/>
      <c r="C16" s="54">
        <f t="shared" si="0"/>
        <v>1295.4260621301776</v>
      </c>
      <c r="D16" s="54">
        <f t="shared" si="1"/>
        <v>5.6326939992983203</v>
      </c>
      <c r="E16" s="54">
        <f t="shared" si="2"/>
        <v>-1295.4260621301776</v>
      </c>
      <c r="F16" s="54">
        <f t="shared" si="3"/>
        <v>-229.98339023770015</v>
      </c>
    </row>
    <row r="17" spans="1:6" x14ac:dyDescent="0.25">
      <c r="A17" s="37">
        <v>40990</v>
      </c>
      <c r="B17" s="17"/>
      <c r="C17" s="54">
        <f t="shared" si="0"/>
        <v>1295.4260621301776</v>
      </c>
      <c r="D17" s="54">
        <f t="shared" si="1"/>
        <v>5.6326939992983203</v>
      </c>
      <c r="E17" s="54">
        <f t="shared" si="2"/>
        <v>-1295.4260621301776</v>
      </c>
      <c r="F17" s="54">
        <f t="shared" si="3"/>
        <v>-229.98339023770015</v>
      </c>
    </row>
    <row r="18" spans="1:6" x14ac:dyDescent="0.25">
      <c r="A18" s="37">
        <v>41021</v>
      </c>
      <c r="B18" s="17"/>
      <c r="C18" s="54">
        <f t="shared" si="0"/>
        <v>1295.4260621301776</v>
      </c>
      <c r="D18" s="54">
        <f t="shared" si="1"/>
        <v>5.6326939992983203</v>
      </c>
      <c r="E18" s="54">
        <f t="shared" si="2"/>
        <v>-1295.4260621301776</v>
      </c>
      <c r="F18" s="54">
        <f t="shared" si="3"/>
        <v>-229.98339023770015</v>
      </c>
    </row>
    <row r="19" spans="1:6" x14ac:dyDescent="0.25">
      <c r="A19" s="37">
        <v>41051</v>
      </c>
      <c r="B19" s="17"/>
      <c r="C19" s="54">
        <f t="shared" si="0"/>
        <v>1295.4260621301776</v>
      </c>
      <c r="D19" s="54">
        <f t="shared" si="1"/>
        <v>5.6326939992983203</v>
      </c>
      <c r="E19" s="54">
        <f t="shared" si="2"/>
        <v>-1295.4260621301776</v>
      </c>
      <c r="F19" s="54">
        <f t="shared" si="3"/>
        <v>-229.98339023770015</v>
      </c>
    </row>
    <row r="20" spans="1:6" x14ac:dyDescent="0.25">
      <c r="A20" s="37">
        <v>41082</v>
      </c>
      <c r="B20" s="17"/>
      <c r="C20" s="54">
        <f t="shared" si="0"/>
        <v>1295.4260621301776</v>
      </c>
      <c r="D20" s="54">
        <f t="shared" si="1"/>
        <v>5.6326939992983203</v>
      </c>
      <c r="E20" s="54">
        <f t="shared" si="2"/>
        <v>-1295.4260621301776</v>
      </c>
      <c r="F20" s="54">
        <f t="shared" si="3"/>
        <v>-229.98339023770015</v>
      </c>
    </row>
    <row r="21" spans="1:6" x14ac:dyDescent="0.25">
      <c r="A21" s="37">
        <v>41112</v>
      </c>
      <c r="B21" s="17"/>
      <c r="C21" s="54">
        <f t="shared" si="0"/>
        <v>1295.4260621301776</v>
      </c>
      <c r="D21" s="54">
        <f t="shared" si="1"/>
        <v>5.6326939992983203</v>
      </c>
      <c r="E21" s="54">
        <f t="shared" si="2"/>
        <v>-1295.4260621301776</v>
      </c>
      <c r="F21" s="54">
        <f t="shared" si="3"/>
        <v>-229.98339023770015</v>
      </c>
    </row>
    <row r="22" spans="1:6" x14ac:dyDescent="0.25">
      <c r="A22" s="37">
        <v>41143</v>
      </c>
      <c r="B22" s="17"/>
      <c r="C22" s="54">
        <f t="shared" si="0"/>
        <v>1295.4260621301776</v>
      </c>
      <c r="D22" s="54">
        <f t="shared" si="1"/>
        <v>5.6326939992983203</v>
      </c>
      <c r="E22" s="54">
        <f t="shared" si="2"/>
        <v>-1295.4260621301776</v>
      </c>
      <c r="F22" s="54">
        <f t="shared" si="3"/>
        <v>-229.98339023770015</v>
      </c>
    </row>
    <row r="23" spans="1:6" x14ac:dyDescent="0.25">
      <c r="A23" s="37">
        <v>41174</v>
      </c>
      <c r="B23" s="17"/>
      <c r="C23" s="54">
        <f t="shared" si="0"/>
        <v>1295.4260621301776</v>
      </c>
      <c r="D23" s="54">
        <f t="shared" si="1"/>
        <v>5.6326939992983203</v>
      </c>
      <c r="E23" s="54">
        <f t="shared" si="2"/>
        <v>-1295.4260621301776</v>
      </c>
      <c r="F23" s="54">
        <f t="shared" si="3"/>
        <v>-229.98339023770015</v>
      </c>
    </row>
    <row r="24" spans="1:6" x14ac:dyDescent="0.25">
      <c r="A24" s="37">
        <v>41204</v>
      </c>
      <c r="B24" s="17"/>
      <c r="C24" s="54">
        <f t="shared" si="0"/>
        <v>1295.4260621301776</v>
      </c>
      <c r="D24" s="54">
        <f t="shared" si="1"/>
        <v>5.6326939992983203</v>
      </c>
      <c r="E24" s="54">
        <f t="shared" si="2"/>
        <v>-1295.4260621301776</v>
      </c>
      <c r="F24" s="54">
        <f t="shared" si="3"/>
        <v>-229.98339023770015</v>
      </c>
    </row>
    <row r="25" spans="1:6" x14ac:dyDescent="0.25">
      <c r="A25" s="37">
        <v>41235</v>
      </c>
      <c r="B25" s="17"/>
      <c r="C25" s="54">
        <f t="shared" si="0"/>
        <v>1295.4260621301776</v>
      </c>
      <c r="D25" s="54">
        <f t="shared" si="1"/>
        <v>5.6326939992983203</v>
      </c>
      <c r="E25" s="54">
        <f t="shared" si="2"/>
        <v>-1295.4260621301776</v>
      </c>
      <c r="F25" s="54">
        <f t="shared" si="3"/>
        <v>-229.98339023770015</v>
      </c>
    </row>
    <row r="26" spans="1:6" x14ac:dyDescent="0.25">
      <c r="A26" s="37">
        <v>41265</v>
      </c>
      <c r="B26" s="17"/>
      <c r="C26" s="54">
        <f t="shared" si="0"/>
        <v>1295.4260621301776</v>
      </c>
      <c r="D26" s="54">
        <f t="shared" si="1"/>
        <v>5.6326939992983203</v>
      </c>
      <c r="E26" s="54">
        <f t="shared" si="2"/>
        <v>-1295.4260621301776</v>
      </c>
      <c r="F26" s="54">
        <f t="shared" si="3"/>
        <v>-229.98339023770015</v>
      </c>
    </row>
    <row r="27" spans="1:6" x14ac:dyDescent="0.25">
      <c r="A27" s="37">
        <v>41296</v>
      </c>
      <c r="B27" s="17"/>
      <c r="C27" s="54">
        <f t="shared" si="0"/>
        <v>1295.4260621301776</v>
      </c>
      <c r="D27" s="54">
        <f t="shared" si="1"/>
        <v>5.6326939992983203</v>
      </c>
      <c r="E27" s="54">
        <f t="shared" si="2"/>
        <v>-1295.4260621301776</v>
      </c>
      <c r="F27" s="54">
        <f t="shared" si="3"/>
        <v>-229.98339023770015</v>
      </c>
    </row>
    <row r="28" spans="1:6" x14ac:dyDescent="0.25">
      <c r="A28" s="37">
        <v>41327</v>
      </c>
      <c r="B28" s="17"/>
      <c r="C28" s="54">
        <f t="shared" si="0"/>
        <v>1295.4260621301776</v>
      </c>
      <c r="D28" s="54">
        <f t="shared" si="1"/>
        <v>5.6326939992983203</v>
      </c>
      <c r="E28" s="54">
        <f t="shared" si="2"/>
        <v>-1295.4260621301776</v>
      </c>
      <c r="F28" s="54">
        <f t="shared" si="3"/>
        <v>-229.98339023770015</v>
      </c>
    </row>
    <row r="29" spans="1:6" x14ac:dyDescent="0.25">
      <c r="A29" s="37">
        <v>41355</v>
      </c>
      <c r="B29" s="17"/>
      <c r="C29" s="54">
        <f t="shared" si="0"/>
        <v>1295.4260621301776</v>
      </c>
      <c r="D29" s="54">
        <f t="shared" si="1"/>
        <v>5.6326939992983203</v>
      </c>
      <c r="E29" s="54">
        <f t="shared" si="2"/>
        <v>-1295.4260621301776</v>
      </c>
      <c r="F29" s="54">
        <f t="shared" si="3"/>
        <v>-229.98339023770015</v>
      </c>
    </row>
    <row r="30" spans="1:6" x14ac:dyDescent="0.25">
      <c r="A30" s="37">
        <v>41386</v>
      </c>
      <c r="B30" s="17"/>
      <c r="C30" s="54">
        <f t="shared" si="0"/>
        <v>1295.4260621301776</v>
      </c>
      <c r="D30" s="54">
        <f t="shared" si="1"/>
        <v>5.6326939992983203</v>
      </c>
      <c r="E30" s="54">
        <f t="shared" si="2"/>
        <v>-1295.4260621301776</v>
      </c>
      <c r="F30" s="54">
        <f t="shared" si="3"/>
        <v>-229.98339023770015</v>
      </c>
    </row>
    <row r="31" spans="1:6" x14ac:dyDescent="0.25">
      <c r="A31" s="37">
        <v>41416</v>
      </c>
      <c r="B31" s="17"/>
      <c r="C31" s="54">
        <f t="shared" si="0"/>
        <v>1295.4260621301776</v>
      </c>
      <c r="D31" s="54">
        <f t="shared" si="1"/>
        <v>5.6326939992983203</v>
      </c>
      <c r="E31" s="54">
        <f t="shared" si="2"/>
        <v>-1295.4260621301776</v>
      </c>
      <c r="F31" s="54">
        <f t="shared" si="3"/>
        <v>-229.98339023770015</v>
      </c>
    </row>
    <row r="32" spans="1:6" x14ac:dyDescent="0.25">
      <c r="A32" s="37">
        <v>41447</v>
      </c>
      <c r="B32" s="17"/>
      <c r="C32" s="54">
        <f t="shared" si="0"/>
        <v>1295.4260621301776</v>
      </c>
      <c r="D32" s="54">
        <f t="shared" si="1"/>
        <v>5.6326939992983203</v>
      </c>
      <c r="E32" s="54">
        <f t="shared" si="2"/>
        <v>-1295.4260621301776</v>
      </c>
      <c r="F32" s="54">
        <f t="shared" si="3"/>
        <v>-229.98339023770015</v>
      </c>
    </row>
    <row r="33" spans="1:6" x14ac:dyDescent="0.25">
      <c r="A33" s="37">
        <v>41477</v>
      </c>
      <c r="B33" s="17"/>
      <c r="C33" s="54">
        <f t="shared" si="0"/>
        <v>1295.4260621301776</v>
      </c>
      <c r="D33" s="54">
        <f t="shared" si="1"/>
        <v>5.6326939992983203</v>
      </c>
      <c r="E33" s="54">
        <f t="shared" si="2"/>
        <v>-1295.4260621301776</v>
      </c>
      <c r="F33" s="54">
        <f t="shared" si="3"/>
        <v>-229.98339023770015</v>
      </c>
    </row>
    <row r="34" spans="1:6" x14ac:dyDescent="0.25">
      <c r="A34" s="37">
        <v>41508</v>
      </c>
      <c r="B34" s="17"/>
      <c r="C34" s="54">
        <f t="shared" si="0"/>
        <v>1295.4260621301776</v>
      </c>
      <c r="D34" s="54">
        <f t="shared" si="1"/>
        <v>5.6326939992983203</v>
      </c>
      <c r="E34" s="54">
        <f t="shared" si="2"/>
        <v>-1295.4260621301776</v>
      </c>
      <c r="F34" s="54">
        <f t="shared" si="3"/>
        <v>-229.98339023770015</v>
      </c>
    </row>
    <row r="35" spans="1:6" x14ac:dyDescent="0.25">
      <c r="A35" s="37">
        <v>41539</v>
      </c>
      <c r="B35" s="17"/>
      <c r="C35" s="54">
        <f t="shared" si="0"/>
        <v>1295.4260621301776</v>
      </c>
      <c r="D35" s="54">
        <f t="shared" si="1"/>
        <v>5.6326939992983203</v>
      </c>
      <c r="E35" s="54">
        <f t="shared" si="2"/>
        <v>-1295.4260621301776</v>
      </c>
      <c r="F35" s="54">
        <f t="shared" si="3"/>
        <v>-229.98339023770015</v>
      </c>
    </row>
    <row r="36" spans="1:6" x14ac:dyDescent="0.25">
      <c r="A36" s="37">
        <v>41569</v>
      </c>
      <c r="B36" s="17"/>
      <c r="C36" s="54">
        <f t="shared" si="0"/>
        <v>1295.4260621301776</v>
      </c>
      <c r="D36" s="54">
        <f t="shared" si="1"/>
        <v>5.6326939992983203</v>
      </c>
      <c r="E36" s="54">
        <f t="shared" si="2"/>
        <v>-1295.4260621301776</v>
      </c>
      <c r="F36" s="54">
        <f t="shared" si="3"/>
        <v>-229.98339023770015</v>
      </c>
    </row>
    <row r="37" spans="1:6" x14ac:dyDescent="0.25">
      <c r="A37" s="37">
        <v>41600</v>
      </c>
      <c r="B37" s="17"/>
      <c r="C37" s="54">
        <f t="shared" si="0"/>
        <v>1295.4260621301776</v>
      </c>
      <c r="D37" s="54">
        <f t="shared" si="1"/>
        <v>5.6326939992983203</v>
      </c>
      <c r="E37" s="54">
        <f t="shared" si="2"/>
        <v>-1295.4260621301776</v>
      </c>
      <c r="F37" s="54">
        <f t="shared" si="3"/>
        <v>-229.98339023770015</v>
      </c>
    </row>
    <row r="38" spans="1:6" x14ac:dyDescent="0.25">
      <c r="A38" s="37">
        <v>41630</v>
      </c>
      <c r="B38" s="17"/>
      <c r="C38" s="54">
        <f t="shared" si="0"/>
        <v>1295.4260621301776</v>
      </c>
      <c r="D38" s="54">
        <f t="shared" si="1"/>
        <v>5.6326939992983203</v>
      </c>
      <c r="E38" s="54">
        <f t="shared" si="2"/>
        <v>-1295.4260621301776</v>
      </c>
      <c r="F38" s="54">
        <f t="shared" si="3"/>
        <v>-229.98339023770015</v>
      </c>
    </row>
    <row r="39" spans="1:6" x14ac:dyDescent="0.25">
      <c r="A39" s="37">
        <v>41661</v>
      </c>
      <c r="B39" s="17"/>
      <c r="C39" s="54">
        <f t="shared" si="0"/>
        <v>1295.4260621301776</v>
      </c>
      <c r="D39" s="54">
        <f t="shared" si="1"/>
        <v>5.6326939992983203</v>
      </c>
      <c r="E39" s="54">
        <f t="shared" si="2"/>
        <v>-1295.4260621301776</v>
      </c>
      <c r="F39" s="54">
        <f t="shared" si="3"/>
        <v>-229.98339023770015</v>
      </c>
    </row>
    <row r="40" spans="1:6" x14ac:dyDescent="0.25">
      <c r="A40" s="37">
        <v>41692</v>
      </c>
      <c r="B40" s="17"/>
      <c r="C40" s="54">
        <f t="shared" si="0"/>
        <v>1295.4260621301776</v>
      </c>
      <c r="D40" s="54">
        <f t="shared" si="1"/>
        <v>5.6326939992983203</v>
      </c>
      <c r="E40" s="54">
        <f t="shared" si="2"/>
        <v>-1295.4260621301776</v>
      </c>
      <c r="F40" s="54">
        <f t="shared" si="3"/>
        <v>-229.98339023770015</v>
      </c>
    </row>
    <row r="41" spans="1:6" x14ac:dyDescent="0.25">
      <c r="A41" s="37">
        <v>41720</v>
      </c>
      <c r="B41" s="17"/>
      <c r="C41" s="54">
        <f t="shared" si="0"/>
        <v>1295.4260621301776</v>
      </c>
      <c r="D41" s="54">
        <f t="shared" si="1"/>
        <v>5.6326939992983203</v>
      </c>
      <c r="E41" s="54">
        <f t="shared" si="2"/>
        <v>-1295.4260621301776</v>
      </c>
      <c r="F41" s="54">
        <f t="shared" si="3"/>
        <v>-229.98339023770015</v>
      </c>
    </row>
    <row r="42" spans="1:6" x14ac:dyDescent="0.25">
      <c r="A42" s="37">
        <v>41751</v>
      </c>
      <c r="B42" s="17"/>
      <c r="C42" s="54">
        <f t="shared" si="0"/>
        <v>1295.4260621301776</v>
      </c>
      <c r="D42" s="54">
        <f t="shared" si="1"/>
        <v>5.6326939992983203</v>
      </c>
      <c r="E42" s="54">
        <f t="shared" si="2"/>
        <v>-1295.4260621301776</v>
      </c>
      <c r="F42" s="54">
        <f t="shared" si="3"/>
        <v>-229.98339023770015</v>
      </c>
    </row>
    <row r="43" spans="1:6" x14ac:dyDescent="0.25">
      <c r="A43" s="37">
        <v>41781</v>
      </c>
      <c r="B43" s="17"/>
      <c r="C43" s="54">
        <f t="shared" si="0"/>
        <v>1295.4260621301776</v>
      </c>
      <c r="D43" s="54">
        <f t="shared" si="1"/>
        <v>5.6326939992983203</v>
      </c>
      <c r="E43" s="54">
        <f t="shared" si="2"/>
        <v>-1295.4260621301776</v>
      </c>
      <c r="F43" s="54">
        <f t="shared" si="3"/>
        <v>-229.98339023770015</v>
      </c>
    </row>
    <row r="44" spans="1:6" x14ac:dyDescent="0.25">
      <c r="A44" s="37">
        <v>41812</v>
      </c>
      <c r="B44" s="17"/>
      <c r="C44" s="54">
        <f t="shared" si="0"/>
        <v>1295.4260621301776</v>
      </c>
      <c r="D44" s="54">
        <f t="shared" si="1"/>
        <v>5.6326939992983203</v>
      </c>
      <c r="E44" s="54">
        <f t="shared" si="2"/>
        <v>-1295.4260621301776</v>
      </c>
      <c r="F44" s="54">
        <f t="shared" si="3"/>
        <v>-229.98339023770015</v>
      </c>
    </row>
    <row r="45" spans="1:6" x14ac:dyDescent="0.25">
      <c r="A45" s="37">
        <v>41842</v>
      </c>
      <c r="B45" s="17"/>
      <c r="C45" s="54">
        <f t="shared" si="0"/>
        <v>1295.4260621301776</v>
      </c>
      <c r="D45" s="54">
        <f t="shared" si="1"/>
        <v>5.6326939992983203</v>
      </c>
      <c r="E45" s="54">
        <f t="shared" si="2"/>
        <v>-1295.4260621301776</v>
      </c>
      <c r="F45" s="54">
        <f t="shared" si="3"/>
        <v>-229.98339023770015</v>
      </c>
    </row>
    <row r="46" spans="1:6" x14ac:dyDescent="0.25">
      <c r="A46" s="37">
        <v>41873</v>
      </c>
      <c r="B46" s="17"/>
      <c r="C46" s="54">
        <f t="shared" si="0"/>
        <v>1295.4260621301776</v>
      </c>
      <c r="D46" s="54">
        <f t="shared" si="1"/>
        <v>5.6326939992983203</v>
      </c>
      <c r="E46" s="54">
        <f t="shared" si="2"/>
        <v>-1295.4260621301776</v>
      </c>
      <c r="F46" s="54">
        <f t="shared" si="3"/>
        <v>-229.98339023770015</v>
      </c>
    </row>
    <row r="47" spans="1:6" x14ac:dyDescent="0.25">
      <c r="A47" s="37">
        <v>41904</v>
      </c>
      <c r="B47" s="17"/>
      <c r="C47" s="54">
        <f t="shared" si="0"/>
        <v>1295.4260621301776</v>
      </c>
      <c r="D47" s="54">
        <f t="shared" si="1"/>
        <v>5.6326939992983203</v>
      </c>
      <c r="E47" s="54">
        <f t="shared" si="2"/>
        <v>-1295.4260621301776</v>
      </c>
      <c r="F47" s="54">
        <f t="shared" si="3"/>
        <v>-229.98339023770015</v>
      </c>
    </row>
    <row r="48" spans="1:6" x14ac:dyDescent="0.25">
      <c r="A48" s="37">
        <v>41934</v>
      </c>
      <c r="B48" s="17"/>
      <c r="C48" s="54">
        <f t="shared" si="0"/>
        <v>1295.4260621301776</v>
      </c>
      <c r="D48" s="54">
        <f t="shared" si="1"/>
        <v>5.6326939992983203</v>
      </c>
      <c r="E48" s="54">
        <f t="shared" si="2"/>
        <v>-1295.4260621301776</v>
      </c>
      <c r="F48" s="54">
        <f t="shared" si="3"/>
        <v>-229.98339023770015</v>
      </c>
    </row>
    <row r="49" spans="1:6" x14ac:dyDescent="0.25">
      <c r="A49" s="37">
        <v>41965</v>
      </c>
      <c r="B49" s="17"/>
      <c r="C49" s="54">
        <f t="shared" si="0"/>
        <v>1295.4260621301776</v>
      </c>
      <c r="D49" s="54">
        <f t="shared" si="1"/>
        <v>5.6326939992983203</v>
      </c>
      <c r="E49" s="54">
        <f t="shared" si="2"/>
        <v>-1295.4260621301776</v>
      </c>
      <c r="F49" s="54">
        <f t="shared" si="3"/>
        <v>-229.98339023770015</v>
      </c>
    </row>
    <row r="50" spans="1:6" x14ac:dyDescent="0.25">
      <c r="A50" s="37">
        <v>41995</v>
      </c>
      <c r="B50" s="17"/>
      <c r="C50" s="54">
        <f t="shared" si="0"/>
        <v>1295.4260621301776</v>
      </c>
      <c r="D50" s="54">
        <f t="shared" si="1"/>
        <v>5.6326939992983203</v>
      </c>
      <c r="E50" s="54">
        <f t="shared" si="2"/>
        <v>-1295.4260621301776</v>
      </c>
      <c r="F50" s="54">
        <f t="shared" si="3"/>
        <v>-229.98339023770015</v>
      </c>
    </row>
    <row r="51" spans="1:6" x14ac:dyDescent="0.25">
      <c r="A51" s="37">
        <v>42026</v>
      </c>
      <c r="B51" s="17"/>
      <c r="C51" s="54">
        <f t="shared" si="0"/>
        <v>1295.4260621301776</v>
      </c>
      <c r="D51" s="54">
        <f t="shared" si="1"/>
        <v>5.6326939992983203</v>
      </c>
      <c r="E51" s="54">
        <f t="shared" si="2"/>
        <v>-1295.4260621301776</v>
      </c>
      <c r="F51" s="54">
        <f t="shared" si="3"/>
        <v>-229.98339023770015</v>
      </c>
    </row>
    <row r="52" spans="1:6" x14ac:dyDescent="0.25">
      <c r="A52" s="37">
        <v>42057</v>
      </c>
      <c r="B52" s="17"/>
      <c r="C52" s="54">
        <f t="shared" si="0"/>
        <v>1295.4260621301776</v>
      </c>
      <c r="D52" s="54">
        <f t="shared" si="1"/>
        <v>5.6326939992983203</v>
      </c>
      <c r="E52" s="54">
        <f t="shared" si="2"/>
        <v>-1295.4260621301776</v>
      </c>
      <c r="F52" s="54">
        <f t="shared" si="3"/>
        <v>-229.98339023770015</v>
      </c>
    </row>
    <row r="53" spans="1:6" x14ac:dyDescent="0.25">
      <c r="A53" s="37">
        <v>42085</v>
      </c>
      <c r="B53" s="17"/>
      <c r="C53" s="54">
        <f t="shared" si="0"/>
        <v>1295.4260621301776</v>
      </c>
      <c r="D53" s="54">
        <f t="shared" si="1"/>
        <v>5.6326939992983203</v>
      </c>
      <c r="E53" s="54">
        <f t="shared" si="2"/>
        <v>-1295.4260621301776</v>
      </c>
      <c r="F53" s="54">
        <f t="shared" si="3"/>
        <v>-229.98339023770015</v>
      </c>
    </row>
    <row r="54" spans="1:6" x14ac:dyDescent="0.25">
      <c r="A54" s="37">
        <v>42116</v>
      </c>
      <c r="B54" s="17"/>
      <c r="C54" s="54">
        <f t="shared" si="0"/>
        <v>1295.4260621301776</v>
      </c>
      <c r="D54" s="54">
        <f t="shared" si="1"/>
        <v>5.6326939992983203</v>
      </c>
      <c r="E54" s="54">
        <f t="shared" si="2"/>
        <v>-1295.4260621301776</v>
      </c>
      <c r="F54" s="54">
        <f t="shared" si="3"/>
        <v>-229.98339023770015</v>
      </c>
    </row>
    <row r="55" spans="1:6" x14ac:dyDescent="0.25">
      <c r="A55" s="37">
        <v>42146</v>
      </c>
      <c r="B55" s="17"/>
      <c r="C55" s="54">
        <f t="shared" si="0"/>
        <v>1295.4260621301776</v>
      </c>
      <c r="D55" s="54">
        <f t="shared" si="1"/>
        <v>5.6326939992983203</v>
      </c>
      <c r="E55" s="54">
        <f t="shared" si="2"/>
        <v>-1295.4260621301776</v>
      </c>
      <c r="F55" s="54">
        <f t="shared" si="3"/>
        <v>-229.98339023770015</v>
      </c>
    </row>
    <row r="56" spans="1:6" x14ac:dyDescent="0.25">
      <c r="A56" s="37">
        <v>42177</v>
      </c>
      <c r="B56" s="17"/>
      <c r="C56" s="54">
        <f t="shared" si="0"/>
        <v>1295.4260621301776</v>
      </c>
      <c r="D56" s="54">
        <f t="shared" si="1"/>
        <v>5.6326939992983203</v>
      </c>
      <c r="E56" s="54">
        <f t="shared" si="2"/>
        <v>-1295.4260621301776</v>
      </c>
      <c r="F56" s="54">
        <f t="shared" si="3"/>
        <v>-229.98339023770015</v>
      </c>
    </row>
    <row r="57" spans="1:6" x14ac:dyDescent="0.25">
      <c r="A57" s="37">
        <v>42207</v>
      </c>
      <c r="B57" s="17"/>
      <c r="C57" s="54">
        <f t="shared" si="0"/>
        <v>1295.4260621301776</v>
      </c>
      <c r="D57" s="54">
        <f t="shared" si="1"/>
        <v>5.6326939992983203</v>
      </c>
      <c r="E57" s="54">
        <f t="shared" si="2"/>
        <v>-1295.4260621301776</v>
      </c>
      <c r="F57" s="54">
        <f t="shared" si="3"/>
        <v>-229.98339023770015</v>
      </c>
    </row>
    <row r="58" spans="1:6" x14ac:dyDescent="0.25">
      <c r="A58" s="37">
        <v>42238</v>
      </c>
      <c r="B58" s="17"/>
      <c r="C58" s="54">
        <f t="shared" si="0"/>
        <v>1295.4260621301776</v>
      </c>
      <c r="D58" s="54">
        <f t="shared" si="1"/>
        <v>5.6326939992983203</v>
      </c>
      <c r="E58" s="54">
        <f t="shared" si="2"/>
        <v>-1295.4260621301776</v>
      </c>
      <c r="F58" s="54">
        <f t="shared" si="3"/>
        <v>-229.98339023770015</v>
      </c>
    </row>
    <row r="59" spans="1:6" x14ac:dyDescent="0.25">
      <c r="A59" s="37">
        <v>42269</v>
      </c>
      <c r="B59" s="17"/>
      <c r="C59" s="54">
        <f t="shared" si="0"/>
        <v>1295.4260621301776</v>
      </c>
      <c r="D59" s="54">
        <f t="shared" si="1"/>
        <v>5.6326939992983203</v>
      </c>
      <c r="E59" s="54">
        <f t="shared" si="2"/>
        <v>-1295.4260621301776</v>
      </c>
      <c r="F59" s="54">
        <f t="shared" si="3"/>
        <v>-229.98339023770015</v>
      </c>
    </row>
    <row r="60" spans="1:6" x14ac:dyDescent="0.25">
      <c r="A60" s="37">
        <v>42299</v>
      </c>
      <c r="B60" s="17"/>
      <c r="C60" s="54">
        <f t="shared" si="0"/>
        <v>1295.4260621301776</v>
      </c>
      <c r="D60" s="54">
        <f t="shared" si="1"/>
        <v>5.6326939992983203</v>
      </c>
      <c r="E60" s="54">
        <f t="shared" si="2"/>
        <v>-1295.4260621301776</v>
      </c>
      <c r="F60" s="54">
        <f t="shared" si="3"/>
        <v>-229.98339023770015</v>
      </c>
    </row>
    <row r="61" spans="1:6" x14ac:dyDescent="0.25">
      <c r="A61" s="37">
        <v>42330</v>
      </c>
      <c r="B61" s="17"/>
      <c r="C61" s="54">
        <f t="shared" si="0"/>
        <v>1295.4260621301776</v>
      </c>
      <c r="D61" s="54">
        <f t="shared" si="1"/>
        <v>5.6326939992983203</v>
      </c>
      <c r="E61" s="54">
        <f t="shared" si="2"/>
        <v>-1295.4260621301776</v>
      </c>
      <c r="F61" s="54">
        <f t="shared" si="3"/>
        <v>-229.98339023770015</v>
      </c>
    </row>
    <row r="62" spans="1:6" x14ac:dyDescent="0.25">
      <c r="A62" s="37">
        <v>42360</v>
      </c>
      <c r="B62" s="17"/>
      <c r="C62" s="54">
        <f t="shared" si="0"/>
        <v>1295.4260621301776</v>
      </c>
      <c r="D62" s="54">
        <f t="shared" si="1"/>
        <v>5.6326939992983203</v>
      </c>
      <c r="E62" s="54">
        <f t="shared" si="2"/>
        <v>-1295.4260621301776</v>
      </c>
      <c r="F62" s="54">
        <f t="shared" si="3"/>
        <v>-229.98339023770015</v>
      </c>
    </row>
    <row r="63" spans="1:6" x14ac:dyDescent="0.25">
      <c r="A63" s="37">
        <v>42391</v>
      </c>
      <c r="B63" s="17"/>
      <c r="C63" s="54">
        <f t="shared" si="0"/>
        <v>1295.4260621301776</v>
      </c>
      <c r="D63" s="54">
        <f t="shared" si="1"/>
        <v>5.6326939992983203</v>
      </c>
      <c r="E63" s="54">
        <f t="shared" si="2"/>
        <v>-1295.4260621301776</v>
      </c>
      <c r="F63" s="54">
        <f t="shared" si="3"/>
        <v>-229.98339023770015</v>
      </c>
    </row>
    <row r="64" spans="1:6" x14ac:dyDescent="0.25">
      <c r="A64" s="37">
        <v>42422</v>
      </c>
      <c r="B64" s="17"/>
      <c r="C64" s="54">
        <f t="shared" si="0"/>
        <v>1295.4260621301776</v>
      </c>
      <c r="D64" s="54">
        <f t="shared" si="1"/>
        <v>5.6326939992983203</v>
      </c>
      <c r="E64" s="54">
        <f t="shared" si="2"/>
        <v>-1295.4260621301776</v>
      </c>
      <c r="F64" s="54">
        <f t="shared" si="3"/>
        <v>-229.98339023770015</v>
      </c>
    </row>
    <row r="65" spans="1:6" x14ac:dyDescent="0.25">
      <c r="A65" s="37">
        <v>42451</v>
      </c>
      <c r="B65" s="17"/>
      <c r="C65" s="54">
        <f t="shared" si="0"/>
        <v>1295.4260621301776</v>
      </c>
      <c r="D65" s="54">
        <f t="shared" si="1"/>
        <v>5.6326939992983203</v>
      </c>
      <c r="E65" s="54">
        <f t="shared" si="2"/>
        <v>-1295.4260621301776</v>
      </c>
      <c r="F65" s="54">
        <f t="shared" si="3"/>
        <v>-229.98339023770015</v>
      </c>
    </row>
    <row r="66" spans="1:6" x14ac:dyDescent="0.25">
      <c r="A66" s="37">
        <v>42482</v>
      </c>
      <c r="B66" s="17"/>
      <c r="C66" s="54">
        <f t="shared" si="0"/>
        <v>1295.4260621301776</v>
      </c>
      <c r="D66" s="54">
        <f t="shared" si="1"/>
        <v>5.6326939992983203</v>
      </c>
      <c r="E66" s="54">
        <f t="shared" si="2"/>
        <v>-1295.4260621301776</v>
      </c>
      <c r="F66" s="54">
        <f t="shared" si="3"/>
        <v>-229.98339023770015</v>
      </c>
    </row>
    <row r="67" spans="1:6" x14ac:dyDescent="0.25">
      <c r="A67" s="37">
        <v>42512</v>
      </c>
      <c r="B67" s="17"/>
      <c r="C67" s="54">
        <f t="shared" si="0"/>
        <v>1295.4260621301776</v>
      </c>
      <c r="D67" s="54">
        <f t="shared" si="1"/>
        <v>5.6326939992983203</v>
      </c>
      <c r="E67" s="54">
        <f t="shared" si="2"/>
        <v>-1295.4260621301776</v>
      </c>
      <c r="F67" s="54">
        <f t="shared" si="3"/>
        <v>-229.98339023770015</v>
      </c>
    </row>
    <row r="68" spans="1:6" x14ac:dyDescent="0.25">
      <c r="A68" s="37">
        <v>42543</v>
      </c>
      <c r="B68" s="17">
        <v>1293.845</v>
      </c>
      <c r="C68" s="54">
        <f t="shared" si="0"/>
        <v>1295.4260621301776</v>
      </c>
      <c r="D68" s="54">
        <f t="shared" si="1"/>
        <v>5.6326939992983203</v>
      </c>
      <c r="E68" s="54">
        <f t="shared" si="2"/>
        <v>-1.5810621301775427</v>
      </c>
      <c r="F68" s="54">
        <f t="shared" si="3"/>
        <v>-0.28069377288638436</v>
      </c>
    </row>
    <row r="69" spans="1:6" x14ac:dyDescent="0.25">
      <c r="A69" s="37">
        <v>42573</v>
      </c>
      <c r="B69" s="17">
        <v>1293.575</v>
      </c>
      <c r="C69" s="54">
        <f t="shared" ref="C69:C114" si="4">AVERAGE($B$4:$B$173)</f>
        <v>1295.4260621301776</v>
      </c>
      <c r="D69" s="54">
        <f t="shared" ref="D69:D132" si="5">_xlfn.STDEV.S($B$4:$B$173)</f>
        <v>5.6326939992983203</v>
      </c>
      <c r="E69" s="54">
        <f t="shared" ref="E69:E132" si="6">B69-C69</f>
        <v>-1.8510621301775245</v>
      </c>
      <c r="F69" s="54">
        <f t="shared" ref="F69:F132" si="7">E69/D69</f>
        <v>-0.3286282071080226</v>
      </c>
    </row>
    <row r="70" spans="1:6" x14ac:dyDescent="0.25">
      <c r="A70" s="37">
        <v>42604</v>
      </c>
      <c r="B70" s="17">
        <v>1293.53</v>
      </c>
      <c r="C70" s="54">
        <f t="shared" si="4"/>
        <v>1295.4260621301776</v>
      </c>
      <c r="D70" s="54">
        <f t="shared" si="5"/>
        <v>5.6326939992983203</v>
      </c>
      <c r="E70" s="54">
        <f t="shared" si="6"/>
        <v>-1.8960621301775973</v>
      </c>
      <c r="F70" s="54">
        <f t="shared" si="7"/>
        <v>-0.33661727947830911</v>
      </c>
    </row>
    <row r="71" spans="1:6" x14ac:dyDescent="0.25">
      <c r="A71" s="37">
        <v>42635</v>
      </c>
      <c r="B71" s="17">
        <v>1293.3200000000002</v>
      </c>
      <c r="C71" s="54">
        <f t="shared" si="4"/>
        <v>1295.4260621301776</v>
      </c>
      <c r="D71" s="54">
        <f t="shared" si="5"/>
        <v>5.6326939992983203</v>
      </c>
      <c r="E71" s="54">
        <f t="shared" si="6"/>
        <v>-2.1060621301774063</v>
      </c>
      <c r="F71" s="54">
        <f t="shared" si="7"/>
        <v>-0.37389961720621856</v>
      </c>
    </row>
    <row r="72" spans="1:6" x14ac:dyDescent="0.25">
      <c r="A72" s="37">
        <v>42665</v>
      </c>
      <c r="B72" s="17">
        <v>1293.5550000000001</v>
      </c>
      <c r="C72" s="54">
        <f t="shared" si="4"/>
        <v>1295.4260621301776</v>
      </c>
      <c r="D72" s="54">
        <f t="shared" si="5"/>
        <v>5.6326939992983203</v>
      </c>
      <c r="E72" s="54">
        <f t="shared" si="6"/>
        <v>-1.8710621301775063</v>
      </c>
      <c r="F72" s="54">
        <f t="shared" si="7"/>
        <v>-0.33217890593925209</v>
      </c>
    </row>
    <row r="73" spans="1:6" x14ac:dyDescent="0.25">
      <c r="A73" s="37">
        <v>42696</v>
      </c>
      <c r="B73" s="17">
        <v>1293.835</v>
      </c>
      <c r="C73" s="54">
        <f t="shared" si="4"/>
        <v>1295.4260621301776</v>
      </c>
      <c r="D73" s="54">
        <f t="shared" si="5"/>
        <v>5.6326939992983203</v>
      </c>
      <c r="E73" s="54">
        <f t="shared" si="6"/>
        <v>-1.5910621301775336</v>
      </c>
      <c r="F73" s="54">
        <f t="shared" si="7"/>
        <v>-0.28246912230199911</v>
      </c>
    </row>
    <row r="74" spans="1:6" x14ac:dyDescent="0.25">
      <c r="A74" s="37">
        <v>42726</v>
      </c>
      <c r="B74" s="17">
        <v>1350.4549999999999</v>
      </c>
      <c r="C74" s="54">
        <f t="shared" si="4"/>
        <v>1295.4260621301776</v>
      </c>
      <c r="D74" s="54">
        <f t="shared" si="5"/>
        <v>5.6326939992983203</v>
      </c>
      <c r="E74" s="54">
        <f t="shared" si="6"/>
        <v>55.028937869822357</v>
      </c>
      <c r="F74" s="54">
        <f t="shared" si="7"/>
        <v>9.7695592689177602</v>
      </c>
    </row>
    <row r="75" spans="1:6" x14ac:dyDescent="0.25">
      <c r="A75" s="37">
        <v>42757</v>
      </c>
      <c r="B75" s="17">
        <v>1294.1999999999998</v>
      </c>
      <c r="C75" s="54">
        <f t="shared" si="4"/>
        <v>1295.4260621301776</v>
      </c>
      <c r="D75" s="54">
        <f t="shared" si="5"/>
        <v>5.6326939992983203</v>
      </c>
      <c r="E75" s="54">
        <f t="shared" si="6"/>
        <v>-1.2260621301777519</v>
      </c>
      <c r="F75" s="54">
        <f t="shared" si="7"/>
        <v>-0.21766886863204105</v>
      </c>
    </row>
    <row r="76" spans="1:6" x14ac:dyDescent="0.25">
      <c r="A76" s="37">
        <v>42788</v>
      </c>
      <c r="B76" s="17">
        <v>1294.1849999999999</v>
      </c>
      <c r="C76" s="54">
        <f t="shared" si="4"/>
        <v>1295.4260621301776</v>
      </c>
      <c r="D76" s="54">
        <f t="shared" si="5"/>
        <v>5.6326939992983203</v>
      </c>
      <c r="E76" s="54">
        <f t="shared" si="6"/>
        <v>-1.2410621301776246</v>
      </c>
      <c r="F76" s="54">
        <f t="shared" si="7"/>
        <v>-0.22033189275544296</v>
      </c>
    </row>
    <row r="77" spans="1:6" x14ac:dyDescent="0.25">
      <c r="A77" s="37">
        <v>42816</v>
      </c>
      <c r="B77" s="17">
        <v>1294.635</v>
      </c>
      <c r="C77" s="54">
        <f t="shared" si="4"/>
        <v>1295.4260621301776</v>
      </c>
      <c r="D77" s="54">
        <f t="shared" si="5"/>
        <v>5.6326939992983203</v>
      </c>
      <c r="E77" s="54">
        <f t="shared" si="6"/>
        <v>-0.79106213017757909</v>
      </c>
      <c r="F77" s="54">
        <f t="shared" si="7"/>
        <v>-0.14044116905269907</v>
      </c>
    </row>
    <row r="78" spans="1:6" x14ac:dyDescent="0.25">
      <c r="A78" s="37">
        <v>42847</v>
      </c>
      <c r="B78" s="17">
        <v>1294.71</v>
      </c>
      <c r="C78" s="54">
        <f t="shared" si="4"/>
        <v>1295.4260621301776</v>
      </c>
      <c r="D78" s="54">
        <f t="shared" si="5"/>
        <v>5.6326939992983203</v>
      </c>
      <c r="E78" s="54">
        <f t="shared" si="6"/>
        <v>-0.71606213017753362</v>
      </c>
      <c r="F78" s="54">
        <f t="shared" si="7"/>
        <v>-0.12712604843556838</v>
      </c>
    </row>
    <row r="79" spans="1:6" x14ac:dyDescent="0.25">
      <c r="A79" s="37">
        <v>42877</v>
      </c>
      <c r="B79" s="17">
        <v>1294.69</v>
      </c>
      <c r="C79" s="54">
        <f t="shared" si="4"/>
        <v>1295.4260621301776</v>
      </c>
      <c r="D79" s="54">
        <f t="shared" si="5"/>
        <v>5.6326939992983203</v>
      </c>
      <c r="E79" s="54">
        <f t="shared" si="6"/>
        <v>-0.73606213017751543</v>
      </c>
      <c r="F79" s="54">
        <f t="shared" si="7"/>
        <v>-0.13067674726679784</v>
      </c>
    </row>
    <row r="80" spans="1:6" x14ac:dyDescent="0.25">
      <c r="A80" s="37">
        <v>42908</v>
      </c>
      <c r="B80" s="17">
        <v>1294.7</v>
      </c>
      <c r="C80" s="54">
        <f t="shared" si="4"/>
        <v>1295.4260621301776</v>
      </c>
      <c r="D80" s="54">
        <f t="shared" si="5"/>
        <v>5.6326939992983203</v>
      </c>
      <c r="E80" s="54">
        <f t="shared" si="6"/>
        <v>-0.72606213017752452</v>
      </c>
      <c r="F80" s="54">
        <f t="shared" si="7"/>
        <v>-0.12890139785118312</v>
      </c>
    </row>
    <row r="81" spans="1:6" x14ac:dyDescent="0.25">
      <c r="A81" s="37">
        <v>42938</v>
      </c>
      <c r="B81" s="17">
        <v>1294.5700000000002</v>
      </c>
      <c r="C81" s="54">
        <f t="shared" si="4"/>
        <v>1295.4260621301776</v>
      </c>
      <c r="D81" s="54">
        <f t="shared" si="5"/>
        <v>5.6326939992983203</v>
      </c>
      <c r="E81" s="54">
        <f t="shared" si="6"/>
        <v>-0.85606213017740629</v>
      </c>
      <c r="F81" s="54">
        <f t="shared" si="7"/>
        <v>-0.15198094025417469</v>
      </c>
    </row>
    <row r="82" spans="1:6" x14ac:dyDescent="0.25">
      <c r="A82" s="37">
        <v>42969</v>
      </c>
      <c r="B82" s="17">
        <v>1294.4349999999999</v>
      </c>
      <c r="C82" s="54">
        <f t="shared" si="4"/>
        <v>1295.4260621301776</v>
      </c>
      <c r="D82" s="54">
        <f t="shared" si="5"/>
        <v>5.6326939992983203</v>
      </c>
      <c r="E82" s="54">
        <f t="shared" si="6"/>
        <v>-0.99106213017762457</v>
      </c>
      <c r="F82" s="54">
        <f t="shared" si="7"/>
        <v>-0.17594815736503419</v>
      </c>
    </row>
    <row r="83" spans="1:6" x14ac:dyDescent="0.25">
      <c r="A83" s="37">
        <v>43000</v>
      </c>
      <c r="B83" s="17">
        <v>1294.155</v>
      </c>
      <c r="C83" s="54">
        <f t="shared" si="4"/>
        <v>1295.4260621301776</v>
      </c>
      <c r="D83" s="54">
        <f t="shared" si="5"/>
        <v>5.6326939992983203</v>
      </c>
      <c r="E83" s="54">
        <f t="shared" si="6"/>
        <v>-1.2710621301775973</v>
      </c>
      <c r="F83" s="54">
        <f t="shared" si="7"/>
        <v>-0.22565794100228717</v>
      </c>
    </row>
    <row r="84" spans="1:6" x14ac:dyDescent="0.25">
      <c r="A84" s="37">
        <v>43030</v>
      </c>
      <c r="B84" s="17">
        <v>1293.875</v>
      </c>
      <c r="C84" s="54">
        <f t="shared" si="4"/>
        <v>1295.4260621301776</v>
      </c>
      <c r="D84" s="54">
        <f t="shared" si="5"/>
        <v>5.6326939992983203</v>
      </c>
      <c r="E84" s="54">
        <f t="shared" si="6"/>
        <v>-1.55106213017757</v>
      </c>
      <c r="F84" s="54">
        <f t="shared" si="7"/>
        <v>-0.27536772463954012</v>
      </c>
    </row>
    <row r="85" spans="1:6" x14ac:dyDescent="0.25">
      <c r="A85" s="37">
        <v>43061</v>
      </c>
      <c r="B85" s="17">
        <v>1294.28</v>
      </c>
      <c r="C85" s="54">
        <f t="shared" si="4"/>
        <v>1295.4260621301776</v>
      </c>
      <c r="D85" s="54">
        <f t="shared" si="5"/>
        <v>5.6326939992983203</v>
      </c>
      <c r="E85" s="54">
        <f t="shared" si="6"/>
        <v>-1.1460621301775973</v>
      </c>
      <c r="F85" s="54">
        <f t="shared" si="7"/>
        <v>-0.20346607330708277</v>
      </c>
    </row>
    <row r="86" spans="1:6" x14ac:dyDescent="0.25">
      <c r="A86" s="37">
        <v>43091</v>
      </c>
      <c r="B86" s="17">
        <v>1296.365</v>
      </c>
      <c r="C86" s="54">
        <f t="shared" si="4"/>
        <v>1295.4260621301776</v>
      </c>
      <c r="D86" s="54">
        <f t="shared" si="5"/>
        <v>5.6326939992983203</v>
      </c>
      <c r="E86" s="54">
        <f t="shared" si="6"/>
        <v>0.9389378698224391</v>
      </c>
      <c r="F86" s="54">
        <f t="shared" si="7"/>
        <v>0.16669427984893287</v>
      </c>
    </row>
    <row r="87" spans="1:6" x14ac:dyDescent="0.25">
      <c r="A87" s="37">
        <v>43122</v>
      </c>
      <c r="B87" s="17">
        <v>1297.8499999999999</v>
      </c>
      <c r="C87" s="54">
        <f t="shared" si="4"/>
        <v>1295.4260621301776</v>
      </c>
      <c r="D87" s="54">
        <f t="shared" si="5"/>
        <v>5.6326939992983203</v>
      </c>
      <c r="E87" s="54">
        <f t="shared" si="6"/>
        <v>2.4239378698223391</v>
      </c>
      <c r="F87" s="54">
        <f t="shared" si="7"/>
        <v>0.43033366806794326</v>
      </c>
    </row>
    <row r="88" spans="1:6" x14ac:dyDescent="0.25">
      <c r="A88" s="37">
        <v>43153</v>
      </c>
      <c r="B88" s="17">
        <v>1297.33</v>
      </c>
      <c r="C88" s="54">
        <f t="shared" si="4"/>
        <v>1295.4260621301776</v>
      </c>
      <c r="D88" s="54">
        <f t="shared" si="5"/>
        <v>5.6326939992983203</v>
      </c>
      <c r="E88" s="54">
        <f t="shared" si="6"/>
        <v>1.9039378698223572</v>
      </c>
      <c r="F88" s="54">
        <f t="shared" si="7"/>
        <v>0.33801549845589623</v>
      </c>
    </row>
    <row r="89" spans="1:6" x14ac:dyDescent="0.25">
      <c r="A89" s="37">
        <v>43181</v>
      </c>
      <c r="B89" s="17">
        <v>1298.155</v>
      </c>
      <c r="C89" s="54">
        <f t="shared" si="4"/>
        <v>1295.4260621301776</v>
      </c>
      <c r="D89" s="54">
        <f t="shared" si="5"/>
        <v>5.6326939992983203</v>
      </c>
      <c r="E89" s="54">
        <f t="shared" si="6"/>
        <v>2.7289378698224027</v>
      </c>
      <c r="F89" s="54">
        <f t="shared" si="7"/>
        <v>0.48448182524425326</v>
      </c>
    </row>
    <row r="90" spans="1:6" x14ac:dyDescent="0.25">
      <c r="A90" s="37">
        <v>43212</v>
      </c>
      <c r="B90" s="17">
        <v>1297.7750000000001</v>
      </c>
      <c r="C90" s="54">
        <f t="shared" si="4"/>
        <v>1295.4260621301776</v>
      </c>
      <c r="D90" s="54">
        <f t="shared" si="5"/>
        <v>5.6326939992983203</v>
      </c>
      <c r="E90" s="54">
        <f t="shared" si="6"/>
        <v>2.348937869822521</v>
      </c>
      <c r="F90" s="54">
        <f t="shared" si="7"/>
        <v>0.41701854745085287</v>
      </c>
    </row>
    <row r="91" spans="1:6" x14ac:dyDescent="0.25">
      <c r="A91" s="37">
        <v>43242</v>
      </c>
      <c r="B91" s="17">
        <v>1297.48</v>
      </c>
      <c r="C91" s="54">
        <f t="shared" si="4"/>
        <v>1295.4260621301776</v>
      </c>
      <c r="D91" s="54">
        <f t="shared" si="5"/>
        <v>5.6326939992983203</v>
      </c>
      <c r="E91" s="54">
        <f t="shared" si="6"/>
        <v>2.0539378698224482</v>
      </c>
      <c r="F91" s="54">
        <f t="shared" si="7"/>
        <v>0.36464573969015762</v>
      </c>
    </row>
    <row r="92" spans="1:6" x14ac:dyDescent="0.25">
      <c r="A92" s="37">
        <v>43273</v>
      </c>
      <c r="B92" s="17">
        <v>1297.46</v>
      </c>
      <c r="C92" s="54">
        <f t="shared" si="4"/>
        <v>1295.4260621301776</v>
      </c>
      <c r="D92" s="54">
        <f t="shared" si="5"/>
        <v>5.6326939992983203</v>
      </c>
      <c r="E92" s="54">
        <f t="shared" si="6"/>
        <v>2.0339378698224664</v>
      </c>
      <c r="F92" s="54">
        <f t="shared" si="7"/>
        <v>0.36109504085892813</v>
      </c>
    </row>
    <row r="93" spans="1:6" x14ac:dyDescent="0.25">
      <c r="A93" s="37">
        <v>43303</v>
      </c>
      <c r="B93" s="17">
        <v>1297.31</v>
      </c>
      <c r="C93" s="54">
        <f t="shared" si="4"/>
        <v>1295.4260621301776</v>
      </c>
      <c r="D93" s="54">
        <f t="shared" si="5"/>
        <v>5.6326939992983203</v>
      </c>
      <c r="E93" s="54">
        <f t="shared" si="6"/>
        <v>1.8839378698223754</v>
      </c>
      <c r="F93" s="54">
        <f t="shared" si="7"/>
        <v>0.33446479962466674</v>
      </c>
    </row>
    <row r="94" spans="1:6" x14ac:dyDescent="0.25">
      <c r="A94" s="37">
        <v>43334</v>
      </c>
      <c r="B94" s="17">
        <v>1296.135</v>
      </c>
      <c r="C94" s="54">
        <f t="shared" si="4"/>
        <v>1295.4260621301776</v>
      </c>
      <c r="D94" s="54">
        <f t="shared" si="5"/>
        <v>5.6326939992983203</v>
      </c>
      <c r="E94" s="54">
        <f t="shared" si="6"/>
        <v>0.70893786982242091</v>
      </c>
      <c r="F94" s="54">
        <f t="shared" si="7"/>
        <v>0.12586124328975357</v>
      </c>
    </row>
    <row r="95" spans="1:6" x14ac:dyDescent="0.25">
      <c r="A95" s="37">
        <v>43365</v>
      </c>
      <c r="B95" s="17">
        <v>1295.67</v>
      </c>
      <c r="C95" s="54">
        <f t="shared" si="4"/>
        <v>1295.4260621301776</v>
      </c>
      <c r="D95" s="54">
        <f t="shared" si="5"/>
        <v>5.6326939992983203</v>
      </c>
      <c r="E95" s="54">
        <f t="shared" si="6"/>
        <v>0.24393786982250276</v>
      </c>
      <c r="F95" s="54">
        <f t="shared" si="7"/>
        <v>4.3307495463607779E-2</v>
      </c>
    </row>
    <row r="96" spans="1:6" x14ac:dyDescent="0.25">
      <c r="A96" s="37">
        <v>43395</v>
      </c>
      <c r="B96" s="17">
        <v>1295.52</v>
      </c>
      <c r="C96" s="54">
        <f t="shared" si="4"/>
        <v>1295.4260621301776</v>
      </c>
      <c r="D96" s="54">
        <f t="shared" si="5"/>
        <v>5.6326939992983203</v>
      </c>
      <c r="E96" s="54">
        <f t="shared" si="6"/>
        <v>9.3937869822411812E-2</v>
      </c>
      <c r="F96" s="54">
        <f t="shared" si="7"/>
        <v>1.6677254229346367E-2</v>
      </c>
    </row>
    <row r="97" spans="1:6" x14ac:dyDescent="0.25">
      <c r="A97" s="37">
        <v>43426</v>
      </c>
      <c r="B97" s="17">
        <v>1295.52</v>
      </c>
      <c r="C97" s="54">
        <f t="shared" si="4"/>
        <v>1295.4260621301776</v>
      </c>
      <c r="D97" s="54">
        <f t="shared" si="5"/>
        <v>5.6326939992983203</v>
      </c>
      <c r="E97" s="54">
        <f t="shared" si="6"/>
        <v>9.3937869822411812E-2</v>
      </c>
      <c r="F97" s="54">
        <f t="shared" si="7"/>
        <v>1.6677254229346367E-2</v>
      </c>
    </row>
    <row r="98" spans="1:6" x14ac:dyDescent="0.25">
      <c r="A98" s="37">
        <v>43456</v>
      </c>
      <c r="B98" s="17">
        <v>1295.615</v>
      </c>
      <c r="C98" s="54">
        <f t="shared" si="4"/>
        <v>1295.4260621301776</v>
      </c>
      <c r="D98" s="54">
        <f t="shared" si="5"/>
        <v>5.6326939992983203</v>
      </c>
      <c r="E98" s="54">
        <f t="shared" si="6"/>
        <v>0.1889378698224391</v>
      </c>
      <c r="F98" s="54">
        <f t="shared" si="7"/>
        <v>3.3543073677706543E-2</v>
      </c>
    </row>
    <row r="99" spans="1:6" x14ac:dyDescent="0.25">
      <c r="A99" s="37">
        <v>43487</v>
      </c>
      <c r="B99" s="17">
        <v>1295.3575000000001</v>
      </c>
      <c r="C99" s="54">
        <f t="shared" si="4"/>
        <v>1295.4260621301776</v>
      </c>
      <c r="D99" s="54">
        <f t="shared" si="5"/>
        <v>5.6326939992983203</v>
      </c>
      <c r="E99" s="54">
        <f t="shared" si="6"/>
        <v>-6.8562130177497238E-2</v>
      </c>
      <c r="F99" s="54">
        <f t="shared" si="7"/>
        <v>-1.2172173774403191E-2</v>
      </c>
    </row>
    <row r="100" spans="1:6" x14ac:dyDescent="0.25">
      <c r="A100" s="37">
        <v>43518</v>
      </c>
      <c r="B100" s="17">
        <v>1295.24</v>
      </c>
      <c r="C100" s="54">
        <f t="shared" si="4"/>
        <v>1295.4260621301776</v>
      </c>
      <c r="D100" s="54">
        <f t="shared" si="5"/>
        <v>5.6326939992983203</v>
      </c>
      <c r="E100" s="54">
        <f t="shared" si="6"/>
        <v>-0.1860621301775609</v>
      </c>
      <c r="F100" s="54">
        <f t="shared" si="7"/>
        <v>-3.3032529407906616E-2</v>
      </c>
    </row>
    <row r="101" spans="1:6" x14ac:dyDescent="0.25">
      <c r="A101" s="37">
        <v>43546</v>
      </c>
      <c r="B101" s="17">
        <v>1295.1999999999998</v>
      </c>
      <c r="C101" s="54">
        <f t="shared" si="4"/>
        <v>1295.4260621301776</v>
      </c>
      <c r="D101" s="54">
        <f t="shared" si="5"/>
        <v>5.6326939992983203</v>
      </c>
      <c r="E101" s="54">
        <f t="shared" si="6"/>
        <v>-0.2260621301777519</v>
      </c>
      <c r="F101" s="54">
        <f t="shared" si="7"/>
        <v>-4.0133927070405931E-2</v>
      </c>
    </row>
    <row r="102" spans="1:6" x14ac:dyDescent="0.25">
      <c r="A102" s="37">
        <v>43577</v>
      </c>
      <c r="B102" s="17">
        <v>1295.2449999999999</v>
      </c>
      <c r="C102" s="54">
        <f t="shared" si="4"/>
        <v>1295.4260621301776</v>
      </c>
      <c r="D102" s="54">
        <f t="shared" si="5"/>
        <v>5.6326939992983203</v>
      </c>
      <c r="E102" s="54">
        <f t="shared" si="6"/>
        <v>-0.18106213017767914</v>
      </c>
      <c r="F102" s="54">
        <f t="shared" si="7"/>
        <v>-3.2144854700119435E-2</v>
      </c>
    </row>
    <row r="103" spans="1:6" x14ac:dyDescent="0.25">
      <c r="A103" s="37">
        <v>43607</v>
      </c>
      <c r="B103" s="17">
        <v>1295.0250000000001</v>
      </c>
      <c r="C103" s="54">
        <f t="shared" si="4"/>
        <v>1295.4260621301776</v>
      </c>
      <c r="D103" s="54">
        <f t="shared" si="5"/>
        <v>5.6326939992983203</v>
      </c>
      <c r="E103" s="54">
        <f t="shared" si="6"/>
        <v>-0.40106213017747905</v>
      </c>
      <c r="F103" s="54">
        <f t="shared" si="7"/>
        <v>-7.1202541843643635E-2</v>
      </c>
    </row>
    <row r="104" spans="1:6" x14ac:dyDescent="0.25">
      <c r="A104" s="37">
        <v>43638</v>
      </c>
      <c r="B104" s="17">
        <v>1294.75</v>
      </c>
      <c r="C104" s="54">
        <f t="shared" si="4"/>
        <v>1295.4260621301776</v>
      </c>
      <c r="D104" s="54">
        <f t="shared" si="5"/>
        <v>5.6326939992983203</v>
      </c>
      <c r="E104" s="54">
        <f t="shared" si="6"/>
        <v>-0.67606213017757</v>
      </c>
      <c r="F104" s="54">
        <f t="shared" si="7"/>
        <v>-0.12002465077310943</v>
      </c>
    </row>
    <row r="105" spans="1:6" x14ac:dyDescent="0.25">
      <c r="A105" s="37">
        <v>43668</v>
      </c>
      <c r="B105" s="17">
        <v>1294.4349999999999</v>
      </c>
      <c r="C105" s="54">
        <f t="shared" si="4"/>
        <v>1295.4260621301776</v>
      </c>
      <c r="D105" s="54">
        <f t="shared" si="5"/>
        <v>5.6326939992983203</v>
      </c>
      <c r="E105" s="54">
        <f t="shared" si="6"/>
        <v>-0.99106213017762457</v>
      </c>
      <c r="F105" s="54">
        <f t="shared" si="7"/>
        <v>-0.17594815736503419</v>
      </c>
    </row>
    <row r="106" spans="1:6" x14ac:dyDescent="0.25">
      <c r="A106" s="37">
        <v>43699</v>
      </c>
      <c r="B106" s="17">
        <v>1294.23</v>
      </c>
      <c r="C106" s="54">
        <f t="shared" si="4"/>
        <v>1295.4260621301776</v>
      </c>
      <c r="D106" s="54">
        <f t="shared" si="5"/>
        <v>5.6326939992983203</v>
      </c>
      <c r="E106" s="54">
        <f t="shared" si="6"/>
        <v>-1.1960621301775518</v>
      </c>
      <c r="F106" s="54">
        <f t="shared" si="7"/>
        <v>-0.21234282038515645</v>
      </c>
    </row>
    <row r="107" spans="1:6" x14ac:dyDescent="0.25">
      <c r="A107" s="37">
        <v>43730</v>
      </c>
      <c r="B107" s="17">
        <v>1293.9650000000001</v>
      </c>
      <c r="C107" s="54">
        <f t="shared" si="4"/>
        <v>1295.4260621301776</v>
      </c>
      <c r="D107" s="54">
        <f t="shared" si="5"/>
        <v>5.6326939992983203</v>
      </c>
      <c r="E107" s="54">
        <f t="shared" si="6"/>
        <v>-1.4610621301774245</v>
      </c>
      <c r="F107" s="54">
        <f t="shared" si="7"/>
        <v>-0.25938957989896716</v>
      </c>
    </row>
    <row r="108" spans="1:6" x14ac:dyDescent="0.25">
      <c r="A108" s="37">
        <v>43760</v>
      </c>
      <c r="B108" s="17">
        <v>1293.7449999999999</v>
      </c>
      <c r="C108" s="54">
        <f t="shared" si="4"/>
        <v>1295.4260621301776</v>
      </c>
      <c r="D108" s="54">
        <f t="shared" si="5"/>
        <v>5.6326939992983203</v>
      </c>
      <c r="E108" s="54">
        <f t="shared" si="6"/>
        <v>-1.6810621301776791</v>
      </c>
      <c r="F108" s="54">
        <f t="shared" si="7"/>
        <v>-0.29844726704257207</v>
      </c>
    </row>
    <row r="109" spans="1:6" x14ac:dyDescent="0.25">
      <c r="A109" s="37">
        <v>43791</v>
      </c>
      <c r="B109" s="17">
        <v>1293.7649999999999</v>
      </c>
      <c r="C109" s="54">
        <f t="shared" si="4"/>
        <v>1295.4260621301776</v>
      </c>
      <c r="D109" s="54">
        <f t="shared" si="5"/>
        <v>5.6326939992983203</v>
      </c>
      <c r="E109" s="54">
        <f t="shared" si="6"/>
        <v>-1.6610621301776973</v>
      </c>
      <c r="F109" s="54">
        <f t="shared" si="7"/>
        <v>-0.29489656821134264</v>
      </c>
    </row>
    <row r="110" spans="1:6" x14ac:dyDescent="0.25">
      <c r="A110" s="37">
        <v>43821</v>
      </c>
      <c r="B110" s="17">
        <v>1294.6300000000001</v>
      </c>
      <c r="C110" s="54">
        <f t="shared" si="4"/>
        <v>1295.4260621301776</v>
      </c>
      <c r="D110" s="54">
        <f t="shared" si="5"/>
        <v>5.6326939992983203</v>
      </c>
      <c r="E110" s="54">
        <f t="shared" si="6"/>
        <v>-0.79606213017746086</v>
      </c>
      <c r="F110" s="54">
        <f t="shared" si="7"/>
        <v>-0.14132884376048627</v>
      </c>
    </row>
    <row r="111" spans="1:6" x14ac:dyDescent="0.25">
      <c r="A111" s="37">
        <v>43852</v>
      </c>
      <c r="B111" s="17">
        <v>1294.595</v>
      </c>
      <c r="C111" s="54">
        <f t="shared" si="4"/>
        <v>1295.4260621301776</v>
      </c>
      <c r="D111" s="54">
        <f t="shared" si="5"/>
        <v>5.6326939992983203</v>
      </c>
      <c r="E111" s="54">
        <f t="shared" si="6"/>
        <v>-0.83106213017754271</v>
      </c>
      <c r="F111" s="54">
        <f t="shared" si="7"/>
        <v>-0.14754256671515803</v>
      </c>
    </row>
    <row r="112" spans="1:6" x14ac:dyDescent="0.25">
      <c r="A112" s="37">
        <v>43883</v>
      </c>
      <c r="B112" s="17">
        <v>1294.81</v>
      </c>
      <c r="C112" s="54">
        <f t="shared" si="4"/>
        <v>1295.4260621301776</v>
      </c>
      <c r="D112" s="54">
        <f t="shared" si="5"/>
        <v>5.6326939992983203</v>
      </c>
      <c r="E112" s="54">
        <f t="shared" si="6"/>
        <v>-0.61606213017762457</v>
      </c>
      <c r="F112" s="54">
        <f t="shared" si="7"/>
        <v>-0.10937255427942101</v>
      </c>
    </row>
    <row r="113" spans="1:6" x14ac:dyDescent="0.25">
      <c r="A113" s="51">
        <v>43912</v>
      </c>
      <c r="B113" s="49"/>
      <c r="C113" s="54">
        <f t="shared" si="4"/>
        <v>1295.4260621301776</v>
      </c>
      <c r="D113" s="54">
        <f t="shared" si="5"/>
        <v>5.6326939992983203</v>
      </c>
      <c r="E113" s="63"/>
      <c r="F113" s="63"/>
    </row>
    <row r="114" spans="1:6" x14ac:dyDescent="0.25">
      <c r="A114" s="51">
        <v>43943</v>
      </c>
      <c r="B114" s="49"/>
      <c r="C114" s="54">
        <f t="shared" si="4"/>
        <v>1295.4260621301776</v>
      </c>
      <c r="D114" s="54">
        <f t="shared" si="5"/>
        <v>5.6326939992983203</v>
      </c>
      <c r="E114" s="63"/>
      <c r="F114" s="63"/>
    </row>
    <row r="115" spans="1:6" x14ac:dyDescent="0.25">
      <c r="A115" s="64">
        <v>43973</v>
      </c>
      <c r="B115" s="50">
        <v>1294.5450000000001</v>
      </c>
      <c r="C115" s="54">
        <f>AVERAGE($B$4:$B$173)</f>
        <v>1295.4260621301776</v>
      </c>
      <c r="D115" s="54">
        <f t="shared" si="5"/>
        <v>5.6326939992983203</v>
      </c>
      <c r="E115" s="54">
        <f t="shared" si="6"/>
        <v>-0.88106213017749724</v>
      </c>
      <c r="F115" s="54">
        <f t="shared" si="7"/>
        <v>-0.15641931379323171</v>
      </c>
    </row>
    <row r="116" spans="1:6" x14ac:dyDescent="0.25">
      <c r="A116" s="64">
        <v>44004</v>
      </c>
      <c r="B116" s="50">
        <v>1294.0650000000001</v>
      </c>
      <c r="C116" s="54">
        <f t="shared" ref="C116:C173" si="8">AVERAGE($B$4:$B$173)</f>
        <v>1295.4260621301776</v>
      </c>
      <c r="D116" s="54">
        <f t="shared" si="5"/>
        <v>5.6326939992983203</v>
      </c>
      <c r="E116" s="54">
        <f t="shared" si="6"/>
        <v>-1.3610621301775154</v>
      </c>
      <c r="F116" s="54">
        <f t="shared" si="7"/>
        <v>-0.24163608574281978</v>
      </c>
    </row>
    <row r="117" spans="1:6" x14ac:dyDescent="0.25">
      <c r="A117" s="64">
        <v>44034</v>
      </c>
      <c r="B117" s="50">
        <v>1293.76</v>
      </c>
      <c r="C117" s="54">
        <f t="shared" si="8"/>
        <v>1295.4260621301776</v>
      </c>
      <c r="D117" s="54">
        <f t="shared" si="5"/>
        <v>5.6326939992983203</v>
      </c>
      <c r="E117" s="54">
        <f t="shared" si="6"/>
        <v>-1.6660621301775791</v>
      </c>
      <c r="F117" s="54">
        <f t="shared" si="7"/>
        <v>-0.2957842429191298</v>
      </c>
    </row>
    <row r="118" spans="1:6" x14ac:dyDescent="0.25">
      <c r="A118" s="37">
        <v>44065</v>
      </c>
      <c r="B118" s="50">
        <v>1293.77</v>
      </c>
      <c r="C118" s="54">
        <f t="shared" si="8"/>
        <v>1295.4260621301776</v>
      </c>
      <c r="D118" s="54">
        <f t="shared" si="5"/>
        <v>5.6326939992983203</v>
      </c>
      <c r="E118" s="30">
        <f t="shared" si="6"/>
        <v>-1.6560621301775882</v>
      </c>
      <c r="F118" s="13">
        <f t="shared" si="7"/>
        <v>-0.29400889350351506</v>
      </c>
    </row>
    <row r="119" spans="1:6" x14ac:dyDescent="0.25">
      <c r="A119" s="37">
        <v>44096</v>
      </c>
      <c r="B119" s="50">
        <v>1293.75</v>
      </c>
      <c r="C119" s="54">
        <f t="shared" si="8"/>
        <v>1295.4260621301776</v>
      </c>
      <c r="D119" s="54">
        <f t="shared" si="5"/>
        <v>5.6326939992983203</v>
      </c>
      <c r="E119" s="30">
        <f t="shared" si="6"/>
        <v>-1.67606213017757</v>
      </c>
      <c r="F119" s="13">
        <f t="shared" si="7"/>
        <v>-0.29755959233474455</v>
      </c>
    </row>
    <row r="120" spans="1:6" x14ac:dyDescent="0.25">
      <c r="A120" s="37">
        <v>44126</v>
      </c>
      <c r="B120" s="50">
        <v>1293.5</v>
      </c>
      <c r="C120" s="54">
        <f t="shared" si="8"/>
        <v>1295.4260621301776</v>
      </c>
      <c r="D120" s="54">
        <f t="shared" si="5"/>
        <v>5.6326939992983203</v>
      </c>
      <c r="E120" s="30">
        <f t="shared" si="6"/>
        <v>-1.92606213017757</v>
      </c>
      <c r="F120" s="13">
        <f t="shared" si="7"/>
        <v>-0.34194332772515329</v>
      </c>
    </row>
    <row r="121" spans="1:6" x14ac:dyDescent="0.25">
      <c r="A121" s="37">
        <v>44157</v>
      </c>
      <c r="B121" s="50">
        <v>1293.3600000000001</v>
      </c>
      <c r="C121" s="54">
        <f t="shared" si="8"/>
        <v>1295.4260621301776</v>
      </c>
      <c r="D121" s="54">
        <f t="shared" si="5"/>
        <v>5.6326939992983203</v>
      </c>
      <c r="E121" s="30">
        <f t="shared" si="6"/>
        <v>-2.0660621301774427</v>
      </c>
      <c r="F121" s="13">
        <f t="shared" si="7"/>
        <v>-0.36679821954375963</v>
      </c>
    </row>
    <row r="122" spans="1:6" x14ac:dyDescent="0.25">
      <c r="A122" s="37">
        <v>44187</v>
      </c>
      <c r="B122" s="50">
        <v>1293.3599999999999</v>
      </c>
      <c r="C122" s="54">
        <f t="shared" si="8"/>
        <v>1295.4260621301776</v>
      </c>
      <c r="D122" s="54">
        <f t="shared" si="5"/>
        <v>5.6326939992983203</v>
      </c>
      <c r="E122" s="30">
        <f t="shared" si="6"/>
        <v>-2.06606213017767</v>
      </c>
      <c r="F122" s="13">
        <f t="shared" si="7"/>
        <v>-0.36679821954379999</v>
      </c>
    </row>
    <row r="123" spans="1:6" x14ac:dyDescent="0.25">
      <c r="A123" s="37">
        <v>44218</v>
      </c>
      <c r="B123" s="50">
        <v>1294.375</v>
      </c>
      <c r="C123" s="54">
        <f t="shared" si="8"/>
        <v>1295.4260621301776</v>
      </c>
      <c r="D123" s="54">
        <f t="shared" si="5"/>
        <v>5.6326939992983203</v>
      </c>
      <c r="E123" s="30">
        <f t="shared" si="6"/>
        <v>-1.05106213017757</v>
      </c>
      <c r="F123" s="13">
        <f t="shared" si="7"/>
        <v>-0.18660025385872259</v>
      </c>
    </row>
    <row r="124" spans="1:6" x14ac:dyDescent="0.25">
      <c r="A124" s="37">
        <v>44249</v>
      </c>
      <c r="B124" s="50">
        <v>1294.7824999999998</v>
      </c>
      <c r="C124" s="54">
        <f t="shared" si="8"/>
        <v>1295.4260621301776</v>
      </c>
      <c r="D124" s="54">
        <f t="shared" si="5"/>
        <v>5.6326939992983203</v>
      </c>
      <c r="E124" s="30">
        <f t="shared" si="6"/>
        <v>-0.64356213017777009</v>
      </c>
      <c r="F124" s="13">
        <f t="shared" si="7"/>
        <v>-0.11425476517239182</v>
      </c>
    </row>
    <row r="125" spans="1:6" x14ac:dyDescent="0.25">
      <c r="A125" s="37">
        <v>44277</v>
      </c>
      <c r="B125" s="50">
        <v>1295.2</v>
      </c>
      <c r="C125" s="54">
        <f t="shared" si="8"/>
        <v>1295.4260621301776</v>
      </c>
      <c r="D125" s="54">
        <f t="shared" si="5"/>
        <v>5.6326939992983203</v>
      </c>
      <c r="E125" s="30">
        <f t="shared" si="6"/>
        <v>-0.22606213017752452</v>
      </c>
      <c r="F125" s="13">
        <f t="shared" si="7"/>
        <v>-4.013392707036556E-2</v>
      </c>
    </row>
    <row r="126" spans="1:6" x14ac:dyDescent="0.25">
      <c r="A126" s="37">
        <v>44308</v>
      </c>
      <c r="B126" s="50">
        <v>1295.2775000000001</v>
      </c>
      <c r="C126" s="54">
        <f t="shared" si="8"/>
        <v>1295.4260621301776</v>
      </c>
      <c r="D126" s="54">
        <f t="shared" si="5"/>
        <v>5.6326939992983203</v>
      </c>
      <c r="E126" s="30">
        <f t="shared" si="6"/>
        <v>-0.14856213017742448</v>
      </c>
      <c r="F126" s="13">
        <f t="shared" si="7"/>
        <v>-2.6374969099321081E-2</v>
      </c>
    </row>
    <row r="127" spans="1:6" x14ac:dyDescent="0.25">
      <c r="A127" s="37">
        <v>44338</v>
      </c>
      <c r="B127" s="50">
        <v>1295.355</v>
      </c>
      <c r="C127" s="54">
        <f t="shared" si="8"/>
        <v>1295.4260621301776</v>
      </c>
      <c r="D127" s="54">
        <f t="shared" si="5"/>
        <v>5.6326939992983203</v>
      </c>
      <c r="E127" s="30">
        <f t="shared" si="6"/>
        <v>-7.1062130177551808E-2</v>
      </c>
      <c r="F127" s="13">
        <f t="shared" si="7"/>
        <v>-1.2616011128316966E-2</v>
      </c>
    </row>
    <row r="128" spans="1:6" x14ac:dyDescent="0.25">
      <c r="A128" s="37">
        <v>44369</v>
      </c>
      <c r="B128" s="50">
        <v>1295.0899999999999</v>
      </c>
      <c r="C128" s="54">
        <f t="shared" si="8"/>
        <v>1295.4260621301776</v>
      </c>
      <c r="D128" s="54">
        <f t="shared" si="5"/>
        <v>5.6326939992983203</v>
      </c>
      <c r="E128" s="30">
        <f t="shared" si="6"/>
        <v>-0.33606213017765185</v>
      </c>
      <c r="F128" s="13">
        <f t="shared" si="7"/>
        <v>-5.9662770642168031E-2</v>
      </c>
    </row>
    <row r="129" spans="1:6" x14ac:dyDescent="0.25">
      <c r="A129" s="37">
        <v>44399</v>
      </c>
      <c r="B129" s="50">
        <v>1294.79</v>
      </c>
      <c r="C129" s="54">
        <f t="shared" si="8"/>
        <v>1295.4260621301776</v>
      </c>
      <c r="D129" s="54">
        <f t="shared" si="5"/>
        <v>5.6326939992983203</v>
      </c>
      <c r="E129" s="30">
        <f t="shared" si="6"/>
        <v>-0.63606213017760638</v>
      </c>
      <c r="F129" s="13">
        <f t="shared" si="7"/>
        <v>-0.11292325311065049</v>
      </c>
    </row>
    <row r="130" spans="1:6" x14ac:dyDescent="0.25">
      <c r="A130" s="37">
        <v>44430</v>
      </c>
      <c r="B130" s="50">
        <v>1294.58</v>
      </c>
      <c r="C130" s="54">
        <f t="shared" si="8"/>
        <v>1295.4260621301776</v>
      </c>
      <c r="D130" s="54">
        <f t="shared" si="5"/>
        <v>5.6326939992983203</v>
      </c>
      <c r="E130" s="30">
        <f t="shared" si="6"/>
        <v>-0.84606213017764276</v>
      </c>
      <c r="F130" s="13">
        <f t="shared" si="7"/>
        <v>-0.15020559083860033</v>
      </c>
    </row>
    <row r="131" spans="1:6" x14ac:dyDescent="0.25">
      <c r="A131" s="37">
        <v>44461</v>
      </c>
      <c r="B131" s="50">
        <v>1294.4250000000002</v>
      </c>
      <c r="C131" s="54">
        <f t="shared" si="8"/>
        <v>1295.4260621301776</v>
      </c>
      <c r="D131" s="54">
        <f t="shared" si="5"/>
        <v>5.6326939992983203</v>
      </c>
      <c r="E131" s="30">
        <f t="shared" si="6"/>
        <v>-1.0010621301773881</v>
      </c>
      <c r="F131" s="13">
        <f t="shared" si="7"/>
        <v>-0.17772350678060855</v>
      </c>
    </row>
    <row r="132" spans="1:6" x14ac:dyDescent="0.25">
      <c r="A132" s="37">
        <v>44491</v>
      </c>
      <c r="B132" s="50">
        <v>1294.3049999999998</v>
      </c>
      <c r="C132" s="54">
        <f t="shared" si="8"/>
        <v>1295.4260621301776</v>
      </c>
      <c r="D132" s="54">
        <f t="shared" si="5"/>
        <v>5.6326939992983203</v>
      </c>
      <c r="E132" s="30">
        <f t="shared" si="6"/>
        <v>-1.1210621301777337</v>
      </c>
      <c r="F132" s="13">
        <f t="shared" si="7"/>
        <v>-0.19902769976806611</v>
      </c>
    </row>
    <row r="133" spans="1:6" x14ac:dyDescent="0.25">
      <c r="A133" s="37">
        <v>44522</v>
      </c>
      <c r="B133" s="50">
        <v>1294.395</v>
      </c>
      <c r="C133" s="54">
        <f t="shared" si="8"/>
        <v>1295.4260621301776</v>
      </c>
      <c r="D133" s="54">
        <f t="shared" ref="D133:D173" si="9">_xlfn.STDEV.S($B$4:$B$173)</f>
        <v>5.6326939992983203</v>
      </c>
      <c r="E133" s="30">
        <f t="shared" ref="E133:E173" si="10">B133-C133</f>
        <v>-1.0310621301775882</v>
      </c>
      <c r="F133" s="13">
        <f t="shared" ref="F133:F143" si="11">E133/D133</f>
        <v>-0.18304955502749312</v>
      </c>
    </row>
    <row r="134" spans="1:6" x14ac:dyDescent="0.25">
      <c r="A134" s="37">
        <v>44552</v>
      </c>
      <c r="B134" s="50">
        <v>1295.6199999999999</v>
      </c>
      <c r="C134" s="54">
        <f t="shared" si="8"/>
        <v>1295.4260621301776</v>
      </c>
      <c r="D134" s="54">
        <f t="shared" si="9"/>
        <v>5.6326939992983203</v>
      </c>
      <c r="E134" s="30">
        <f t="shared" si="10"/>
        <v>0.19393786982232086</v>
      </c>
      <c r="F134" s="13">
        <f t="shared" si="11"/>
        <v>3.4430748385493731E-2</v>
      </c>
    </row>
    <row r="135" spans="1:6" x14ac:dyDescent="0.25">
      <c r="A135" s="37">
        <v>44583</v>
      </c>
      <c r="B135" s="50">
        <v>1285.3354615384615</v>
      </c>
      <c r="C135" s="54">
        <f t="shared" si="8"/>
        <v>1295.4260621301776</v>
      </c>
      <c r="D135" s="54">
        <f t="shared" si="9"/>
        <v>5.6326939992983203</v>
      </c>
      <c r="E135" s="30">
        <f t="shared" si="10"/>
        <v>-10.090600591716111</v>
      </c>
      <c r="F135" s="13">
        <f t="shared" si="11"/>
        <v>-1.7914341863721204</v>
      </c>
    </row>
    <row r="136" spans="1:6" x14ac:dyDescent="0.25">
      <c r="A136" s="37">
        <v>44614</v>
      </c>
      <c r="B136" s="50">
        <v>1295.6500000000001</v>
      </c>
      <c r="C136" s="54">
        <f t="shared" si="8"/>
        <v>1295.4260621301776</v>
      </c>
      <c r="D136" s="54">
        <f t="shared" si="9"/>
        <v>5.6326939992983203</v>
      </c>
      <c r="E136" s="30">
        <f t="shared" si="10"/>
        <v>0.22393786982252095</v>
      </c>
      <c r="F136" s="13">
        <f t="shared" si="11"/>
        <v>3.9756796632378306E-2</v>
      </c>
    </row>
    <row r="137" spans="1:6" x14ac:dyDescent="0.25">
      <c r="A137" s="37">
        <v>44642</v>
      </c>
      <c r="B137" s="50">
        <v>1296.25</v>
      </c>
      <c r="C137" s="54">
        <f t="shared" si="8"/>
        <v>1295.4260621301776</v>
      </c>
      <c r="D137" s="54">
        <f t="shared" si="9"/>
        <v>5.6326939992983203</v>
      </c>
      <c r="E137" s="30">
        <f t="shared" si="10"/>
        <v>0.82393786982243</v>
      </c>
      <c r="F137" s="13">
        <f t="shared" si="11"/>
        <v>0.14627776156934322</v>
      </c>
    </row>
    <row r="138" spans="1:6" x14ac:dyDescent="0.25">
      <c r="A138" s="37">
        <v>44673</v>
      </c>
      <c r="B138" s="50">
        <v>1296</v>
      </c>
      <c r="C138" s="54">
        <f t="shared" si="8"/>
        <v>1295.4260621301776</v>
      </c>
      <c r="D138" s="54">
        <f t="shared" si="9"/>
        <v>5.6326939992983203</v>
      </c>
      <c r="E138" s="30">
        <f t="shared" si="10"/>
        <v>0.57393786982243</v>
      </c>
      <c r="F138" s="13">
        <f t="shared" si="11"/>
        <v>0.10189402617893445</v>
      </c>
    </row>
    <row r="139" spans="1:6" x14ac:dyDescent="0.25">
      <c r="A139" s="37">
        <v>44703</v>
      </c>
      <c r="B139" s="50">
        <v>1295.9299999999998</v>
      </c>
      <c r="C139" s="54">
        <f t="shared" si="8"/>
        <v>1295.4260621301776</v>
      </c>
      <c r="D139" s="54">
        <f t="shared" si="9"/>
        <v>5.6326939992983203</v>
      </c>
      <c r="E139" s="30">
        <f t="shared" si="10"/>
        <v>0.50393786982226629</v>
      </c>
      <c r="F139" s="13">
        <f t="shared" si="11"/>
        <v>8.9466580269590923E-2</v>
      </c>
    </row>
    <row r="140" spans="1:6" x14ac:dyDescent="0.25">
      <c r="A140" s="37">
        <v>44734</v>
      </c>
      <c r="B140" s="50">
        <v>1296.135</v>
      </c>
      <c r="C140" s="54">
        <f t="shared" si="8"/>
        <v>1295.4260621301776</v>
      </c>
      <c r="D140" s="54">
        <f t="shared" si="9"/>
        <v>5.6326939992983203</v>
      </c>
      <c r="E140" s="30">
        <f t="shared" si="10"/>
        <v>0.70893786982242091</v>
      </c>
      <c r="F140" s="13">
        <f t="shared" si="11"/>
        <v>0.12586124328975357</v>
      </c>
    </row>
    <row r="141" spans="1:6" x14ac:dyDescent="0.25">
      <c r="A141" s="37">
        <v>44764</v>
      </c>
      <c r="B141" s="50">
        <v>1295.6500000000001</v>
      </c>
      <c r="C141" s="54">
        <f t="shared" si="8"/>
        <v>1295.4260621301776</v>
      </c>
      <c r="D141" s="54">
        <f t="shared" si="9"/>
        <v>5.6326939992983203</v>
      </c>
      <c r="E141" s="30">
        <f t="shared" si="10"/>
        <v>0.22393786982252095</v>
      </c>
      <c r="F141" s="13">
        <f t="shared" si="11"/>
        <v>3.9756796632378306E-2</v>
      </c>
    </row>
    <row r="142" spans="1:6" x14ac:dyDescent="0.25">
      <c r="A142" s="37">
        <v>44795</v>
      </c>
      <c r="B142" s="50">
        <v>1295.0100000000002</v>
      </c>
      <c r="C142" s="54">
        <f t="shared" si="8"/>
        <v>1295.4260621301776</v>
      </c>
      <c r="D142" s="54">
        <f t="shared" si="9"/>
        <v>5.6326939992983203</v>
      </c>
      <c r="E142" s="30">
        <f t="shared" si="10"/>
        <v>-0.41606213017735172</v>
      </c>
      <c r="F142" s="13">
        <f t="shared" si="11"/>
        <v>-7.3865565967045549E-2</v>
      </c>
    </row>
    <row r="143" spans="1:6" x14ac:dyDescent="0.25">
      <c r="A143" s="37">
        <v>44826</v>
      </c>
      <c r="B143" s="50">
        <v>1295.0700000000002</v>
      </c>
      <c r="C143" s="54">
        <f t="shared" si="8"/>
        <v>1295.4260621301776</v>
      </c>
      <c r="D143" s="54">
        <f t="shared" si="9"/>
        <v>5.6326939992983203</v>
      </c>
      <c r="E143" s="30">
        <f t="shared" si="10"/>
        <v>-0.35606213017740629</v>
      </c>
      <c r="F143" s="13">
        <f t="shared" si="11"/>
        <v>-6.321346947335714E-2</v>
      </c>
    </row>
    <row r="144" spans="1:6" x14ac:dyDescent="0.25">
      <c r="A144" s="37">
        <v>44856</v>
      </c>
      <c r="B144" s="50">
        <v>1294.83</v>
      </c>
      <c r="C144" s="54">
        <f t="shared" si="8"/>
        <v>1295.4260621301776</v>
      </c>
      <c r="D144" s="54">
        <f t="shared" si="9"/>
        <v>5.6326939992983203</v>
      </c>
      <c r="E144" s="30">
        <f t="shared" si="10"/>
        <v>-0.59606213017764276</v>
      </c>
      <c r="F144" s="13">
        <f>E144/D144</f>
        <v>-0.10582185544819155</v>
      </c>
    </row>
    <row r="145" spans="1:6" x14ac:dyDescent="0.25">
      <c r="A145" s="37">
        <v>44887</v>
      </c>
      <c r="B145" s="50">
        <v>1294.5700000000002</v>
      </c>
      <c r="C145" s="54">
        <f t="shared" si="8"/>
        <v>1295.4260621301776</v>
      </c>
      <c r="D145" s="54">
        <f t="shared" si="9"/>
        <v>5.6326939992983203</v>
      </c>
      <c r="E145" s="30">
        <f t="shared" si="10"/>
        <v>-0.85606213017740629</v>
      </c>
      <c r="F145" s="13">
        <f t="shared" ref="F145:F173" si="12">E145/D145</f>
        <v>-0.15198094025417469</v>
      </c>
    </row>
    <row r="146" spans="1:6" x14ac:dyDescent="0.25">
      <c r="A146" s="37">
        <v>44917</v>
      </c>
      <c r="B146" s="50">
        <v>1296.335</v>
      </c>
      <c r="C146" s="54">
        <f t="shared" si="8"/>
        <v>1295.4260621301776</v>
      </c>
      <c r="D146" s="54">
        <f t="shared" si="9"/>
        <v>5.6326939992983203</v>
      </c>
      <c r="E146" s="30">
        <f t="shared" si="10"/>
        <v>0.90893786982246638</v>
      </c>
      <c r="F146" s="13">
        <f t="shared" si="12"/>
        <v>0.16136823160208866</v>
      </c>
    </row>
    <row r="147" spans="1:6" x14ac:dyDescent="0.25">
      <c r="A147" s="37">
        <v>44949</v>
      </c>
      <c r="B147" s="50">
        <v>1295.6849999999999</v>
      </c>
      <c r="C147" s="54">
        <f t="shared" si="8"/>
        <v>1295.4260621301776</v>
      </c>
      <c r="D147" s="54">
        <f t="shared" si="9"/>
        <v>5.6326939992983203</v>
      </c>
      <c r="E147" s="30">
        <f t="shared" si="10"/>
        <v>0.25893786982237543</v>
      </c>
      <c r="F147" s="13">
        <f t="shared" si="12"/>
        <v>4.5970519587009699E-2</v>
      </c>
    </row>
    <row r="148" spans="1:6" x14ac:dyDescent="0.25">
      <c r="A148" s="37">
        <v>44980</v>
      </c>
      <c r="B148" s="50">
        <v>1296.74</v>
      </c>
      <c r="C148" s="54">
        <f t="shared" si="8"/>
        <v>1295.4260621301776</v>
      </c>
      <c r="D148" s="54">
        <f t="shared" si="9"/>
        <v>5.6326939992983203</v>
      </c>
      <c r="E148" s="30">
        <f t="shared" si="10"/>
        <v>1.3139378698224391</v>
      </c>
      <c r="F148" s="13">
        <f t="shared" si="12"/>
        <v>0.23326988293454604</v>
      </c>
    </row>
    <row r="149" spans="1:6" x14ac:dyDescent="0.25">
      <c r="A149" s="37">
        <v>45008</v>
      </c>
      <c r="B149" s="50">
        <v>1296.4649999999999</v>
      </c>
      <c r="C149" s="54">
        <f t="shared" si="8"/>
        <v>1295.4260621301776</v>
      </c>
      <c r="D149" s="54">
        <f t="shared" si="9"/>
        <v>5.6326939992983203</v>
      </c>
      <c r="E149" s="30">
        <f t="shared" si="10"/>
        <v>1.0389378698223481</v>
      </c>
      <c r="F149" s="13">
        <f t="shared" si="12"/>
        <v>0.18444777400508022</v>
      </c>
    </row>
    <row r="150" spans="1:6" x14ac:dyDescent="0.25">
      <c r="A150" s="37">
        <v>45039</v>
      </c>
      <c r="B150" s="50">
        <v>1296.175</v>
      </c>
      <c r="C150" s="54">
        <f t="shared" si="8"/>
        <v>1295.4260621301776</v>
      </c>
      <c r="D150" s="54">
        <f t="shared" si="9"/>
        <v>5.6326939992983203</v>
      </c>
      <c r="E150" s="30">
        <f t="shared" si="10"/>
        <v>0.74893786982238453</v>
      </c>
      <c r="F150" s="13">
        <f t="shared" si="12"/>
        <v>0.13296264095221252</v>
      </c>
    </row>
    <row r="151" spans="1:6" x14ac:dyDescent="0.25">
      <c r="A151" s="37">
        <v>45069</v>
      </c>
      <c r="B151" s="50">
        <v>1295.7150000000001</v>
      </c>
      <c r="C151" s="54">
        <f t="shared" si="8"/>
        <v>1295.4260621301776</v>
      </c>
      <c r="D151" s="54">
        <f t="shared" si="9"/>
        <v>5.6326939992983203</v>
      </c>
      <c r="E151" s="30">
        <f t="shared" si="10"/>
        <v>0.28893786982257552</v>
      </c>
      <c r="F151" s="13">
        <f t="shared" si="12"/>
        <v>5.1296567833894274E-2</v>
      </c>
    </row>
    <row r="152" spans="1:6" x14ac:dyDescent="0.25">
      <c r="A152" s="37">
        <v>45100</v>
      </c>
      <c r="B152" s="50">
        <v>1295.1999999999998</v>
      </c>
      <c r="C152" s="54">
        <f t="shared" si="8"/>
        <v>1295.4260621301776</v>
      </c>
      <c r="D152" s="54">
        <f t="shared" si="9"/>
        <v>5.6326939992983203</v>
      </c>
      <c r="E152" s="30">
        <f t="shared" si="10"/>
        <v>-0.2260621301777519</v>
      </c>
      <c r="F152" s="13">
        <f t="shared" si="12"/>
        <v>-4.0133927070405931E-2</v>
      </c>
    </row>
    <row r="153" spans="1:6" x14ac:dyDescent="0.25">
      <c r="A153" s="37">
        <v>45130</v>
      </c>
      <c r="B153" s="50">
        <v>1294.9749999999999</v>
      </c>
      <c r="C153" s="54">
        <f t="shared" si="8"/>
        <v>1295.4260621301776</v>
      </c>
      <c r="D153" s="54">
        <f t="shared" si="9"/>
        <v>5.6326939992983203</v>
      </c>
      <c r="E153" s="30">
        <f t="shared" si="10"/>
        <v>-0.45106213017766095</v>
      </c>
      <c r="F153" s="13">
        <f t="shared" si="12"/>
        <v>-8.0079288921757683E-2</v>
      </c>
    </row>
    <row r="154" spans="1:6" x14ac:dyDescent="0.25">
      <c r="A154" s="37">
        <v>45161</v>
      </c>
      <c r="B154" s="50">
        <v>1294.8600000000001</v>
      </c>
      <c r="C154" s="54">
        <f t="shared" si="8"/>
        <v>1295.4260621301776</v>
      </c>
      <c r="D154" s="54">
        <f t="shared" si="9"/>
        <v>5.6326939992983203</v>
      </c>
      <c r="E154" s="30">
        <f t="shared" si="10"/>
        <v>-0.56606213017744267</v>
      </c>
      <c r="F154" s="13">
        <f t="shared" si="12"/>
        <v>-0.10049580720130696</v>
      </c>
    </row>
    <row r="155" spans="1:6" x14ac:dyDescent="0.25">
      <c r="A155" s="37">
        <v>45192</v>
      </c>
      <c r="B155" s="50">
        <v>1294.6199999999999</v>
      </c>
      <c r="C155" s="54">
        <f t="shared" si="8"/>
        <v>1295.4260621301776</v>
      </c>
      <c r="D155" s="54">
        <f t="shared" si="9"/>
        <v>5.6326939992983203</v>
      </c>
      <c r="E155" s="30">
        <f t="shared" si="10"/>
        <v>-0.80606213017767914</v>
      </c>
      <c r="F155" s="13">
        <f t="shared" si="12"/>
        <v>-0.14310419317614137</v>
      </c>
    </row>
    <row r="156" spans="1:6" x14ac:dyDescent="0.25">
      <c r="A156" s="37">
        <v>45222</v>
      </c>
      <c r="B156" s="50">
        <v>1294.7649999999999</v>
      </c>
      <c r="C156" s="54">
        <f t="shared" si="8"/>
        <v>1295.4260621301776</v>
      </c>
      <c r="D156" s="54">
        <f t="shared" si="9"/>
        <v>5.6326939992983203</v>
      </c>
      <c r="E156" s="30">
        <f t="shared" si="10"/>
        <v>-0.66106213017769733</v>
      </c>
      <c r="F156" s="13">
        <f t="shared" si="12"/>
        <v>-0.11736162664970751</v>
      </c>
    </row>
    <row r="157" spans="1:6" x14ac:dyDescent="0.25">
      <c r="A157" s="37">
        <v>45253</v>
      </c>
      <c r="B157" s="50">
        <v>1295.2249999999999</v>
      </c>
      <c r="C157" s="54">
        <f t="shared" si="8"/>
        <v>1295.4260621301776</v>
      </c>
      <c r="D157" s="54">
        <f t="shared" si="9"/>
        <v>5.6326939992983203</v>
      </c>
      <c r="E157" s="30">
        <f t="shared" si="10"/>
        <v>-0.20106213017766095</v>
      </c>
      <c r="F157" s="13">
        <f t="shared" si="12"/>
        <v>-3.5695553531348907E-2</v>
      </c>
    </row>
    <row r="158" spans="1:6" x14ac:dyDescent="0.25">
      <c r="A158" s="37">
        <v>45283</v>
      </c>
      <c r="B158" s="50">
        <v>1295.75</v>
      </c>
      <c r="C158" s="54">
        <f t="shared" si="8"/>
        <v>1295.4260621301776</v>
      </c>
      <c r="D158" s="54">
        <f t="shared" si="9"/>
        <v>5.6326939992983203</v>
      </c>
      <c r="E158" s="30">
        <f t="shared" si="10"/>
        <v>0.32393786982243</v>
      </c>
      <c r="F158" s="13">
        <f t="shared" si="12"/>
        <v>5.7510290788525667E-2</v>
      </c>
    </row>
    <row r="159" spans="1:6" x14ac:dyDescent="0.25">
      <c r="A159" s="37">
        <v>45315</v>
      </c>
      <c r="B159" s="50">
        <v>1295.7350000000001</v>
      </c>
      <c r="C159" s="54">
        <f t="shared" si="8"/>
        <v>1295.4260621301776</v>
      </c>
      <c r="D159" s="54">
        <f t="shared" si="9"/>
        <v>5.6326939992983203</v>
      </c>
      <c r="E159" s="30">
        <f t="shared" si="10"/>
        <v>0.30893786982255733</v>
      </c>
      <c r="F159" s="13">
        <f t="shared" si="12"/>
        <v>5.4847266665123746E-2</v>
      </c>
    </row>
    <row r="160" spans="1:6" x14ac:dyDescent="0.25">
      <c r="A160" s="37">
        <v>45346</v>
      </c>
      <c r="B160" s="50">
        <v>1295.71</v>
      </c>
      <c r="C160" s="30">
        <f t="shared" si="8"/>
        <v>1295.4260621301776</v>
      </c>
      <c r="D160" s="54">
        <f t="shared" si="9"/>
        <v>5.6326939992983203</v>
      </c>
      <c r="E160" s="30">
        <f t="shared" si="10"/>
        <v>0.28393786982246638</v>
      </c>
      <c r="F160" s="13">
        <f t="shared" si="12"/>
        <v>5.0408893126066723E-2</v>
      </c>
    </row>
    <row r="161" spans="1:6" x14ac:dyDescent="0.25">
      <c r="A161" s="37">
        <v>45375</v>
      </c>
      <c r="B161" s="50">
        <v>1295.27</v>
      </c>
      <c r="C161" s="30">
        <f t="shared" si="8"/>
        <v>1295.4260621301776</v>
      </c>
      <c r="D161" s="54">
        <f t="shared" si="9"/>
        <v>5.6326939992983203</v>
      </c>
      <c r="E161" s="30">
        <f t="shared" si="10"/>
        <v>-0.15606213017758819</v>
      </c>
      <c r="F161" s="13">
        <f t="shared" si="12"/>
        <v>-2.7706481161062408E-2</v>
      </c>
    </row>
    <row r="162" spans="1:6" x14ac:dyDescent="0.25">
      <c r="A162" s="37">
        <v>45406</v>
      </c>
      <c r="B162" s="50">
        <v>1294.9549999999999</v>
      </c>
      <c r="C162" s="30">
        <f t="shared" si="8"/>
        <v>1295.4260621301776</v>
      </c>
      <c r="D162" s="54">
        <f t="shared" si="9"/>
        <v>5.6326939992983203</v>
      </c>
      <c r="E162" s="30">
        <f t="shared" si="10"/>
        <v>-0.47106213017764276</v>
      </c>
      <c r="F162" s="13">
        <f t="shared" si="12"/>
        <v>-8.3629987752987148E-2</v>
      </c>
    </row>
    <row r="163" spans="1:6" x14ac:dyDescent="0.25">
      <c r="A163" s="37">
        <v>45436</v>
      </c>
      <c r="B163" s="50">
        <v>1294.7550000000001</v>
      </c>
      <c r="C163" s="30">
        <f t="shared" si="8"/>
        <v>1295.4260621301776</v>
      </c>
      <c r="D163" s="54">
        <f t="shared" si="9"/>
        <v>5.6326939992983203</v>
      </c>
      <c r="E163" s="30">
        <f t="shared" si="10"/>
        <v>-0.67106213017746086</v>
      </c>
      <c r="F163" s="13">
        <f t="shared" si="12"/>
        <v>-0.11913697606528188</v>
      </c>
    </row>
    <row r="164" spans="1:6" x14ac:dyDescent="0.25">
      <c r="A164" s="37">
        <v>45468</v>
      </c>
      <c r="B164" s="50">
        <v>1294.74</v>
      </c>
      <c r="C164" s="30">
        <f t="shared" si="8"/>
        <v>1295.4260621301776</v>
      </c>
      <c r="D164" s="54">
        <f t="shared" si="9"/>
        <v>5.6326939992983203</v>
      </c>
      <c r="E164" s="30">
        <f t="shared" si="10"/>
        <v>-0.6860621301775609</v>
      </c>
      <c r="F164" s="13">
        <f t="shared" si="12"/>
        <v>-0.12180000018872417</v>
      </c>
    </row>
    <row r="165" spans="1:6" x14ac:dyDescent="0.25">
      <c r="A165" s="37">
        <v>45500</v>
      </c>
      <c r="B165" s="15">
        <v>1294.17</v>
      </c>
      <c r="C165" s="30">
        <f t="shared" si="8"/>
        <v>1295.4260621301776</v>
      </c>
      <c r="D165" s="54">
        <f t="shared" si="9"/>
        <v>5.6326939992983203</v>
      </c>
      <c r="E165" s="30">
        <f t="shared" si="10"/>
        <v>-1.2560621301774972</v>
      </c>
      <c r="F165" s="13">
        <f t="shared" si="12"/>
        <v>-0.22299491687884487</v>
      </c>
    </row>
    <row r="166" spans="1:6" x14ac:dyDescent="0.25">
      <c r="A166" s="38">
        <v>45514</v>
      </c>
      <c r="B166" s="15">
        <v>1294</v>
      </c>
      <c r="C166" s="30">
        <f t="shared" si="8"/>
        <v>1295.4260621301776</v>
      </c>
      <c r="D166" s="54">
        <f t="shared" si="9"/>
        <v>5.6326939992983203</v>
      </c>
      <c r="E166" s="30">
        <f t="shared" si="10"/>
        <v>-1.42606213017757</v>
      </c>
      <c r="F166" s="13">
        <f t="shared" si="12"/>
        <v>-0.25317585694433575</v>
      </c>
    </row>
    <row r="167" spans="1:6" x14ac:dyDescent="0.25">
      <c r="A167" s="38">
        <v>45545</v>
      </c>
      <c r="B167" s="15">
        <v>1293.83</v>
      </c>
      <c r="C167" s="30">
        <f t="shared" si="8"/>
        <v>1295.4260621301776</v>
      </c>
      <c r="D167" s="54">
        <f t="shared" si="9"/>
        <v>5.6326939992983203</v>
      </c>
      <c r="E167" s="30">
        <f t="shared" si="10"/>
        <v>-1.5960621301776428</v>
      </c>
      <c r="F167" s="13">
        <f t="shared" si="12"/>
        <v>-0.28335679700982663</v>
      </c>
    </row>
    <row r="168" spans="1:6" x14ac:dyDescent="0.25">
      <c r="A168" s="38">
        <v>45575</v>
      </c>
      <c r="B168" s="15">
        <v>1293.8025</v>
      </c>
      <c r="C168" s="30">
        <f t="shared" si="8"/>
        <v>1295.4260621301776</v>
      </c>
      <c r="D168" s="54">
        <f t="shared" si="9"/>
        <v>5.6326939992983203</v>
      </c>
      <c r="E168" s="30">
        <f t="shared" si="10"/>
        <v>-1.6235621301775609</v>
      </c>
      <c r="F168" s="13">
        <f t="shared" si="12"/>
        <v>-0.28823900790275708</v>
      </c>
    </row>
    <row r="169" spans="1:6" x14ac:dyDescent="0.25">
      <c r="A169" s="38">
        <v>45606</v>
      </c>
      <c r="B169" s="15">
        <v>1293.56</v>
      </c>
      <c r="C169" s="30">
        <f t="shared" si="8"/>
        <v>1295.4260621301776</v>
      </c>
      <c r="D169" s="54">
        <f t="shared" si="9"/>
        <v>5.6326939992983203</v>
      </c>
      <c r="E169" s="30">
        <f t="shared" si="10"/>
        <v>-1.8660621301776246</v>
      </c>
      <c r="F169" s="13">
        <f t="shared" si="12"/>
        <v>-0.33129123123146487</v>
      </c>
    </row>
    <row r="170" spans="1:6" x14ac:dyDescent="0.25">
      <c r="A170" s="38">
        <v>45636</v>
      </c>
      <c r="B170" s="15">
        <v>1293.47</v>
      </c>
      <c r="C170" s="30">
        <f t="shared" si="8"/>
        <v>1295.4260621301776</v>
      </c>
      <c r="D170" s="54">
        <f t="shared" si="9"/>
        <v>5.6326939992983203</v>
      </c>
      <c r="E170" s="30">
        <f t="shared" si="10"/>
        <v>-1.9560621301775427</v>
      </c>
      <c r="F170" s="13">
        <f t="shared" si="12"/>
        <v>-0.34726937597199753</v>
      </c>
    </row>
    <row r="171" spans="1:6" x14ac:dyDescent="0.25">
      <c r="A171" s="38">
        <v>45667</v>
      </c>
      <c r="B171" s="15">
        <v>1294.4650000000001</v>
      </c>
      <c r="C171" s="30">
        <f t="shared" si="8"/>
        <v>1295.4260621301776</v>
      </c>
      <c r="D171" s="54">
        <f t="shared" si="9"/>
        <v>5.6326939992983203</v>
      </c>
      <c r="E171" s="30">
        <f t="shared" si="10"/>
        <v>-0.96106213017742448</v>
      </c>
      <c r="F171" s="13">
        <f t="shared" si="12"/>
        <v>-0.1706221091181496</v>
      </c>
    </row>
    <row r="172" spans="1:6" x14ac:dyDescent="0.25">
      <c r="A172" s="38">
        <v>45698</v>
      </c>
      <c r="B172" s="15">
        <v>1295.4349999999999</v>
      </c>
      <c r="C172" s="30">
        <f t="shared" si="8"/>
        <v>1295.4260621301776</v>
      </c>
      <c r="D172" s="54">
        <f t="shared" si="9"/>
        <v>5.6326939992983203</v>
      </c>
      <c r="E172" s="30">
        <f t="shared" si="10"/>
        <v>8.9378698223754327E-3</v>
      </c>
      <c r="F172" s="13">
        <f t="shared" si="12"/>
        <v>1.5867841966009243E-3</v>
      </c>
    </row>
    <row r="173" spans="1:6" x14ac:dyDescent="0.25">
      <c r="A173" s="8">
        <v>45720</v>
      </c>
      <c r="B173" s="15">
        <v>1295.44</v>
      </c>
      <c r="C173" s="30">
        <f t="shared" si="8"/>
        <v>1295.4260621301776</v>
      </c>
      <c r="D173" s="54">
        <f t="shared" si="9"/>
        <v>5.6326939992983203</v>
      </c>
      <c r="E173" s="30">
        <f t="shared" si="10"/>
        <v>1.3937869822484572E-2</v>
      </c>
      <c r="F173" s="13">
        <f t="shared" si="12"/>
        <v>2.4744589044284758E-3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53C-73B9-4CD5-9BE3-DBD3FB3B358B}">
  <dimension ref="A1:F174"/>
  <sheetViews>
    <sheetView tabSelected="1" zoomScale="85" zoomScaleNormal="85" workbookViewId="0">
      <selection activeCell="H12" sqref="H12"/>
    </sheetView>
  </sheetViews>
  <sheetFormatPr defaultRowHeight="15" x14ac:dyDescent="0.25"/>
  <cols>
    <col min="1" max="1" width="15.5703125" style="39" customWidth="1"/>
    <col min="2" max="2" width="19.5703125" style="1" customWidth="1"/>
    <col min="3" max="3" width="22.85546875" style="1" customWidth="1"/>
    <col min="4" max="4" width="16" style="1" customWidth="1"/>
    <col min="5" max="5" width="13.7109375" style="1" customWidth="1"/>
    <col min="6" max="6" width="21.5703125" style="11" bestFit="1" customWidth="1"/>
    <col min="7" max="7" width="9.85546875" bestFit="1" customWidth="1"/>
  </cols>
  <sheetData>
    <row r="1" spans="1:6" ht="20.25" customHeight="1" x14ac:dyDescent="0.25">
      <c r="A1" s="78" t="s">
        <v>15</v>
      </c>
      <c r="B1" s="79"/>
      <c r="C1" s="79"/>
      <c r="D1" s="79"/>
      <c r="E1" s="79"/>
      <c r="F1" s="79"/>
    </row>
    <row r="2" spans="1:6" x14ac:dyDescent="0.25">
      <c r="A2" s="73" t="s">
        <v>10</v>
      </c>
      <c r="B2" s="74"/>
      <c r="C2" s="74"/>
      <c r="D2" s="74"/>
      <c r="E2" s="74"/>
      <c r="F2" s="77"/>
    </row>
    <row r="3" spans="1:6" x14ac:dyDescent="0.25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25">
      <c r="A4" s="37">
        <v>40565</v>
      </c>
      <c r="B4" s="17"/>
      <c r="C4" s="54">
        <f>AVERAGE($B$4:$B$173)</f>
        <v>1191.9070634191173</v>
      </c>
      <c r="D4" s="54">
        <f>_xlfn.STDEV.S($B$4:$B$173)</f>
        <v>2.2778326760663998</v>
      </c>
      <c r="E4" s="54">
        <f>B4-C4</f>
        <v>-1191.9070634191173</v>
      </c>
      <c r="F4" s="54">
        <f>E4/D4</f>
        <v>-523.2636602076617</v>
      </c>
    </row>
    <row r="5" spans="1:6" x14ac:dyDescent="0.25">
      <c r="A5" s="37">
        <v>40596</v>
      </c>
      <c r="B5" s="17"/>
      <c r="C5" s="54">
        <f t="shared" ref="C5:C68" si="0">AVERAGE($B$4:$B$173)</f>
        <v>1191.9070634191173</v>
      </c>
      <c r="D5" s="54">
        <f t="shared" ref="D5:D68" si="1">_xlfn.STDEV.S($B$4:$B$173)</f>
        <v>2.2778326760663998</v>
      </c>
      <c r="E5" s="54">
        <f t="shared" ref="E5:E68" si="2">B5-C5</f>
        <v>-1191.9070634191173</v>
      </c>
      <c r="F5" s="54">
        <f t="shared" ref="F5:F68" si="3">E5/D5</f>
        <v>-523.2636602076617</v>
      </c>
    </row>
    <row r="6" spans="1:6" x14ac:dyDescent="0.25">
      <c r="A6" s="37">
        <v>40624</v>
      </c>
      <c r="B6" s="17"/>
      <c r="C6" s="54">
        <f t="shared" si="0"/>
        <v>1191.9070634191173</v>
      </c>
      <c r="D6" s="54">
        <f t="shared" si="1"/>
        <v>2.2778326760663998</v>
      </c>
      <c r="E6" s="54">
        <f t="shared" si="2"/>
        <v>-1191.9070634191173</v>
      </c>
      <c r="F6" s="54">
        <f t="shared" si="3"/>
        <v>-523.2636602076617</v>
      </c>
    </row>
    <row r="7" spans="1:6" x14ac:dyDescent="0.25">
      <c r="A7" s="37">
        <v>40655</v>
      </c>
      <c r="B7" s="17"/>
      <c r="C7" s="54">
        <f t="shared" si="0"/>
        <v>1191.9070634191173</v>
      </c>
      <c r="D7" s="54">
        <f t="shared" si="1"/>
        <v>2.2778326760663998</v>
      </c>
      <c r="E7" s="54">
        <f t="shared" si="2"/>
        <v>-1191.9070634191173</v>
      </c>
      <c r="F7" s="54">
        <f t="shared" si="3"/>
        <v>-523.2636602076617</v>
      </c>
    </row>
    <row r="8" spans="1:6" x14ac:dyDescent="0.25">
      <c r="A8" s="37">
        <v>40685</v>
      </c>
      <c r="B8" s="17"/>
      <c r="C8" s="54">
        <f t="shared" si="0"/>
        <v>1191.9070634191173</v>
      </c>
      <c r="D8" s="54">
        <f t="shared" si="1"/>
        <v>2.2778326760663998</v>
      </c>
      <c r="E8" s="54">
        <f t="shared" si="2"/>
        <v>-1191.9070634191173</v>
      </c>
      <c r="F8" s="54">
        <f t="shared" si="3"/>
        <v>-523.2636602076617</v>
      </c>
    </row>
    <row r="9" spans="1:6" x14ac:dyDescent="0.25">
      <c r="A9" s="37">
        <v>40716</v>
      </c>
      <c r="B9" s="17"/>
      <c r="C9" s="54">
        <f t="shared" si="0"/>
        <v>1191.9070634191173</v>
      </c>
      <c r="D9" s="54">
        <f t="shared" si="1"/>
        <v>2.2778326760663998</v>
      </c>
      <c r="E9" s="54">
        <f t="shared" si="2"/>
        <v>-1191.9070634191173</v>
      </c>
      <c r="F9" s="54">
        <f t="shared" si="3"/>
        <v>-523.2636602076617</v>
      </c>
    </row>
    <row r="10" spans="1:6" x14ac:dyDescent="0.25">
      <c r="A10" s="37">
        <v>40746</v>
      </c>
      <c r="B10" s="17"/>
      <c r="C10" s="54">
        <f t="shared" si="0"/>
        <v>1191.9070634191173</v>
      </c>
      <c r="D10" s="54">
        <f t="shared" si="1"/>
        <v>2.2778326760663998</v>
      </c>
      <c r="E10" s="54">
        <f t="shared" si="2"/>
        <v>-1191.9070634191173</v>
      </c>
      <c r="F10" s="54">
        <f t="shared" si="3"/>
        <v>-523.2636602076617</v>
      </c>
    </row>
    <row r="11" spans="1:6" x14ac:dyDescent="0.25">
      <c r="A11" s="37">
        <v>40777</v>
      </c>
      <c r="B11" s="17"/>
      <c r="C11" s="54">
        <f t="shared" si="0"/>
        <v>1191.9070634191173</v>
      </c>
      <c r="D11" s="54">
        <f t="shared" si="1"/>
        <v>2.2778326760663998</v>
      </c>
      <c r="E11" s="54">
        <f t="shared" si="2"/>
        <v>-1191.9070634191173</v>
      </c>
      <c r="F11" s="54">
        <f t="shared" si="3"/>
        <v>-523.2636602076617</v>
      </c>
    </row>
    <row r="12" spans="1:6" x14ac:dyDescent="0.25">
      <c r="A12" s="37">
        <v>40808</v>
      </c>
      <c r="B12" s="17"/>
      <c r="C12" s="54">
        <f t="shared" si="0"/>
        <v>1191.9070634191173</v>
      </c>
      <c r="D12" s="54">
        <f t="shared" si="1"/>
        <v>2.2778326760663998</v>
      </c>
      <c r="E12" s="54">
        <f t="shared" si="2"/>
        <v>-1191.9070634191173</v>
      </c>
      <c r="F12" s="54">
        <f t="shared" si="3"/>
        <v>-523.2636602076617</v>
      </c>
    </row>
    <row r="13" spans="1:6" x14ac:dyDescent="0.25">
      <c r="A13" s="37">
        <v>40869</v>
      </c>
      <c r="B13" s="17"/>
      <c r="C13" s="54">
        <f t="shared" si="0"/>
        <v>1191.9070634191173</v>
      </c>
      <c r="D13" s="54">
        <f t="shared" si="1"/>
        <v>2.2778326760663998</v>
      </c>
      <c r="E13" s="54">
        <f t="shared" si="2"/>
        <v>-1191.9070634191173</v>
      </c>
      <c r="F13" s="54">
        <f t="shared" si="3"/>
        <v>-523.2636602076617</v>
      </c>
    </row>
    <row r="14" spans="1:6" x14ac:dyDescent="0.25">
      <c r="A14" s="37">
        <v>40899</v>
      </c>
      <c r="B14" s="17"/>
      <c r="C14" s="54">
        <f t="shared" si="0"/>
        <v>1191.9070634191173</v>
      </c>
      <c r="D14" s="54">
        <f t="shared" si="1"/>
        <v>2.2778326760663998</v>
      </c>
      <c r="E14" s="54">
        <f t="shared" si="2"/>
        <v>-1191.9070634191173</v>
      </c>
      <c r="F14" s="54">
        <f t="shared" si="3"/>
        <v>-523.2636602076617</v>
      </c>
    </row>
    <row r="15" spans="1:6" x14ac:dyDescent="0.25">
      <c r="A15" s="37">
        <v>40930</v>
      </c>
      <c r="B15" s="17"/>
      <c r="C15" s="54">
        <f t="shared" si="0"/>
        <v>1191.9070634191173</v>
      </c>
      <c r="D15" s="54">
        <f t="shared" si="1"/>
        <v>2.2778326760663998</v>
      </c>
      <c r="E15" s="54">
        <f t="shared" si="2"/>
        <v>-1191.9070634191173</v>
      </c>
      <c r="F15" s="54">
        <f t="shared" si="3"/>
        <v>-523.2636602076617</v>
      </c>
    </row>
    <row r="16" spans="1:6" x14ac:dyDescent="0.25">
      <c r="A16" s="37">
        <v>40961</v>
      </c>
      <c r="B16" s="17"/>
      <c r="C16" s="54">
        <f t="shared" si="0"/>
        <v>1191.9070634191173</v>
      </c>
      <c r="D16" s="54">
        <f t="shared" si="1"/>
        <v>2.2778326760663998</v>
      </c>
      <c r="E16" s="54">
        <f t="shared" si="2"/>
        <v>-1191.9070634191173</v>
      </c>
      <c r="F16" s="54">
        <f t="shared" si="3"/>
        <v>-523.2636602076617</v>
      </c>
    </row>
    <row r="17" spans="1:6" x14ac:dyDescent="0.25">
      <c r="A17" s="37">
        <v>40990</v>
      </c>
      <c r="B17" s="17"/>
      <c r="C17" s="54">
        <f t="shared" si="0"/>
        <v>1191.9070634191173</v>
      </c>
      <c r="D17" s="54">
        <f t="shared" si="1"/>
        <v>2.2778326760663998</v>
      </c>
      <c r="E17" s="54">
        <f t="shared" si="2"/>
        <v>-1191.9070634191173</v>
      </c>
      <c r="F17" s="54">
        <f t="shared" si="3"/>
        <v>-523.2636602076617</v>
      </c>
    </row>
    <row r="18" spans="1:6" x14ac:dyDescent="0.25">
      <c r="A18" s="37">
        <v>41021</v>
      </c>
      <c r="B18" s="17"/>
      <c r="C18" s="54">
        <f t="shared" si="0"/>
        <v>1191.9070634191173</v>
      </c>
      <c r="D18" s="54">
        <f t="shared" si="1"/>
        <v>2.2778326760663998</v>
      </c>
      <c r="E18" s="54">
        <f t="shared" si="2"/>
        <v>-1191.9070634191173</v>
      </c>
      <c r="F18" s="54">
        <f t="shared" si="3"/>
        <v>-523.2636602076617</v>
      </c>
    </row>
    <row r="19" spans="1:6" x14ac:dyDescent="0.25">
      <c r="A19" s="37">
        <v>41051</v>
      </c>
      <c r="B19" s="17"/>
      <c r="C19" s="54">
        <f t="shared" si="0"/>
        <v>1191.9070634191173</v>
      </c>
      <c r="D19" s="54">
        <f t="shared" si="1"/>
        <v>2.2778326760663998</v>
      </c>
      <c r="E19" s="54">
        <f t="shared" si="2"/>
        <v>-1191.9070634191173</v>
      </c>
      <c r="F19" s="54">
        <f t="shared" si="3"/>
        <v>-523.2636602076617</v>
      </c>
    </row>
    <row r="20" spans="1:6" x14ac:dyDescent="0.25">
      <c r="A20" s="37">
        <v>41082</v>
      </c>
      <c r="B20" s="17"/>
      <c r="C20" s="54">
        <f t="shared" si="0"/>
        <v>1191.9070634191173</v>
      </c>
      <c r="D20" s="54">
        <f t="shared" si="1"/>
        <v>2.2778326760663998</v>
      </c>
      <c r="E20" s="54">
        <f t="shared" si="2"/>
        <v>-1191.9070634191173</v>
      </c>
      <c r="F20" s="54">
        <f t="shared" si="3"/>
        <v>-523.2636602076617</v>
      </c>
    </row>
    <row r="21" spans="1:6" x14ac:dyDescent="0.25">
      <c r="A21" s="37">
        <v>41112</v>
      </c>
      <c r="B21" s="17"/>
      <c r="C21" s="54">
        <f t="shared" si="0"/>
        <v>1191.9070634191173</v>
      </c>
      <c r="D21" s="54">
        <f t="shared" si="1"/>
        <v>2.2778326760663998</v>
      </c>
      <c r="E21" s="54">
        <f t="shared" si="2"/>
        <v>-1191.9070634191173</v>
      </c>
      <c r="F21" s="54">
        <f t="shared" si="3"/>
        <v>-523.2636602076617</v>
      </c>
    </row>
    <row r="22" spans="1:6" x14ac:dyDescent="0.25">
      <c r="A22" s="37">
        <v>41143</v>
      </c>
      <c r="B22" s="17"/>
      <c r="C22" s="54">
        <f t="shared" si="0"/>
        <v>1191.9070634191173</v>
      </c>
      <c r="D22" s="54">
        <f t="shared" si="1"/>
        <v>2.2778326760663998</v>
      </c>
      <c r="E22" s="54">
        <f t="shared" si="2"/>
        <v>-1191.9070634191173</v>
      </c>
      <c r="F22" s="54">
        <f t="shared" si="3"/>
        <v>-523.2636602076617</v>
      </c>
    </row>
    <row r="23" spans="1:6" x14ac:dyDescent="0.25">
      <c r="A23" s="37">
        <v>41174</v>
      </c>
      <c r="B23" s="17"/>
      <c r="C23" s="54">
        <f t="shared" si="0"/>
        <v>1191.9070634191173</v>
      </c>
      <c r="D23" s="54">
        <f t="shared" si="1"/>
        <v>2.2778326760663998</v>
      </c>
      <c r="E23" s="54">
        <f t="shared" si="2"/>
        <v>-1191.9070634191173</v>
      </c>
      <c r="F23" s="54">
        <f t="shared" si="3"/>
        <v>-523.2636602076617</v>
      </c>
    </row>
    <row r="24" spans="1:6" x14ac:dyDescent="0.25">
      <c r="A24" s="37">
        <v>41204</v>
      </c>
      <c r="B24" s="17"/>
      <c r="C24" s="54">
        <f t="shared" si="0"/>
        <v>1191.9070634191173</v>
      </c>
      <c r="D24" s="54">
        <f t="shared" si="1"/>
        <v>2.2778326760663998</v>
      </c>
      <c r="E24" s="54">
        <f t="shared" si="2"/>
        <v>-1191.9070634191173</v>
      </c>
      <c r="F24" s="54">
        <f t="shared" si="3"/>
        <v>-523.2636602076617</v>
      </c>
    </row>
    <row r="25" spans="1:6" x14ac:dyDescent="0.25">
      <c r="A25" s="37">
        <v>41235</v>
      </c>
      <c r="B25" s="17"/>
      <c r="C25" s="54">
        <f t="shared" si="0"/>
        <v>1191.9070634191173</v>
      </c>
      <c r="D25" s="54">
        <f t="shared" si="1"/>
        <v>2.2778326760663998</v>
      </c>
      <c r="E25" s="54">
        <f t="shared" si="2"/>
        <v>-1191.9070634191173</v>
      </c>
      <c r="F25" s="54">
        <f t="shared" si="3"/>
        <v>-523.2636602076617</v>
      </c>
    </row>
    <row r="26" spans="1:6" x14ac:dyDescent="0.25">
      <c r="A26" s="37">
        <v>41265</v>
      </c>
      <c r="B26" s="17"/>
      <c r="C26" s="54">
        <f t="shared" si="0"/>
        <v>1191.9070634191173</v>
      </c>
      <c r="D26" s="54">
        <f t="shared" si="1"/>
        <v>2.2778326760663998</v>
      </c>
      <c r="E26" s="54">
        <f t="shared" si="2"/>
        <v>-1191.9070634191173</v>
      </c>
      <c r="F26" s="54">
        <f t="shared" si="3"/>
        <v>-523.2636602076617</v>
      </c>
    </row>
    <row r="27" spans="1:6" x14ac:dyDescent="0.25">
      <c r="A27" s="37">
        <v>41296</v>
      </c>
      <c r="B27" s="17"/>
      <c r="C27" s="54">
        <f t="shared" si="0"/>
        <v>1191.9070634191173</v>
      </c>
      <c r="D27" s="54">
        <f t="shared" si="1"/>
        <v>2.2778326760663998</v>
      </c>
      <c r="E27" s="54">
        <f t="shared" si="2"/>
        <v>-1191.9070634191173</v>
      </c>
      <c r="F27" s="54">
        <f t="shared" si="3"/>
        <v>-523.2636602076617</v>
      </c>
    </row>
    <row r="28" spans="1:6" x14ac:dyDescent="0.25">
      <c r="A28" s="37">
        <v>41327</v>
      </c>
      <c r="B28" s="17"/>
      <c r="C28" s="54">
        <f t="shared" si="0"/>
        <v>1191.9070634191173</v>
      </c>
      <c r="D28" s="54">
        <f t="shared" si="1"/>
        <v>2.2778326760663998</v>
      </c>
      <c r="E28" s="54">
        <f t="shared" si="2"/>
        <v>-1191.9070634191173</v>
      </c>
      <c r="F28" s="54">
        <f t="shared" si="3"/>
        <v>-523.2636602076617</v>
      </c>
    </row>
    <row r="29" spans="1:6" x14ac:dyDescent="0.25">
      <c r="A29" s="37">
        <v>41355</v>
      </c>
      <c r="B29" s="17"/>
      <c r="C29" s="54">
        <f t="shared" si="0"/>
        <v>1191.9070634191173</v>
      </c>
      <c r="D29" s="54">
        <f t="shared" si="1"/>
        <v>2.2778326760663998</v>
      </c>
      <c r="E29" s="54">
        <f t="shared" si="2"/>
        <v>-1191.9070634191173</v>
      </c>
      <c r="F29" s="54">
        <f t="shared" si="3"/>
        <v>-523.2636602076617</v>
      </c>
    </row>
    <row r="30" spans="1:6" x14ac:dyDescent="0.25">
      <c r="A30" s="37">
        <v>41386</v>
      </c>
      <c r="B30" s="17"/>
      <c r="C30" s="54">
        <f t="shared" si="0"/>
        <v>1191.9070634191173</v>
      </c>
      <c r="D30" s="54">
        <f t="shared" si="1"/>
        <v>2.2778326760663998</v>
      </c>
      <c r="E30" s="54">
        <f t="shared" si="2"/>
        <v>-1191.9070634191173</v>
      </c>
      <c r="F30" s="54">
        <f t="shared" si="3"/>
        <v>-523.2636602076617</v>
      </c>
    </row>
    <row r="31" spans="1:6" x14ac:dyDescent="0.25">
      <c r="A31" s="37">
        <v>41416</v>
      </c>
      <c r="B31" s="17"/>
      <c r="C31" s="54">
        <f t="shared" si="0"/>
        <v>1191.9070634191173</v>
      </c>
      <c r="D31" s="54">
        <f t="shared" si="1"/>
        <v>2.2778326760663998</v>
      </c>
      <c r="E31" s="54">
        <f t="shared" si="2"/>
        <v>-1191.9070634191173</v>
      </c>
      <c r="F31" s="54">
        <f t="shared" si="3"/>
        <v>-523.2636602076617</v>
      </c>
    </row>
    <row r="32" spans="1:6" x14ac:dyDescent="0.25">
      <c r="A32" s="37">
        <v>41447</v>
      </c>
      <c r="B32" s="17"/>
      <c r="C32" s="54">
        <f t="shared" si="0"/>
        <v>1191.9070634191173</v>
      </c>
      <c r="D32" s="54">
        <f t="shared" si="1"/>
        <v>2.2778326760663998</v>
      </c>
      <c r="E32" s="54">
        <f t="shared" si="2"/>
        <v>-1191.9070634191173</v>
      </c>
      <c r="F32" s="54">
        <f t="shared" si="3"/>
        <v>-523.2636602076617</v>
      </c>
    </row>
    <row r="33" spans="1:6" x14ac:dyDescent="0.25">
      <c r="A33" s="37">
        <v>41477</v>
      </c>
      <c r="B33" s="17"/>
      <c r="C33" s="54">
        <f t="shared" si="0"/>
        <v>1191.9070634191173</v>
      </c>
      <c r="D33" s="54">
        <f t="shared" si="1"/>
        <v>2.2778326760663998</v>
      </c>
      <c r="E33" s="54">
        <f t="shared" si="2"/>
        <v>-1191.9070634191173</v>
      </c>
      <c r="F33" s="54">
        <f t="shared" si="3"/>
        <v>-523.2636602076617</v>
      </c>
    </row>
    <row r="34" spans="1:6" x14ac:dyDescent="0.25">
      <c r="A34" s="37">
        <v>41508</v>
      </c>
      <c r="B34" s="17"/>
      <c r="C34" s="54">
        <f t="shared" si="0"/>
        <v>1191.9070634191173</v>
      </c>
      <c r="D34" s="54">
        <f t="shared" si="1"/>
        <v>2.2778326760663998</v>
      </c>
      <c r="E34" s="54">
        <f t="shared" si="2"/>
        <v>-1191.9070634191173</v>
      </c>
      <c r="F34" s="54">
        <f t="shared" si="3"/>
        <v>-523.2636602076617</v>
      </c>
    </row>
    <row r="35" spans="1:6" x14ac:dyDescent="0.25">
      <c r="A35" s="37">
        <v>41539</v>
      </c>
      <c r="B35" s="17"/>
      <c r="C35" s="54">
        <f t="shared" si="0"/>
        <v>1191.9070634191173</v>
      </c>
      <c r="D35" s="54">
        <f t="shared" si="1"/>
        <v>2.2778326760663998</v>
      </c>
      <c r="E35" s="54">
        <f t="shared" si="2"/>
        <v>-1191.9070634191173</v>
      </c>
      <c r="F35" s="54">
        <f t="shared" si="3"/>
        <v>-523.2636602076617</v>
      </c>
    </row>
    <row r="36" spans="1:6" x14ac:dyDescent="0.25">
      <c r="A36" s="37">
        <v>41569</v>
      </c>
      <c r="B36" s="17"/>
      <c r="C36" s="54">
        <f t="shared" si="0"/>
        <v>1191.9070634191173</v>
      </c>
      <c r="D36" s="54">
        <f t="shared" si="1"/>
        <v>2.2778326760663998</v>
      </c>
      <c r="E36" s="54">
        <f t="shared" si="2"/>
        <v>-1191.9070634191173</v>
      </c>
      <c r="F36" s="54">
        <f t="shared" si="3"/>
        <v>-523.2636602076617</v>
      </c>
    </row>
    <row r="37" spans="1:6" x14ac:dyDescent="0.25">
      <c r="A37" s="37">
        <v>41600</v>
      </c>
      <c r="B37" s="17"/>
      <c r="C37" s="54">
        <f t="shared" si="0"/>
        <v>1191.9070634191173</v>
      </c>
      <c r="D37" s="54">
        <f t="shared" si="1"/>
        <v>2.2778326760663998</v>
      </c>
      <c r="E37" s="54">
        <f t="shared" si="2"/>
        <v>-1191.9070634191173</v>
      </c>
      <c r="F37" s="54">
        <f t="shared" si="3"/>
        <v>-523.2636602076617</v>
      </c>
    </row>
    <row r="38" spans="1:6" x14ac:dyDescent="0.25">
      <c r="A38" s="37">
        <v>41630</v>
      </c>
      <c r="B38" s="17"/>
      <c r="C38" s="54">
        <f t="shared" si="0"/>
        <v>1191.9070634191173</v>
      </c>
      <c r="D38" s="54">
        <f t="shared" si="1"/>
        <v>2.2778326760663998</v>
      </c>
      <c r="E38" s="54">
        <f t="shared" si="2"/>
        <v>-1191.9070634191173</v>
      </c>
      <c r="F38" s="54">
        <f t="shared" si="3"/>
        <v>-523.2636602076617</v>
      </c>
    </row>
    <row r="39" spans="1:6" x14ac:dyDescent="0.25">
      <c r="A39" s="37">
        <v>41661</v>
      </c>
      <c r="B39" s="17"/>
      <c r="C39" s="54">
        <f t="shared" si="0"/>
        <v>1191.9070634191173</v>
      </c>
      <c r="D39" s="54">
        <f t="shared" si="1"/>
        <v>2.2778326760663998</v>
      </c>
      <c r="E39" s="54">
        <f t="shared" si="2"/>
        <v>-1191.9070634191173</v>
      </c>
      <c r="F39" s="54">
        <f t="shared" si="3"/>
        <v>-523.2636602076617</v>
      </c>
    </row>
    <row r="40" spans="1:6" x14ac:dyDescent="0.25">
      <c r="A40" s="37">
        <v>41692</v>
      </c>
      <c r="B40" s="17"/>
      <c r="C40" s="54">
        <f t="shared" si="0"/>
        <v>1191.9070634191173</v>
      </c>
      <c r="D40" s="54">
        <f t="shared" si="1"/>
        <v>2.2778326760663998</v>
      </c>
      <c r="E40" s="54">
        <f t="shared" si="2"/>
        <v>-1191.9070634191173</v>
      </c>
      <c r="F40" s="54">
        <f t="shared" si="3"/>
        <v>-523.2636602076617</v>
      </c>
    </row>
    <row r="41" spans="1:6" x14ac:dyDescent="0.25">
      <c r="A41" s="37">
        <v>41720</v>
      </c>
      <c r="B41" s="17"/>
      <c r="C41" s="54">
        <f t="shared" si="0"/>
        <v>1191.9070634191173</v>
      </c>
      <c r="D41" s="54">
        <f t="shared" si="1"/>
        <v>2.2778326760663998</v>
      </c>
      <c r="E41" s="54">
        <f t="shared" si="2"/>
        <v>-1191.9070634191173</v>
      </c>
      <c r="F41" s="54">
        <f t="shared" si="3"/>
        <v>-523.2636602076617</v>
      </c>
    </row>
    <row r="42" spans="1:6" x14ac:dyDescent="0.25">
      <c r="A42" s="37">
        <v>41751</v>
      </c>
      <c r="B42" s="17"/>
      <c r="C42" s="54">
        <f t="shared" si="0"/>
        <v>1191.9070634191173</v>
      </c>
      <c r="D42" s="54">
        <f t="shared" si="1"/>
        <v>2.2778326760663998</v>
      </c>
      <c r="E42" s="54">
        <f t="shared" si="2"/>
        <v>-1191.9070634191173</v>
      </c>
      <c r="F42" s="54">
        <f t="shared" si="3"/>
        <v>-523.2636602076617</v>
      </c>
    </row>
    <row r="43" spans="1:6" x14ac:dyDescent="0.25">
      <c r="A43" s="37">
        <v>41781</v>
      </c>
      <c r="B43" s="17"/>
      <c r="C43" s="54">
        <f t="shared" si="0"/>
        <v>1191.9070634191173</v>
      </c>
      <c r="D43" s="54">
        <f t="shared" si="1"/>
        <v>2.2778326760663998</v>
      </c>
      <c r="E43" s="54">
        <f t="shared" si="2"/>
        <v>-1191.9070634191173</v>
      </c>
      <c r="F43" s="54">
        <f t="shared" si="3"/>
        <v>-523.2636602076617</v>
      </c>
    </row>
    <row r="44" spans="1:6" x14ac:dyDescent="0.25">
      <c r="A44" s="37">
        <v>41812</v>
      </c>
      <c r="B44" s="17"/>
      <c r="C44" s="54">
        <f t="shared" si="0"/>
        <v>1191.9070634191173</v>
      </c>
      <c r="D44" s="54">
        <f t="shared" si="1"/>
        <v>2.2778326760663998</v>
      </c>
      <c r="E44" s="54">
        <f t="shared" si="2"/>
        <v>-1191.9070634191173</v>
      </c>
      <c r="F44" s="54">
        <f t="shared" si="3"/>
        <v>-523.2636602076617</v>
      </c>
    </row>
    <row r="45" spans="1:6" x14ac:dyDescent="0.25">
      <c r="A45" s="37">
        <v>41842</v>
      </c>
      <c r="B45" s="17"/>
      <c r="C45" s="54">
        <f t="shared" si="0"/>
        <v>1191.9070634191173</v>
      </c>
      <c r="D45" s="54">
        <f t="shared" si="1"/>
        <v>2.2778326760663998</v>
      </c>
      <c r="E45" s="54">
        <f t="shared" si="2"/>
        <v>-1191.9070634191173</v>
      </c>
      <c r="F45" s="54">
        <f t="shared" si="3"/>
        <v>-523.2636602076617</v>
      </c>
    </row>
    <row r="46" spans="1:6" x14ac:dyDescent="0.25">
      <c r="A46" s="37">
        <v>41873</v>
      </c>
      <c r="B46" s="17"/>
      <c r="C46" s="54">
        <f t="shared" si="0"/>
        <v>1191.9070634191173</v>
      </c>
      <c r="D46" s="54">
        <f t="shared" si="1"/>
        <v>2.2778326760663998</v>
      </c>
      <c r="E46" s="54">
        <f t="shared" si="2"/>
        <v>-1191.9070634191173</v>
      </c>
      <c r="F46" s="54">
        <f t="shared" si="3"/>
        <v>-523.2636602076617</v>
      </c>
    </row>
    <row r="47" spans="1:6" x14ac:dyDescent="0.25">
      <c r="A47" s="37">
        <v>41904</v>
      </c>
      <c r="B47" s="17"/>
      <c r="C47" s="54">
        <f t="shared" si="0"/>
        <v>1191.9070634191173</v>
      </c>
      <c r="D47" s="54">
        <f t="shared" si="1"/>
        <v>2.2778326760663998</v>
      </c>
      <c r="E47" s="54">
        <f t="shared" si="2"/>
        <v>-1191.9070634191173</v>
      </c>
      <c r="F47" s="54">
        <f t="shared" si="3"/>
        <v>-523.2636602076617</v>
      </c>
    </row>
    <row r="48" spans="1:6" x14ac:dyDescent="0.25">
      <c r="A48" s="37">
        <v>41934</v>
      </c>
      <c r="B48" s="17"/>
      <c r="C48" s="54">
        <f t="shared" si="0"/>
        <v>1191.9070634191173</v>
      </c>
      <c r="D48" s="54">
        <f t="shared" si="1"/>
        <v>2.2778326760663998</v>
      </c>
      <c r="E48" s="54">
        <f t="shared" si="2"/>
        <v>-1191.9070634191173</v>
      </c>
      <c r="F48" s="54">
        <f t="shared" si="3"/>
        <v>-523.2636602076617</v>
      </c>
    </row>
    <row r="49" spans="1:6" x14ac:dyDescent="0.25">
      <c r="A49" s="37">
        <v>41965</v>
      </c>
      <c r="B49" s="17"/>
      <c r="C49" s="54">
        <f t="shared" si="0"/>
        <v>1191.9070634191173</v>
      </c>
      <c r="D49" s="54">
        <f t="shared" si="1"/>
        <v>2.2778326760663998</v>
      </c>
      <c r="E49" s="54">
        <f t="shared" si="2"/>
        <v>-1191.9070634191173</v>
      </c>
      <c r="F49" s="54">
        <f t="shared" si="3"/>
        <v>-523.2636602076617</v>
      </c>
    </row>
    <row r="50" spans="1:6" x14ac:dyDescent="0.25">
      <c r="A50" s="37">
        <v>41995</v>
      </c>
      <c r="B50" s="17"/>
      <c r="C50" s="54">
        <f t="shared" si="0"/>
        <v>1191.9070634191173</v>
      </c>
      <c r="D50" s="54">
        <f t="shared" si="1"/>
        <v>2.2778326760663998</v>
      </c>
      <c r="E50" s="54">
        <f t="shared" si="2"/>
        <v>-1191.9070634191173</v>
      </c>
      <c r="F50" s="54">
        <f t="shared" si="3"/>
        <v>-523.2636602076617</v>
      </c>
    </row>
    <row r="51" spans="1:6" x14ac:dyDescent="0.25">
      <c r="A51" s="37">
        <v>42026</v>
      </c>
      <c r="B51" s="17"/>
      <c r="C51" s="54">
        <f t="shared" si="0"/>
        <v>1191.9070634191173</v>
      </c>
      <c r="D51" s="54">
        <f t="shared" si="1"/>
        <v>2.2778326760663998</v>
      </c>
      <c r="E51" s="54">
        <f t="shared" si="2"/>
        <v>-1191.9070634191173</v>
      </c>
      <c r="F51" s="54">
        <f t="shared" si="3"/>
        <v>-523.2636602076617</v>
      </c>
    </row>
    <row r="52" spans="1:6" x14ac:dyDescent="0.25">
      <c r="A52" s="37">
        <v>42057</v>
      </c>
      <c r="B52" s="17"/>
      <c r="C52" s="54">
        <f t="shared" si="0"/>
        <v>1191.9070634191173</v>
      </c>
      <c r="D52" s="54">
        <f t="shared" si="1"/>
        <v>2.2778326760663998</v>
      </c>
      <c r="E52" s="54">
        <f t="shared" si="2"/>
        <v>-1191.9070634191173</v>
      </c>
      <c r="F52" s="54">
        <f t="shared" si="3"/>
        <v>-523.2636602076617</v>
      </c>
    </row>
    <row r="53" spans="1:6" x14ac:dyDescent="0.25">
      <c r="A53" s="37">
        <v>42085</v>
      </c>
      <c r="B53" s="17"/>
      <c r="C53" s="54">
        <f t="shared" si="0"/>
        <v>1191.9070634191173</v>
      </c>
      <c r="D53" s="54">
        <f t="shared" si="1"/>
        <v>2.2778326760663998</v>
      </c>
      <c r="E53" s="54">
        <f t="shared" si="2"/>
        <v>-1191.9070634191173</v>
      </c>
      <c r="F53" s="54">
        <f t="shared" si="3"/>
        <v>-523.2636602076617</v>
      </c>
    </row>
    <row r="54" spans="1:6" x14ac:dyDescent="0.25">
      <c r="A54" s="37">
        <v>42116</v>
      </c>
      <c r="B54" s="17"/>
      <c r="C54" s="54">
        <f t="shared" si="0"/>
        <v>1191.9070634191173</v>
      </c>
      <c r="D54" s="54">
        <f t="shared" si="1"/>
        <v>2.2778326760663998</v>
      </c>
      <c r="E54" s="54">
        <f t="shared" si="2"/>
        <v>-1191.9070634191173</v>
      </c>
      <c r="F54" s="54">
        <f t="shared" si="3"/>
        <v>-523.2636602076617</v>
      </c>
    </row>
    <row r="55" spans="1:6" x14ac:dyDescent="0.25">
      <c r="A55" s="37">
        <v>42146</v>
      </c>
      <c r="B55" s="17"/>
      <c r="C55" s="54">
        <f t="shared" si="0"/>
        <v>1191.9070634191173</v>
      </c>
      <c r="D55" s="54">
        <f t="shared" si="1"/>
        <v>2.2778326760663998</v>
      </c>
      <c r="E55" s="54">
        <f t="shared" si="2"/>
        <v>-1191.9070634191173</v>
      </c>
      <c r="F55" s="54">
        <f t="shared" si="3"/>
        <v>-523.2636602076617</v>
      </c>
    </row>
    <row r="56" spans="1:6" x14ac:dyDescent="0.25">
      <c r="A56" s="37">
        <v>42177</v>
      </c>
      <c r="B56" s="17"/>
      <c r="C56" s="54">
        <f t="shared" si="0"/>
        <v>1191.9070634191173</v>
      </c>
      <c r="D56" s="54">
        <f t="shared" si="1"/>
        <v>2.2778326760663998</v>
      </c>
      <c r="E56" s="54">
        <f t="shared" si="2"/>
        <v>-1191.9070634191173</v>
      </c>
      <c r="F56" s="54">
        <f t="shared" si="3"/>
        <v>-523.2636602076617</v>
      </c>
    </row>
    <row r="57" spans="1:6" x14ac:dyDescent="0.25">
      <c r="A57" s="37">
        <v>42207</v>
      </c>
      <c r="B57" s="17"/>
      <c r="C57" s="54">
        <f t="shared" si="0"/>
        <v>1191.9070634191173</v>
      </c>
      <c r="D57" s="54">
        <f t="shared" si="1"/>
        <v>2.2778326760663998</v>
      </c>
      <c r="E57" s="54">
        <f t="shared" si="2"/>
        <v>-1191.9070634191173</v>
      </c>
      <c r="F57" s="54">
        <f t="shared" si="3"/>
        <v>-523.2636602076617</v>
      </c>
    </row>
    <row r="58" spans="1:6" x14ac:dyDescent="0.25">
      <c r="A58" s="37">
        <v>42238</v>
      </c>
      <c r="B58" s="17"/>
      <c r="C58" s="54">
        <f t="shared" si="0"/>
        <v>1191.9070634191173</v>
      </c>
      <c r="D58" s="54">
        <f t="shared" si="1"/>
        <v>2.2778326760663998</v>
      </c>
      <c r="E58" s="54">
        <f t="shared" si="2"/>
        <v>-1191.9070634191173</v>
      </c>
      <c r="F58" s="54">
        <f t="shared" si="3"/>
        <v>-523.2636602076617</v>
      </c>
    </row>
    <row r="59" spans="1:6" x14ac:dyDescent="0.25">
      <c r="A59" s="37">
        <v>42269</v>
      </c>
      <c r="B59" s="17"/>
      <c r="C59" s="54">
        <f t="shared" si="0"/>
        <v>1191.9070634191173</v>
      </c>
      <c r="D59" s="54">
        <f t="shared" si="1"/>
        <v>2.2778326760663998</v>
      </c>
      <c r="E59" s="54">
        <f t="shared" si="2"/>
        <v>-1191.9070634191173</v>
      </c>
      <c r="F59" s="54">
        <f t="shared" si="3"/>
        <v>-523.2636602076617</v>
      </c>
    </row>
    <row r="60" spans="1:6" x14ac:dyDescent="0.25">
      <c r="A60" s="37">
        <v>42299</v>
      </c>
      <c r="B60" s="17"/>
      <c r="C60" s="54">
        <f t="shared" si="0"/>
        <v>1191.9070634191173</v>
      </c>
      <c r="D60" s="54">
        <f t="shared" si="1"/>
        <v>2.2778326760663998</v>
      </c>
      <c r="E60" s="54">
        <f t="shared" si="2"/>
        <v>-1191.9070634191173</v>
      </c>
      <c r="F60" s="54">
        <f t="shared" si="3"/>
        <v>-523.2636602076617</v>
      </c>
    </row>
    <row r="61" spans="1:6" x14ac:dyDescent="0.25">
      <c r="A61" s="37">
        <v>42330</v>
      </c>
      <c r="B61" s="17"/>
      <c r="C61" s="54">
        <f t="shared" si="0"/>
        <v>1191.9070634191173</v>
      </c>
      <c r="D61" s="54">
        <f t="shared" si="1"/>
        <v>2.2778326760663998</v>
      </c>
      <c r="E61" s="54">
        <f t="shared" si="2"/>
        <v>-1191.9070634191173</v>
      </c>
      <c r="F61" s="54">
        <f t="shared" si="3"/>
        <v>-523.2636602076617</v>
      </c>
    </row>
    <row r="62" spans="1:6" x14ac:dyDescent="0.25">
      <c r="A62" s="37">
        <v>42360</v>
      </c>
      <c r="B62" s="17"/>
      <c r="C62" s="54">
        <f t="shared" si="0"/>
        <v>1191.9070634191173</v>
      </c>
      <c r="D62" s="54">
        <f t="shared" si="1"/>
        <v>2.2778326760663998</v>
      </c>
      <c r="E62" s="54">
        <f t="shared" si="2"/>
        <v>-1191.9070634191173</v>
      </c>
      <c r="F62" s="54">
        <f t="shared" si="3"/>
        <v>-523.2636602076617</v>
      </c>
    </row>
    <row r="63" spans="1:6" x14ac:dyDescent="0.25">
      <c r="A63" s="37">
        <v>42391</v>
      </c>
      <c r="B63" s="17"/>
      <c r="C63" s="54">
        <f t="shared" si="0"/>
        <v>1191.9070634191173</v>
      </c>
      <c r="D63" s="54">
        <f t="shared" si="1"/>
        <v>2.2778326760663998</v>
      </c>
      <c r="E63" s="54">
        <f t="shared" si="2"/>
        <v>-1191.9070634191173</v>
      </c>
      <c r="F63" s="54">
        <f t="shared" si="3"/>
        <v>-523.2636602076617</v>
      </c>
    </row>
    <row r="64" spans="1:6" x14ac:dyDescent="0.25">
      <c r="A64" s="37">
        <v>42422</v>
      </c>
      <c r="B64" s="17"/>
      <c r="C64" s="54">
        <f t="shared" si="0"/>
        <v>1191.9070634191173</v>
      </c>
      <c r="D64" s="54">
        <f t="shared" si="1"/>
        <v>2.2778326760663998</v>
      </c>
      <c r="E64" s="54">
        <f t="shared" si="2"/>
        <v>-1191.9070634191173</v>
      </c>
      <c r="F64" s="54">
        <f t="shared" si="3"/>
        <v>-523.2636602076617</v>
      </c>
    </row>
    <row r="65" spans="1:6" x14ac:dyDescent="0.25">
      <c r="A65" s="37">
        <v>42451</v>
      </c>
      <c r="B65" s="17"/>
      <c r="C65" s="54">
        <f t="shared" si="0"/>
        <v>1191.9070634191173</v>
      </c>
      <c r="D65" s="54">
        <f t="shared" si="1"/>
        <v>2.2778326760663998</v>
      </c>
      <c r="E65" s="54">
        <f t="shared" si="2"/>
        <v>-1191.9070634191173</v>
      </c>
      <c r="F65" s="54">
        <f t="shared" si="3"/>
        <v>-523.2636602076617</v>
      </c>
    </row>
    <row r="66" spans="1:6" x14ac:dyDescent="0.25">
      <c r="A66" s="37">
        <v>42482</v>
      </c>
      <c r="B66" s="17"/>
      <c r="C66" s="54">
        <f t="shared" si="0"/>
        <v>1191.9070634191173</v>
      </c>
      <c r="D66" s="54">
        <f t="shared" si="1"/>
        <v>2.2778326760663998</v>
      </c>
      <c r="E66" s="54">
        <f t="shared" si="2"/>
        <v>-1191.9070634191173</v>
      </c>
      <c r="F66" s="54">
        <f t="shared" si="3"/>
        <v>-523.2636602076617</v>
      </c>
    </row>
    <row r="67" spans="1:6" x14ac:dyDescent="0.25">
      <c r="A67" s="37">
        <v>42512</v>
      </c>
      <c r="B67" s="17"/>
      <c r="C67" s="54">
        <f t="shared" si="0"/>
        <v>1191.9070634191173</v>
      </c>
      <c r="D67" s="54">
        <f t="shared" si="1"/>
        <v>2.2778326760663998</v>
      </c>
      <c r="E67" s="54">
        <f t="shared" si="2"/>
        <v>-1191.9070634191173</v>
      </c>
      <c r="F67" s="54">
        <f t="shared" si="3"/>
        <v>-523.2636602076617</v>
      </c>
    </row>
    <row r="68" spans="1:6" x14ac:dyDescent="0.25">
      <c r="A68" s="37">
        <v>42543</v>
      </c>
      <c r="B68" s="17"/>
      <c r="C68" s="54">
        <f t="shared" si="0"/>
        <v>1191.9070634191173</v>
      </c>
      <c r="D68" s="54">
        <f t="shared" si="1"/>
        <v>2.2778326760663998</v>
      </c>
      <c r="E68" s="54">
        <f t="shared" si="2"/>
        <v>-1191.9070634191173</v>
      </c>
      <c r="F68" s="54">
        <f t="shared" si="3"/>
        <v>-523.2636602076617</v>
      </c>
    </row>
    <row r="69" spans="1:6" x14ac:dyDescent="0.25">
      <c r="A69" s="37">
        <v>42573</v>
      </c>
      <c r="B69" s="17">
        <v>1190.6500000000001</v>
      </c>
      <c r="C69" s="54">
        <f t="shared" ref="C69:C114" si="4">AVERAGE($B$4:$B$173)</f>
        <v>1191.9070634191173</v>
      </c>
      <c r="D69" s="54">
        <f t="shared" ref="D69:D132" si="5">_xlfn.STDEV.S($B$4:$B$173)</f>
        <v>2.2778326760663998</v>
      </c>
      <c r="E69" s="54">
        <f t="shared" ref="E69:E132" si="6">B69-C69</f>
        <v>-1.2570634191172303</v>
      </c>
      <c r="F69" s="54">
        <f t="shared" ref="F69:F132" si="7">E69/D69</f>
        <v>-0.55186820012085314</v>
      </c>
    </row>
    <row r="70" spans="1:6" x14ac:dyDescent="0.25">
      <c r="A70" s="37">
        <v>42604</v>
      </c>
      <c r="B70" s="17">
        <v>1190.2</v>
      </c>
      <c r="C70" s="54">
        <f t="shared" si="4"/>
        <v>1191.9070634191173</v>
      </c>
      <c r="D70" s="54">
        <f t="shared" si="5"/>
        <v>2.2778326760663998</v>
      </c>
      <c r="E70" s="54">
        <f t="shared" si="6"/>
        <v>-1.7070634191172758</v>
      </c>
      <c r="F70" s="54">
        <f t="shared" si="7"/>
        <v>-0.74942441429245443</v>
      </c>
    </row>
    <row r="71" spans="1:6" x14ac:dyDescent="0.25">
      <c r="A71" s="37">
        <v>42635</v>
      </c>
      <c r="B71" s="17">
        <v>1189.77</v>
      </c>
      <c r="C71" s="54">
        <f t="shared" si="4"/>
        <v>1191.9070634191173</v>
      </c>
      <c r="D71" s="54">
        <f t="shared" si="5"/>
        <v>2.2778326760663998</v>
      </c>
      <c r="E71" s="54">
        <f t="shared" si="6"/>
        <v>-2.1370634191173394</v>
      </c>
      <c r="F71" s="54">
        <f t="shared" si="7"/>
        <v>-0.93820035227866017</v>
      </c>
    </row>
    <row r="72" spans="1:6" x14ac:dyDescent="0.25">
      <c r="A72" s="37">
        <v>42665</v>
      </c>
      <c r="B72" s="17">
        <v>1189.67</v>
      </c>
      <c r="C72" s="54">
        <f t="shared" si="4"/>
        <v>1191.9070634191173</v>
      </c>
      <c r="D72" s="54">
        <f t="shared" si="5"/>
        <v>2.2778326760663998</v>
      </c>
      <c r="E72" s="54">
        <f t="shared" si="6"/>
        <v>-2.2370634191172485</v>
      </c>
      <c r="F72" s="54">
        <f t="shared" si="7"/>
        <v>-0.98210173320563832</v>
      </c>
    </row>
    <row r="73" spans="1:6" x14ac:dyDescent="0.25">
      <c r="A73" s="37">
        <v>42696</v>
      </c>
      <c r="B73" s="17">
        <v>1189.74</v>
      </c>
      <c r="C73" s="54">
        <f t="shared" si="4"/>
        <v>1191.9070634191173</v>
      </c>
      <c r="D73" s="54">
        <f t="shared" si="5"/>
        <v>2.2778326760663998</v>
      </c>
      <c r="E73" s="54">
        <f t="shared" si="6"/>
        <v>-2.1670634191173122</v>
      </c>
      <c r="F73" s="54">
        <f t="shared" si="7"/>
        <v>-0.95137076655675357</v>
      </c>
    </row>
    <row r="74" spans="1:6" x14ac:dyDescent="0.25">
      <c r="A74" s="37">
        <v>42726</v>
      </c>
      <c r="B74" s="17">
        <v>1189.79</v>
      </c>
      <c r="C74" s="54">
        <f t="shared" si="4"/>
        <v>1191.9070634191173</v>
      </c>
      <c r="D74" s="54">
        <f t="shared" si="5"/>
        <v>2.2778326760663998</v>
      </c>
      <c r="E74" s="54">
        <f t="shared" si="6"/>
        <v>-2.1170634191173576</v>
      </c>
      <c r="F74" s="54">
        <f t="shared" si="7"/>
        <v>-0.92942007609326449</v>
      </c>
    </row>
    <row r="75" spans="1:6" x14ac:dyDescent="0.25">
      <c r="A75" s="37">
        <v>42757</v>
      </c>
      <c r="B75" s="17">
        <v>1184.8499999999999</v>
      </c>
      <c r="C75" s="54">
        <f t="shared" si="4"/>
        <v>1191.9070634191173</v>
      </c>
      <c r="D75" s="54">
        <f t="shared" si="5"/>
        <v>2.2778326760663998</v>
      </c>
      <c r="E75" s="54">
        <f t="shared" si="6"/>
        <v>-7.0570634191174122</v>
      </c>
      <c r="F75" s="54">
        <f t="shared" si="7"/>
        <v>-3.0981482938879816</v>
      </c>
    </row>
    <row r="76" spans="1:6" x14ac:dyDescent="0.25">
      <c r="A76" s="37">
        <v>42788</v>
      </c>
      <c r="B76" s="17">
        <v>1189.76</v>
      </c>
      <c r="C76" s="54">
        <f t="shared" si="4"/>
        <v>1191.9070634191173</v>
      </c>
      <c r="D76" s="54">
        <f t="shared" si="5"/>
        <v>2.2778326760663998</v>
      </c>
      <c r="E76" s="54">
        <f t="shared" si="6"/>
        <v>-2.1470634191173303</v>
      </c>
      <c r="F76" s="54">
        <f t="shared" si="7"/>
        <v>-0.94259049037135789</v>
      </c>
    </row>
    <row r="77" spans="1:6" x14ac:dyDescent="0.25">
      <c r="A77" s="37">
        <v>42816</v>
      </c>
      <c r="B77" s="17">
        <v>1190.2150000000001</v>
      </c>
      <c r="C77" s="54">
        <f t="shared" si="4"/>
        <v>1191.9070634191173</v>
      </c>
      <c r="D77" s="54">
        <f t="shared" si="5"/>
        <v>2.2778326760663998</v>
      </c>
      <c r="E77" s="54">
        <f t="shared" si="6"/>
        <v>-1.6920634191171757</v>
      </c>
      <c r="F77" s="54">
        <f t="shared" si="7"/>
        <v>-0.74283920715335783</v>
      </c>
    </row>
    <row r="78" spans="1:6" x14ac:dyDescent="0.25">
      <c r="A78" s="37">
        <v>42847</v>
      </c>
      <c r="B78" s="17">
        <v>1190.29</v>
      </c>
      <c r="C78" s="54">
        <f t="shared" si="4"/>
        <v>1191.9070634191173</v>
      </c>
      <c r="D78" s="54">
        <f t="shared" si="5"/>
        <v>2.2778326760663998</v>
      </c>
      <c r="E78" s="54">
        <f t="shared" si="6"/>
        <v>-1.6170634191173576</v>
      </c>
      <c r="F78" s="54">
        <f t="shared" si="7"/>
        <v>-0.70991317145817412</v>
      </c>
    </row>
    <row r="79" spans="1:6" x14ac:dyDescent="0.25">
      <c r="A79" s="37">
        <v>42877</v>
      </c>
      <c r="B79" s="17">
        <v>1190.26</v>
      </c>
      <c r="C79" s="54">
        <f t="shared" si="4"/>
        <v>1191.9070634191173</v>
      </c>
      <c r="D79" s="54">
        <f t="shared" si="5"/>
        <v>2.2778326760663998</v>
      </c>
      <c r="E79" s="54">
        <f t="shared" si="6"/>
        <v>-1.6470634191173303</v>
      </c>
      <c r="F79" s="54">
        <f t="shared" si="7"/>
        <v>-0.72308358573626752</v>
      </c>
    </row>
    <row r="80" spans="1:6" x14ac:dyDescent="0.25">
      <c r="A80" s="37">
        <v>42908</v>
      </c>
      <c r="B80" s="17">
        <v>1190.24</v>
      </c>
      <c r="C80" s="54">
        <f t="shared" si="4"/>
        <v>1191.9070634191173</v>
      </c>
      <c r="D80" s="54">
        <f t="shared" si="5"/>
        <v>2.2778326760663998</v>
      </c>
      <c r="E80" s="54">
        <f t="shared" si="6"/>
        <v>-1.6670634191173122</v>
      </c>
      <c r="F80" s="54">
        <f t="shared" si="7"/>
        <v>-0.73186386192166319</v>
      </c>
    </row>
    <row r="81" spans="1:6" x14ac:dyDescent="0.25">
      <c r="A81" s="37">
        <v>42938</v>
      </c>
      <c r="B81" s="17">
        <v>1190.1849999999999</v>
      </c>
      <c r="C81" s="54">
        <f t="shared" si="4"/>
        <v>1191.9070634191173</v>
      </c>
      <c r="D81" s="54">
        <f t="shared" si="5"/>
        <v>2.2778326760663998</v>
      </c>
      <c r="E81" s="54">
        <f t="shared" si="6"/>
        <v>-1.7220634191173758</v>
      </c>
      <c r="F81" s="54">
        <f t="shared" si="7"/>
        <v>-0.75600962143155104</v>
      </c>
    </row>
    <row r="82" spans="1:6" x14ac:dyDescent="0.25">
      <c r="A82" s="37">
        <v>42969</v>
      </c>
      <c r="B82" s="17">
        <v>1190.085</v>
      </c>
      <c r="C82" s="54">
        <f t="shared" si="4"/>
        <v>1191.9070634191173</v>
      </c>
      <c r="D82" s="54">
        <f t="shared" si="5"/>
        <v>2.2778326760663998</v>
      </c>
      <c r="E82" s="54">
        <f t="shared" si="6"/>
        <v>-1.8220634191172849</v>
      </c>
      <c r="F82" s="54">
        <f t="shared" si="7"/>
        <v>-0.79991100235852919</v>
      </c>
    </row>
    <row r="83" spans="1:6" x14ac:dyDescent="0.25">
      <c r="A83" s="37">
        <v>43000</v>
      </c>
      <c r="B83" s="17">
        <v>1189.9749999999999</v>
      </c>
      <c r="C83" s="54">
        <f t="shared" si="4"/>
        <v>1191.9070634191173</v>
      </c>
      <c r="D83" s="54">
        <f t="shared" si="5"/>
        <v>2.2778326760663998</v>
      </c>
      <c r="E83" s="54">
        <f t="shared" si="6"/>
        <v>-1.9320634191174122</v>
      </c>
      <c r="F83" s="54">
        <f t="shared" si="7"/>
        <v>-0.84820252137830499</v>
      </c>
    </row>
    <row r="84" spans="1:6" x14ac:dyDescent="0.25">
      <c r="A84" s="37">
        <v>43030</v>
      </c>
      <c r="B84" s="17">
        <v>1189.8025</v>
      </c>
      <c r="C84" s="54">
        <f t="shared" si="4"/>
        <v>1191.9070634191173</v>
      </c>
      <c r="D84" s="54">
        <f t="shared" si="5"/>
        <v>2.2778326760663998</v>
      </c>
      <c r="E84" s="54">
        <f t="shared" si="6"/>
        <v>-2.1045634191173122</v>
      </c>
      <c r="F84" s="54">
        <f t="shared" si="7"/>
        <v>-0.92393240347736727</v>
      </c>
    </row>
    <row r="85" spans="1:6" x14ac:dyDescent="0.25">
      <c r="A85" s="37">
        <v>43061</v>
      </c>
      <c r="B85" s="17">
        <v>1189.605</v>
      </c>
      <c r="C85" s="54">
        <f t="shared" si="4"/>
        <v>1191.9070634191173</v>
      </c>
      <c r="D85" s="54">
        <f t="shared" si="5"/>
        <v>2.2778326760663998</v>
      </c>
      <c r="E85" s="54">
        <f t="shared" si="6"/>
        <v>-2.3020634191173031</v>
      </c>
      <c r="F85" s="54">
        <f t="shared" si="7"/>
        <v>-1.0106376308082239</v>
      </c>
    </row>
    <row r="86" spans="1:6" x14ac:dyDescent="0.25">
      <c r="A86" s="37">
        <v>43091</v>
      </c>
      <c r="B86" s="17">
        <v>1190.115</v>
      </c>
      <c r="C86" s="54">
        <f t="shared" si="4"/>
        <v>1191.9070634191173</v>
      </c>
      <c r="D86" s="54">
        <f t="shared" si="5"/>
        <v>2.2778326760663998</v>
      </c>
      <c r="E86" s="54">
        <f t="shared" si="6"/>
        <v>-1.7920634191173122</v>
      </c>
      <c r="F86" s="54">
        <f t="shared" si="7"/>
        <v>-0.78674058808043579</v>
      </c>
    </row>
    <row r="87" spans="1:6" x14ac:dyDescent="0.25">
      <c r="A87" s="37">
        <v>43122</v>
      </c>
      <c r="B87" s="17">
        <v>1189.8649999999998</v>
      </c>
      <c r="C87" s="54">
        <f t="shared" si="4"/>
        <v>1191.9070634191173</v>
      </c>
      <c r="D87" s="54">
        <f t="shared" si="5"/>
        <v>2.2778326760663998</v>
      </c>
      <c r="E87" s="54">
        <f t="shared" si="6"/>
        <v>-2.0420634191175395</v>
      </c>
      <c r="F87" s="54">
        <f t="shared" si="7"/>
        <v>-0.89649404039808078</v>
      </c>
    </row>
    <row r="88" spans="1:6" x14ac:dyDescent="0.25">
      <c r="A88" s="37">
        <v>43153</v>
      </c>
      <c r="B88" s="17">
        <v>1190.03</v>
      </c>
      <c r="C88" s="54">
        <f t="shared" si="4"/>
        <v>1191.9070634191173</v>
      </c>
      <c r="D88" s="54">
        <f t="shared" si="5"/>
        <v>2.2778326760663998</v>
      </c>
      <c r="E88" s="54">
        <f t="shared" si="6"/>
        <v>-1.8770634191173485</v>
      </c>
      <c r="F88" s="54">
        <f t="shared" si="7"/>
        <v>-0.82405676186841714</v>
      </c>
    </row>
    <row r="89" spans="1:6" x14ac:dyDescent="0.25">
      <c r="A89" s="37">
        <v>43181</v>
      </c>
      <c r="B89" s="17">
        <v>1189.8600000000001</v>
      </c>
      <c r="C89" s="54">
        <f t="shared" si="4"/>
        <v>1191.9070634191173</v>
      </c>
      <c r="D89" s="54">
        <f t="shared" si="5"/>
        <v>2.2778326760663998</v>
      </c>
      <c r="E89" s="54">
        <f t="shared" si="6"/>
        <v>-2.0470634191171939</v>
      </c>
      <c r="F89" s="54">
        <f t="shared" si="7"/>
        <v>-0.89868910944427993</v>
      </c>
    </row>
    <row r="90" spans="1:6" x14ac:dyDescent="0.25">
      <c r="A90" s="37">
        <v>43212</v>
      </c>
      <c r="B90" s="17">
        <v>1190.635</v>
      </c>
      <c r="C90" s="54">
        <f t="shared" si="4"/>
        <v>1191.9070634191173</v>
      </c>
      <c r="D90" s="54">
        <f t="shared" si="5"/>
        <v>2.2778326760663998</v>
      </c>
      <c r="E90" s="54">
        <f t="shared" si="6"/>
        <v>-1.2720634191173303</v>
      </c>
      <c r="F90" s="54">
        <f t="shared" si="7"/>
        <v>-0.55845340725994974</v>
      </c>
    </row>
    <row r="91" spans="1:6" x14ac:dyDescent="0.25">
      <c r="A91" s="37">
        <v>43242</v>
      </c>
      <c r="B91" s="17">
        <v>1190.47</v>
      </c>
      <c r="C91" s="54">
        <f t="shared" si="4"/>
        <v>1191.9070634191173</v>
      </c>
      <c r="D91" s="54">
        <f t="shared" si="5"/>
        <v>2.2778326760663998</v>
      </c>
      <c r="E91" s="54">
        <f t="shared" si="6"/>
        <v>-1.437063419117294</v>
      </c>
      <c r="F91" s="54">
        <f t="shared" si="7"/>
        <v>-0.63089068578951357</v>
      </c>
    </row>
    <row r="92" spans="1:6" x14ac:dyDescent="0.25">
      <c r="A92" s="37">
        <v>43273</v>
      </c>
      <c r="B92" s="17">
        <v>1190.71</v>
      </c>
      <c r="C92" s="54">
        <f t="shared" si="4"/>
        <v>1191.9070634191173</v>
      </c>
      <c r="D92" s="54">
        <f t="shared" si="5"/>
        <v>2.2778326760663998</v>
      </c>
      <c r="E92" s="54">
        <f t="shared" si="6"/>
        <v>-1.1970634191172849</v>
      </c>
      <c r="F92" s="54">
        <f t="shared" si="7"/>
        <v>-0.52552737156466622</v>
      </c>
    </row>
    <row r="93" spans="1:6" x14ac:dyDescent="0.25">
      <c r="A93" s="37">
        <v>43303</v>
      </c>
      <c r="B93" s="17">
        <v>1190.56</v>
      </c>
      <c r="C93" s="54">
        <f t="shared" si="4"/>
        <v>1191.9070634191173</v>
      </c>
      <c r="D93" s="54">
        <f t="shared" si="5"/>
        <v>2.2778326760663998</v>
      </c>
      <c r="E93" s="54">
        <f t="shared" si="6"/>
        <v>-1.3470634191173758</v>
      </c>
      <c r="F93" s="54">
        <f t="shared" si="7"/>
        <v>-0.59137944295523326</v>
      </c>
    </row>
    <row r="94" spans="1:6" x14ac:dyDescent="0.25">
      <c r="A94" s="37">
        <v>43334</v>
      </c>
      <c r="B94" s="17">
        <v>1190.405</v>
      </c>
      <c r="C94" s="54">
        <f t="shared" si="4"/>
        <v>1191.9070634191173</v>
      </c>
      <c r="D94" s="54">
        <f t="shared" si="5"/>
        <v>2.2778326760663998</v>
      </c>
      <c r="E94" s="54">
        <f t="shared" si="6"/>
        <v>-1.5020634191173485</v>
      </c>
      <c r="F94" s="54">
        <f t="shared" si="7"/>
        <v>-0.65942658339209925</v>
      </c>
    </row>
    <row r="95" spans="1:6" x14ac:dyDescent="0.25">
      <c r="A95" s="37">
        <v>43365</v>
      </c>
      <c r="B95" s="17">
        <v>1190.3049999999998</v>
      </c>
      <c r="C95" s="54">
        <f t="shared" si="4"/>
        <v>1191.9070634191173</v>
      </c>
      <c r="D95" s="54">
        <f t="shared" si="5"/>
        <v>2.2778326760663998</v>
      </c>
      <c r="E95" s="54">
        <f t="shared" si="6"/>
        <v>-1.602063419117485</v>
      </c>
      <c r="F95" s="54">
        <f t="shared" si="7"/>
        <v>-0.70332796431917732</v>
      </c>
    </row>
    <row r="96" spans="1:6" x14ac:dyDescent="0.25">
      <c r="A96" s="37">
        <v>43395</v>
      </c>
      <c r="B96" s="17">
        <v>1190.2199999999998</v>
      </c>
      <c r="C96" s="54">
        <f t="shared" si="4"/>
        <v>1191.9070634191173</v>
      </c>
      <c r="D96" s="54">
        <f t="shared" si="5"/>
        <v>2.2778326760663998</v>
      </c>
      <c r="E96" s="54">
        <f t="shared" si="6"/>
        <v>-1.6870634191175213</v>
      </c>
      <c r="F96" s="54">
        <f t="shared" si="7"/>
        <v>-0.74064413810715857</v>
      </c>
    </row>
    <row r="97" spans="1:6" x14ac:dyDescent="0.25">
      <c r="A97" s="37">
        <v>43426</v>
      </c>
      <c r="B97" s="17">
        <v>1190.0900000000001</v>
      </c>
      <c r="C97" s="54">
        <f t="shared" si="4"/>
        <v>1191.9070634191173</v>
      </c>
      <c r="D97" s="54">
        <f t="shared" si="5"/>
        <v>2.2778326760663998</v>
      </c>
      <c r="E97" s="54">
        <f t="shared" si="6"/>
        <v>-1.8170634191171757</v>
      </c>
      <c r="F97" s="54">
        <f t="shared" si="7"/>
        <v>-0.79771593331213042</v>
      </c>
    </row>
    <row r="98" spans="1:6" x14ac:dyDescent="0.25">
      <c r="A98" s="37">
        <v>43456</v>
      </c>
      <c r="B98" s="17">
        <v>1190.0900000000001</v>
      </c>
      <c r="C98" s="54">
        <f t="shared" si="4"/>
        <v>1191.9070634191173</v>
      </c>
      <c r="D98" s="54">
        <f t="shared" si="5"/>
        <v>2.2778326760663998</v>
      </c>
      <c r="E98" s="54">
        <f t="shared" si="6"/>
        <v>-1.8170634191171757</v>
      </c>
      <c r="F98" s="54">
        <f t="shared" si="7"/>
        <v>-0.79771593331213042</v>
      </c>
    </row>
    <row r="99" spans="1:6" x14ac:dyDescent="0.25">
      <c r="A99" s="37">
        <v>43487</v>
      </c>
      <c r="B99" s="17">
        <v>1190.115</v>
      </c>
      <c r="C99" s="54">
        <f t="shared" si="4"/>
        <v>1191.9070634191173</v>
      </c>
      <c r="D99" s="54">
        <f t="shared" si="5"/>
        <v>2.2778326760663998</v>
      </c>
      <c r="E99" s="54">
        <f t="shared" si="6"/>
        <v>-1.7920634191173122</v>
      </c>
      <c r="F99" s="54">
        <f t="shared" si="7"/>
        <v>-0.78674058808043579</v>
      </c>
    </row>
    <row r="100" spans="1:6" x14ac:dyDescent="0.25">
      <c r="A100" s="37">
        <v>43518</v>
      </c>
      <c r="B100" s="17">
        <v>1189.92</v>
      </c>
      <c r="C100" s="54">
        <f t="shared" si="4"/>
        <v>1191.9070634191173</v>
      </c>
      <c r="D100" s="54">
        <f t="shared" si="5"/>
        <v>2.2778326760663998</v>
      </c>
      <c r="E100" s="54">
        <f t="shared" si="6"/>
        <v>-1.9870634191172485</v>
      </c>
      <c r="F100" s="54">
        <f t="shared" si="7"/>
        <v>-0.87234828088809313</v>
      </c>
    </row>
    <row r="101" spans="1:6" x14ac:dyDescent="0.25">
      <c r="A101" s="37">
        <v>43546</v>
      </c>
      <c r="B101" s="17">
        <v>1190.2249999999999</v>
      </c>
      <c r="C101" s="54">
        <f t="shared" si="4"/>
        <v>1191.9070634191173</v>
      </c>
      <c r="D101" s="54">
        <f t="shared" si="5"/>
        <v>2.2778326760663998</v>
      </c>
      <c r="E101" s="54">
        <f t="shared" si="6"/>
        <v>-1.6820634191174122</v>
      </c>
      <c r="F101" s="54">
        <f t="shared" si="7"/>
        <v>-0.7384490690607598</v>
      </c>
    </row>
    <row r="102" spans="1:6" x14ac:dyDescent="0.25">
      <c r="A102" s="37">
        <v>43577</v>
      </c>
      <c r="B102" s="17">
        <v>1190.095</v>
      </c>
      <c r="C102" s="54">
        <f t="shared" si="4"/>
        <v>1191.9070634191173</v>
      </c>
      <c r="D102" s="54">
        <f t="shared" si="5"/>
        <v>2.2778326760663998</v>
      </c>
      <c r="E102" s="54">
        <f t="shared" si="6"/>
        <v>-1.812063419117294</v>
      </c>
      <c r="F102" s="54">
        <f t="shared" si="7"/>
        <v>-0.79552086426583135</v>
      </c>
    </row>
    <row r="103" spans="1:6" x14ac:dyDescent="0.25">
      <c r="A103" s="37">
        <v>43607</v>
      </c>
      <c r="B103" s="17">
        <v>1190.2350000000001</v>
      </c>
      <c r="C103" s="54">
        <f t="shared" si="4"/>
        <v>1191.9070634191173</v>
      </c>
      <c r="D103" s="54">
        <f t="shared" si="5"/>
        <v>2.2778326760663998</v>
      </c>
      <c r="E103" s="54">
        <f t="shared" si="6"/>
        <v>-1.6720634191171939</v>
      </c>
      <c r="F103" s="54">
        <f t="shared" si="7"/>
        <v>-0.73405893096796215</v>
      </c>
    </row>
    <row r="104" spans="1:6" x14ac:dyDescent="0.25">
      <c r="A104" s="37">
        <v>43638</v>
      </c>
      <c r="B104" s="17">
        <v>1190.3400000000001</v>
      </c>
      <c r="C104" s="54">
        <f t="shared" si="4"/>
        <v>1191.9070634191173</v>
      </c>
      <c r="D104" s="54">
        <f t="shared" si="5"/>
        <v>2.2778326760663998</v>
      </c>
      <c r="E104" s="54">
        <f t="shared" si="6"/>
        <v>-1.5670634191171757</v>
      </c>
      <c r="F104" s="54">
        <f t="shared" si="7"/>
        <v>-0.68796248099458523</v>
      </c>
    </row>
    <row r="105" spans="1:6" x14ac:dyDescent="0.25">
      <c r="A105" s="37">
        <v>43668</v>
      </c>
      <c r="B105" s="17">
        <v>1190.0500000000002</v>
      </c>
      <c r="C105" s="54">
        <f t="shared" si="4"/>
        <v>1191.9070634191173</v>
      </c>
      <c r="D105" s="54">
        <f t="shared" si="5"/>
        <v>2.2778326760663998</v>
      </c>
      <c r="E105" s="54">
        <f t="shared" si="6"/>
        <v>-1.8570634191171393</v>
      </c>
      <c r="F105" s="54">
        <f t="shared" si="7"/>
        <v>-0.81527648568292166</v>
      </c>
    </row>
    <row r="106" spans="1:6" x14ac:dyDescent="0.25">
      <c r="A106" s="37">
        <v>43699</v>
      </c>
      <c r="B106" s="17">
        <v>1190.33</v>
      </c>
      <c r="C106" s="54">
        <f t="shared" si="4"/>
        <v>1191.9070634191173</v>
      </c>
      <c r="D106" s="54">
        <f t="shared" si="5"/>
        <v>2.2778326760663998</v>
      </c>
      <c r="E106" s="54">
        <f t="shared" si="6"/>
        <v>-1.577063419117394</v>
      </c>
      <c r="F106" s="54">
        <f t="shared" si="7"/>
        <v>-0.69235261908738288</v>
      </c>
    </row>
    <row r="107" spans="1:6" x14ac:dyDescent="0.25">
      <c r="A107" s="37">
        <v>43730</v>
      </c>
      <c r="B107" s="17">
        <v>1190.2350000000001</v>
      </c>
      <c r="C107" s="54">
        <f t="shared" si="4"/>
        <v>1191.9070634191173</v>
      </c>
      <c r="D107" s="54">
        <f t="shared" si="5"/>
        <v>2.2778326760663998</v>
      </c>
      <c r="E107" s="54">
        <f t="shared" si="6"/>
        <v>-1.6720634191171939</v>
      </c>
      <c r="F107" s="54">
        <f t="shared" si="7"/>
        <v>-0.73405893096796215</v>
      </c>
    </row>
    <row r="108" spans="1:6" x14ac:dyDescent="0.25">
      <c r="A108" s="37">
        <v>43760</v>
      </c>
      <c r="B108" s="17">
        <v>1190.1574999999998</v>
      </c>
      <c r="C108" s="54">
        <f t="shared" si="4"/>
        <v>1191.9070634191173</v>
      </c>
      <c r="D108" s="54">
        <f t="shared" si="5"/>
        <v>2.2778326760663998</v>
      </c>
      <c r="E108" s="54">
        <f t="shared" si="6"/>
        <v>-1.7495634191175213</v>
      </c>
      <c r="F108" s="54">
        <f t="shared" si="7"/>
        <v>-0.76808250118654486</v>
      </c>
    </row>
    <row r="109" spans="1:6" x14ac:dyDescent="0.25">
      <c r="A109" s="37">
        <v>43791</v>
      </c>
      <c r="B109" s="17">
        <v>1190.1500000000001</v>
      </c>
      <c r="C109" s="54">
        <f t="shared" si="4"/>
        <v>1191.9070634191173</v>
      </c>
      <c r="D109" s="54">
        <f t="shared" si="5"/>
        <v>2.2778326760663998</v>
      </c>
      <c r="E109" s="54">
        <f t="shared" si="6"/>
        <v>-1.7570634191172303</v>
      </c>
      <c r="F109" s="54">
        <f t="shared" si="7"/>
        <v>-0.77137510475594351</v>
      </c>
    </row>
    <row r="110" spans="1:6" x14ac:dyDescent="0.25">
      <c r="A110" s="37">
        <v>43821</v>
      </c>
      <c r="B110" s="17">
        <v>1190.08</v>
      </c>
      <c r="C110" s="54">
        <f t="shared" si="4"/>
        <v>1191.9070634191173</v>
      </c>
      <c r="D110" s="54">
        <f t="shared" si="5"/>
        <v>2.2778326760663998</v>
      </c>
      <c r="E110" s="54">
        <f t="shared" si="6"/>
        <v>-1.827063419117394</v>
      </c>
      <c r="F110" s="54">
        <f t="shared" si="7"/>
        <v>-0.80210607140492807</v>
      </c>
    </row>
    <row r="111" spans="1:6" x14ac:dyDescent="0.25">
      <c r="A111" s="37">
        <v>43852</v>
      </c>
      <c r="B111" s="17">
        <v>1189.92</v>
      </c>
      <c r="C111" s="54">
        <f t="shared" si="4"/>
        <v>1191.9070634191173</v>
      </c>
      <c r="D111" s="54">
        <f t="shared" si="5"/>
        <v>2.2778326760663998</v>
      </c>
      <c r="E111" s="54">
        <f t="shared" si="6"/>
        <v>-1.9870634191172485</v>
      </c>
      <c r="F111" s="54">
        <f t="shared" si="7"/>
        <v>-0.87234828088809313</v>
      </c>
    </row>
    <row r="112" spans="1:6" x14ac:dyDescent="0.25">
      <c r="A112" s="37">
        <v>43883</v>
      </c>
      <c r="B112" s="17">
        <v>1190.1300000000001</v>
      </c>
      <c r="C112" s="54">
        <f t="shared" si="4"/>
        <v>1191.9070634191173</v>
      </c>
      <c r="D112" s="54">
        <f t="shared" si="5"/>
        <v>2.2778326760663998</v>
      </c>
      <c r="E112" s="54">
        <f t="shared" si="6"/>
        <v>-1.7770634191172121</v>
      </c>
      <c r="F112" s="54">
        <f t="shared" si="7"/>
        <v>-0.78015538094133918</v>
      </c>
    </row>
    <row r="113" spans="1:6" x14ac:dyDescent="0.25">
      <c r="A113" s="64">
        <v>43912</v>
      </c>
      <c r="B113" s="17">
        <v>1190.44</v>
      </c>
      <c r="C113" s="54">
        <f t="shared" si="4"/>
        <v>1191.9070634191173</v>
      </c>
      <c r="D113" s="54">
        <f t="shared" si="5"/>
        <v>2.2778326760663998</v>
      </c>
      <c r="E113" s="54">
        <f t="shared" si="6"/>
        <v>-1.4670634191172667</v>
      </c>
      <c r="F113" s="54">
        <f t="shared" si="7"/>
        <v>-0.64406110006760708</v>
      </c>
    </row>
    <row r="114" spans="1:6" x14ac:dyDescent="0.25">
      <c r="A114" s="64">
        <v>43943</v>
      </c>
      <c r="B114" s="49"/>
      <c r="C114" s="54">
        <f t="shared" si="4"/>
        <v>1191.9070634191173</v>
      </c>
      <c r="D114" s="54">
        <f t="shared" si="5"/>
        <v>2.2778326760663998</v>
      </c>
      <c r="E114" s="63"/>
      <c r="F114" s="63"/>
    </row>
    <row r="115" spans="1:6" x14ac:dyDescent="0.25">
      <c r="A115" s="64">
        <v>43973</v>
      </c>
      <c r="B115" s="52"/>
      <c r="C115" s="54">
        <f>AVERAGE($B$4:$B$173)</f>
        <v>1191.9070634191173</v>
      </c>
      <c r="D115" s="54">
        <f t="shared" si="5"/>
        <v>2.2778326760663998</v>
      </c>
      <c r="E115" s="63"/>
      <c r="F115" s="63"/>
    </row>
    <row r="116" spans="1:6" x14ac:dyDescent="0.25">
      <c r="A116" s="64">
        <v>44004</v>
      </c>
      <c r="B116" s="50">
        <v>1190.9000000000001</v>
      </c>
      <c r="C116" s="54">
        <f t="shared" ref="C116:C173" si="8">AVERAGE($B$4:$B$173)</f>
        <v>1191.9070634191173</v>
      </c>
      <c r="D116" s="54">
        <f t="shared" si="5"/>
        <v>2.2778326760663998</v>
      </c>
      <c r="E116" s="54">
        <f t="shared" si="6"/>
        <v>-1.0070634191172303</v>
      </c>
      <c r="F116" s="54">
        <f t="shared" si="7"/>
        <v>-0.44211474780330789</v>
      </c>
    </row>
    <row r="117" spans="1:6" x14ac:dyDescent="0.25">
      <c r="A117" s="64">
        <v>44034</v>
      </c>
      <c r="B117" s="50">
        <v>1190.5149999999999</v>
      </c>
      <c r="C117" s="54">
        <f t="shared" si="8"/>
        <v>1191.9070634191173</v>
      </c>
      <c r="D117" s="54">
        <f t="shared" si="5"/>
        <v>2.2778326760663998</v>
      </c>
      <c r="E117" s="54">
        <f t="shared" si="6"/>
        <v>-1.3920634191174486</v>
      </c>
      <c r="F117" s="54">
        <f t="shared" si="7"/>
        <v>-0.61113506437242338</v>
      </c>
    </row>
    <row r="118" spans="1:6" x14ac:dyDescent="0.25">
      <c r="A118" s="37">
        <v>44065</v>
      </c>
      <c r="B118" s="50">
        <v>1190.9549999999999</v>
      </c>
      <c r="C118" s="54">
        <f t="shared" si="8"/>
        <v>1191.9070634191173</v>
      </c>
      <c r="D118" s="54">
        <f t="shared" si="5"/>
        <v>2.2778326760663998</v>
      </c>
      <c r="E118" s="30">
        <f t="shared" si="6"/>
        <v>-0.95206341911739401</v>
      </c>
      <c r="F118" s="13">
        <f t="shared" si="7"/>
        <v>-0.41796898829351981</v>
      </c>
    </row>
    <row r="119" spans="1:6" x14ac:dyDescent="0.25">
      <c r="A119" s="37">
        <v>44096</v>
      </c>
      <c r="B119" s="50">
        <v>1190.5749999999998</v>
      </c>
      <c r="C119" s="54">
        <f t="shared" si="8"/>
        <v>1191.9070634191173</v>
      </c>
      <c r="D119" s="54">
        <f t="shared" si="5"/>
        <v>2.2778326760663998</v>
      </c>
      <c r="E119" s="30">
        <f t="shared" si="6"/>
        <v>-1.3320634191175031</v>
      </c>
      <c r="F119" s="13">
        <f t="shared" si="7"/>
        <v>-0.58479423581623646</v>
      </c>
    </row>
    <row r="120" spans="1:6" x14ac:dyDescent="0.25">
      <c r="A120" s="37">
        <v>44126</v>
      </c>
      <c r="B120" s="50">
        <v>1190.6999999999998</v>
      </c>
      <c r="C120" s="54">
        <f t="shared" si="8"/>
        <v>1191.9070634191173</v>
      </c>
      <c r="D120" s="54">
        <f t="shared" si="5"/>
        <v>2.2778326760663998</v>
      </c>
      <c r="E120" s="30">
        <f t="shared" si="6"/>
        <v>-1.2070634191175031</v>
      </c>
      <c r="F120" s="13">
        <f t="shared" si="7"/>
        <v>-0.52991750965746387</v>
      </c>
    </row>
    <row r="121" spans="1:6" x14ac:dyDescent="0.25">
      <c r="A121" s="37">
        <v>44157</v>
      </c>
      <c r="B121" s="50">
        <v>1190.5349999999999</v>
      </c>
      <c r="C121" s="54">
        <f t="shared" si="8"/>
        <v>1191.9070634191173</v>
      </c>
      <c r="D121" s="54">
        <f t="shared" si="5"/>
        <v>2.2778326760663998</v>
      </c>
      <c r="E121" s="30">
        <f t="shared" si="6"/>
        <v>-1.3720634191174668</v>
      </c>
      <c r="F121" s="13">
        <f t="shared" si="7"/>
        <v>-0.6023547881870277</v>
      </c>
    </row>
    <row r="122" spans="1:6" x14ac:dyDescent="0.25">
      <c r="A122" s="37">
        <v>44187</v>
      </c>
      <c r="B122" s="50">
        <v>1190.3699999999999</v>
      </c>
      <c r="C122" s="54">
        <f t="shared" si="8"/>
        <v>1191.9070634191173</v>
      </c>
      <c r="D122" s="54">
        <f t="shared" si="5"/>
        <v>2.2778326760663998</v>
      </c>
      <c r="E122" s="30">
        <f t="shared" si="6"/>
        <v>-1.5370634191174304</v>
      </c>
      <c r="F122" s="13">
        <f t="shared" si="7"/>
        <v>-0.67479206671659153</v>
      </c>
    </row>
    <row r="123" spans="1:6" x14ac:dyDescent="0.25">
      <c r="A123" s="37">
        <v>44218</v>
      </c>
      <c r="B123" s="50">
        <v>1190.1600000000001</v>
      </c>
      <c r="C123" s="54">
        <f t="shared" si="8"/>
        <v>1191.9070634191173</v>
      </c>
      <c r="D123" s="54">
        <f t="shared" si="5"/>
        <v>2.2778326760663998</v>
      </c>
      <c r="E123" s="30">
        <f t="shared" si="6"/>
        <v>-1.7470634191172394</v>
      </c>
      <c r="F123" s="13">
        <f t="shared" si="7"/>
        <v>-0.76698496666324567</v>
      </c>
    </row>
    <row r="124" spans="1:6" x14ac:dyDescent="0.25">
      <c r="A124" s="37">
        <v>44249</v>
      </c>
      <c r="B124" s="50">
        <v>1191.08</v>
      </c>
      <c r="C124" s="54">
        <f t="shared" si="8"/>
        <v>1191.9070634191173</v>
      </c>
      <c r="D124" s="54">
        <f t="shared" si="5"/>
        <v>2.2778326760663998</v>
      </c>
      <c r="E124" s="30">
        <f t="shared" si="6"/>
        <v>-0.82706341911739401</v>
      </c>
      <c r="F124" s="13">
        <f t="shared" si="7"/>
        <v>-0.36309226213474721</v>
      </c>
    </row>
    <row r="125" spans="1:6" x14ac:dyDescent="0.25">
      <c r="A125" s="37">
        <v>44277</v>
      </c>
      <c r="B125" s="50">
        <v>1191.77</v>
      </c>
      <c r="C125" s="54">
        <f t="shared" si="8"/>
        <v>1191.9070634191173</v>
      </c>
      <c r="D125" s="54">
        <f t="shared" si="5"/>
        <v>2.2778326760663998</v>
      </c>
      <c r="E125" s="30">
        <f t="shared" si="6"/>
        <v>-0.13706341911733944</v>
      </c>
      <c r="F125" s="13">
        <f t="shared" si="7"/>
        <v>-6.0172733738298512E-2</v>
      </c>
    </row>
    <row r="126" spans="1:6" x14ac:dyDescent="0.25">
      <c r="A126" s="37">
        <v>44308</v>
      </c>
      <c r="B126" s="50">
        <v>1191.98</v>
      </c>
      <c r="C126" s="54">
        <f t="shared" si="8"/>
        <v>1191.9070634191173</v>
      </c>
      <c r="D126" s="54">
        <f t="shared" si="5"/>
        <v>2.2778326760663998</v>
      </c>
      <c r="E126" s="30">
        <f t="shared" si="6"/>
        <v>7.2936580882696944E-2</v>
      </c>
      <c r="F126" s="13">
        <f t="shared" si="7"/>
        <v>3.2020166208455429E-2</v>
      </c>
    </row>
    <row r="127" spans="1:6" x14ac:dyDescent="0.25">
      <c r="A127" s="37">
        <v>44338</v>
      </c>
      <c r="B127" s="52"/>
      <c r="C127" s="54">
        <f t="shared" si="8"/>
        <v>1191.9070634191173</v>
      </c>
      <c r="D127" s="54">
        <f t="shared" si="5"/>
        <v>2.2778326760663998</v>
      </c>
      <c r="E127" s="47"/>
      <c r="F127" s="53"/>
    </row>
    <row r="128" spans="1:6" x14ac:dyDescent="0.25">
      <c r="A128" s="37">
        <v>44369</v>
      </c>
      <c r="B128" s="50">
        <v>1192.1550000000002</v>
      </c>
      <c r="C128" s="54">
        <f t="shared" si="8"/>
        <v>1191.9070634191173</v>
      </c>
      <c r="D128" s="54">
        <f t="shared" si="5"/>
        <v>2.2778326760663998</v>
      </c>
      <c r="E128" s="30">
        <f t="shared" si="6"/>
        <v>0.24793658088287884</v>
      </c>
      <c r="F128" s="13">
        <f t="shared" si="7"/>
        <v>0.10884758283081693</v>
      </c>
    </row>
    <row r="129" spans="1:6" x14ac:dyDescent="0.25">
      <c r="A129" s="37">
        <v>44399</v>
      </c>
      <c r="B129" s="50">
        <v>1191.9949999999999</v>
      </c>
      <c r="C129" s="54">
        <f t="shared" si="8"/>
        <v>1191.9070634191173</v>
      </c>
      <c r="D129" s="54">
        <f t="shared" si="5"/>
        <v>2.2778326760663998</v>
      </c>
      <c r="E129" s="30">
        <f t="shared" si="6"/>
        <v>8.7936580882569615E-2</v>
      </c>
      <c r="F129" s="13">
        <f t="shared" si="7"/>
        <v>3.8605373347452246E-2</v>
      </c>
    </row>
    <row r="130" spans="1:6" x14ac:dyDescent="0.25">
      <c r="A130" s="37">
        <v>44430</v>
      </c>
      <c r="B130" s="50">
        <v>1192.07</v>
      </c>
      <c r="C130" s="54">
        <f t="shared" si="8"/>
        <v>1191.9070634191173</v>
      </c>
      <c r="D130" s="54">
        <f t="shared" si="5"/>
        <v>2.2778326760663998</v>
      </c>
      <c r="E130" s="30">
        <f t="shared" si="6"/>
        <v>0.16293658088261509</v>
      </c>
      <c r="F130" s="13">
        <f t="shared" si="7"/>
        <v>7.1531409042735764E-2</v>
      </c>
    </row>
    <row r="131" spans="1:6" x14ac:dyDescent="0.25">
      <c r="A131" s="37">
        <v>44461</v>
      </c>
      <c r="B131" s="50">
        <v>1192.125</v>
      </c>
      <c r="C131" s="54">
        <f t="shared" si="8"/>
        <v>1191.9070634191173</v>
      </c>
      <c r="D131" s="54">
        <f t="shared" si="5"/>
        <v>2.2778326760663998</v>
      </c>
      <c r="E131" s="30">
        <f t="shared" si="6"/>
        <v>0.21793658088267875</v>
      </c>
      <c r="F131" s="13">
        <f t="shared" si="7"/>
        <v>9.5677168552623662E-2</v>
      </c>
    </row>
    <row r="132" spans="1:6" x14ac:dyDescent="0.25">
      <c r="A132" s="37">
        <v>44491</v>
      </c>
      <c r="B132" s="50">
        <v>1191.8400000000001</v>
      </c>
      <c r="C132" s="54">
        <f t="shared" si="8"/>
        <v>1191.9070634191173</v>
      </c>
      <c r="D132" s="54">
        <f t="shared" si="5"/>
        <v>2.2778326760663998</v>
      </c>
      <c r="E132" s="30">
        <f t="shared" si="6"/>
        <v>-6.7063419117175727E-2</v>
      </c>
      <c r="F132" s="13">
        <f t="shared" si="7"/>
        <v>-2.944176708931398E-2</v>
      </c>
    </row>
    <row r="133" spans="1:6" x14ac:dyDescent="0.25">
      <c r="A133" s="37">
        <v>44522</v>
      </c>
      <c r="B133" s="50">
        <v>1191.8150000000001</v>
      </c>
      <c r="C133" s="54">
        <f t="shared" si="8"/>
        <v>1191.9070634191173</v>
      </c>
      <c r="D133" s="54">
        <f t="shared" ref="D133:D173" si="9">_xlfn.STDEV.S($B$4:$B$173)</f>
        <v>2.2778326760663998</v>
      </c>
      <c r="E133" s="30">
        <f t="shared" ref="E133:E173" si="10">B133-C133</f>
        <v>-9.2063419117266676E-2</v>
      </c>
      <c r="F133" s="13">
        <f t="shared" ref="F133:F143" si="11">E133/D133</f>
        <v>-4.041711232110843E-2</v>
      </c>
    </row>
    <row r="134" spans="1:6" x14ac:dyDescent="0.25">
      <c r="A134" s="37">
        <v>44552</v>
      </c>
      <c r="B134" s="50">
        <v>1192.2350000000001</v>
      </c>
      <c r="C134" s="54">
        <f t="shared" si="8"/>
        <v>1191.9070634191173</v>
      </c>
      <c r="D134" s="54">
        <f t="shared" si="9"/>
        <v>2.2778326760663998</v>
      </c>
      <c r="E134" s="30">
        <f t="shared" si="10"/>
        <v>0.32793658088280608</v>
      </c>
      <c r="F134" s="13">
        <f t="shared" si="11"/>
        <v>0.14396868757239945</v>
      </c>
    </row>
    <row r="135" spans="1:6" x14ac:dyDescent="0.25">
      <c r="A135" s="37">
        <v>44583</v>
      </c>
      <c r="B135" s="50">
        <v>1193.17</v>
      </c>
      <c r="C135" s="54">
        <f t="shared" si="8"/>
        <v>1191.9070634191173</v>
      </c>
      <c r="D135" s="54">
        <f t="shared" si="9"/>
        <v>2.2778326760663998</v>
      </c>
      <c r="E135" s="30">
        <f t="shared" si="10"/>
        <v>1.2629365808827515</v>
      </c>
      <c r="F135" s="13">
        <f t="shared" si="11"/>
        <v>0.55444659923999451</v>
      </c>
    </row>
    <row r="136" spans="1:6" x14ac:dyDescent="0.25">
      <c r="A136" s="37">
        <v>44614</v>
      </c>
      <c r="B136" s="50">
        <v>1186.7329687500001</v>
      </c>
      <c r="C136" s="54">
        <f t="shared" si="8"/>
        <v>1191.9070634191173</v>
      </c>
      <c r="D136" s="54">
        <f t="shared" si="9"/>
        <v>2.2778326760663998</v>
      </c>
      <c r="E136" s="30">
        <f t="shared" si="10"/>
        <v>-5.1740946691172667</v>
      </c>
      <c r="F136" s="13">
        <f t="shared" si="11"/>
        <v>-2.2714990102137071</v>
      </c>
    </row>
    <row r="137" spans="1:6" x14ac:dyDescent="0.25">
      <c r="A137" s="37">
        <v>44642</v>
      </c>
      <c r="B137" s="50">
        <v>1193.2849999999999</v>
      </c>
      <c r="C137" s="54">
        <f t="shared" si="8"/>
        <v>1191.9070634191173</v>
      </c>
      <c r="D137" s="54">
        <f t="shared" si="9"/>
        <v>2.2778326760663998</v>
      </c>
      <c r="E137" s="30">
        <f t="shared" si="10"/>
        <v>1.3779365808825332</v>
      </c>
      <c r="F137" s="13">
        <f t="shared" si="11"/>
        <v>0.60493318730596957</v>
      </c>
    </row>
    <row r="138" spans="1:6" x14ac:dyDescent="0.25">
      <c r="A138" s="37">
        <v>44673</v>
      </c>
      <c r="B138" s="50">
        <v>1193.44</v>
      </c>
      <c r="C138" s="54">
        <f t="shared" si="8"/>
        <v>1191.9070634191173</v>
      </c>
      <c r="D138" s="54">
        <f t="shared" si="9"/>
        <v>2.2778326760663998</v>
      </c>
      <c r="E138" s="30">
        <f t="shared" si="10"/>
        <v>1.5329365808827333</v>
      </c>
      <c r="F138" s="13">
        <f t="shared" si="11"/>
        <v>0.67298032774293537</v>
      </c>
    </row>
    <row r="139" spans="1:6" x14ac:dyDescent="0.25">
      <c r="A139" s="37">
        <v>44703</v>
      </c>
      <c r="B139" s="50">
        <v>1193.855</v>
      </c>
      <c r="C139" s="54">
        <f t="shared" si="8"/>
        <v>1191.9070634191173</v>
      </c>
      <c r="D139" s="54">
        <f t="shared" si="9"/>
        <v>2.2778326760663998</v>
      </c>
      <c r="E139" s="30">
        <f t="shared" si="10"/>
        <v>1.9479365808826969</v>
      </c>
      <c r="F139" s="13">
        <f t="shared" si="11"/>
        <v>0.8551710585900445</v>
      </c>
    </row>
    <row r="140" spans="1:6" x14ac:dyDescent="0.25">
      <c r="A140" s="37">
        <v>44734</v>
      </c>
      <c r="B140" s="50">
        <v>1194.1849999999999</v>
      </c>
      <c r="C140" s="54">
        <f t="shared" si="8"/>
        <v>1191.9070634191173</v>
      </c>
      <c r="D140" s="54">
        <f t="shared" si="9"/>
        <v>2.2778326760663998</v>
      </c>
      <c r="E140" s="30">
        <f t="shared" si="10"/>
        <v>2.2779365808826242</v>
      </c>
      <c r="F140" s="13">
        <f t="shared" si="11"/>
        <v>1.0000456156491722</v>
      </c>
    </row>
    <row r="141" spans="1:6" x14ac:dyDescent="0.25">
      <c r="A141" s="37">
        <v>44764</v>
      </c>
      <c r="B141" s="50">
        <v>1193.5349999999999</v>
      </c>
      <c r="C141" s="54">
        <f t="shared" si="8"/>
        <v>1191.9070634191173</v>
      </c>
      <c r="D141" s="54">
        <f t="shared" si="9"/>
        <v>2.2778326760663998</v>
      </c>
      <c r="E141" s="30">
        <f t="shared" si="10"/>
        <v>1.6279365808825332</v>
      </c>
      <c r="F141" s="13">
        <f t="shared" si="11"/>
        <v>0.71468663962351475</v>
      </c>
    </row>
    <row r="142" spans="1:6" x14ac:dyDescent="0.25">
      <c r="A142" s="37">
        <v>44795</v>
      </c>
      <c r="B142" s="50">
        <v>1193.9450000000002</v>
      </c>
      <c r="C142" s="54">
        <f t="shared" si="8"/>
        <v>1191.9070634191173</v>
      </c>
      <c r="D142" s="54">
        <f t="shared" si="9"/>
        <v>2.2778326760663998</v>
      </c>
      <c r="E142" s="30">
        <f t="shared" si="10"/>
        <v>2.0379365808828425</v>
      </c>
      <c r="F142" s="13">
        <f t="shared" si="11"/>
        <v>0.89468230142442462</v>
      </c>
    </row>
    <row r="143" spans="1:6" x14ac:dyDescent="0.25">
      <c r="A143" s="37">
        <v>44826</v>
      </c>
      <c r="B143" s="50">
        <v>1193.7950000000001</v>
      </c>
      <c r="C143" s="54">
        <f t="shared" si="8"/>
        <v>1191.9070634191173</v>
      </c>
      <c r="D143" s="54">
        <f t="shared" si="9"/>
        <v>2.2778326760663998</v>
      </c>
      <c r="E143" s="30">
        <f t="shared" si="10"/>
        <v>1.8879365808827515</v>
      </c>
      <c r="F143" s="13">
        <f t="shared" si="11"/>
        <v>0.82883023003385758</v>
      </c>
    </row>
    <row r="144" spans="1:6" x14ac:dyDescent="0.25">
      <c r="A144" s="37">
        <v>44856</v>
      </c>
      <c r="B144" s="50">
        <v>1193.635</v>
      </c>
      <c r="C144" s="54">
        <f t="shared" si="8"/>
        <v>1191.9070634191173</v>
      </c>
      <c r="D144" s="54">
        <f t="shared" si="9"/>
        <v>2.2778326760663998</v>
      </c>
      <c r="E144" s="30">
        <f t="shared" si="10"/>
        <v>1.7279365808826697</v>
      </c>
      <c r="F144" s="13">
        <f>E144/D144</f>
        <v>0.75858802055059271</v>
      </c>
    </row>
    <row r="145" spans="1:6" x14ac:dyDescent="0.25">
      <c r="A145" s="37">
        <v>44887</v>
      </c>
      <c r="B145" s="50">
        <v>1193.4349999999999</v>
      </c>
      <c r="C145" s="54">
        <f t="shared" si="8"/>
        <v>1191.9070634191173</v>
      </c>
      <c r="D145" s="54">
        <f t="shared" si="9"/>
        <v>2.2778326760663998</v>
      </c>
      <c r="E145" s="30">
        <f t="shared" si="10"/>
        <v>1.5279365808826242</v>
      </c>
      <c r="F145" s="13">
        <f t="shared" ref="F145:F173" si="12">E145/D145</f>
        <v>0.6707852586965366</v>
      </c>
    </row>
    <row r="146" spans="1:6" x14ac:dyDescent="0.25">
      <c r="A146" s="37">
        <v>44917</v>
      </c>
      <c r="B146" s="50">
        <v>1193.885</v>
      </c>
      <c r="C146" s="54">
        <f t="shared" si="8"/>
        <v>1191.9070634191173</v>
      </c>
      <c r="D146" s="54">
        <f t="shared" si="9"/>
        <v>2.2778326760663998</v>
      </c>
      <c r="E146" s="30">
        <f t="shared" si="10"/>
        <v>1.9779365808826697</v>
      </c>
      <c r="F146" s="13">
        <f t="shared" si="12"/>
        <v>0.8683414728681379</v>
      </c>
    </row>
    <row r="147" spans="1:6" x14ac:dyDescent="0.25">
      <c r="A147" s="37">
        <v>44949</v>
      </c>
      <c r="B147" s="50">
        <v>1195.29</v>
      </c>
      <c r="C147" s="54">
        <f t="shared" si="8"/>
        <v>1191.9070634191173</v>
      </c>
      <c r="D147" s="54">
        <f t="shared" si="9"/>
        <v>2.2778326760663998</v>
      </c>
      <c r="E147" s="30">
        <f t="shared" si="10"/>
        <v>3.3829365808826424</v>
      </c>
      <c r="F147" s="13">
        <f t="shared" si="12"/>
        <v>1.48515587489273</v>
      </c>
    </row>
    <row r="148" spans="1:6" x14ac:dyDescent="0.25">
      <c r="A148" s="37">
        <v>44980</v>
      </c>
      <c r="B148" s="50">
        <v>1195.06</v>
      </c>
      <c r="C148" s="54">
        <f t="shared" si="8"/>
        <v>1191.9070634191173</v>
      </c>
      <c r="D148" s="54">
        <f t="shared" si="9"/>
        <v>2.2778326760663998</v>
      </c>
      <c r="E148" s="30">
        <f t="shared" si="10"/>
        <v>3.1529365808826242</v>
      </c>
      <c r="F148" s="13">
        <f t="shared" si="12"/>
        <v>1.3841826987605803</v>
      </c>
    </row>
    <row r="149" spans="1:6" x14ac:dyDescent="0.25">
      <c r="A149" s="37">
        <v>45008</v>
      </c>
      <c r="B149" s="50">
        <v>1195.6950000000002</v>
      </c>
      <c r="C149" s="54">
        <f t="shared" si="8"/>
        <v>1191.9070634191173</v>
      </c>
      <c r="D149" s="54">
        <f t="shared" si="9"/>
        <v>2.2778326760663998</v>
      </c>
      <c r="E149" s="30">
        <f t="shared" si="10"/>
        <v>3.7879365808828425</v>
      </c>
      <c r="F149" s="13">
        <f t="shared" si="12"/>
        <v>1.662956467647241</v>
      </c>
    </row>
    <row r="150" spans="1:6" x14ac:dyDescent="0.25">
      <c r="A150" s="37">
        <v>45039</v>
      </c>
      <c r="B150" s="50">
        <v>1195.875</v>
      </c>
      <c r="C150" s="54">
        <f t="shared" si="8"/>
        <v>1191.9070634191173</v>
      </c>
      <c r="D150" s="54">
        <f t="shared" si="9"/>
        <v>2.2778326760663998</v>
      </c>
      <c r="E150" s="30">
        <f t="shared" si="10"/>
        <v>3.9679365808826788</v>
      </c>
      <c r="F150" s="13">
        <f t="shared" si="12"/>
        <v>1.7419789533158017</v>
      </c>
    </row>
    <row r="151" spans="1:6" x14ac:dyDescent="0.25">
      <c r="A151" s="37">
        <v>45069</v>
      </c>
      <c r="B151" s="50">
        <v>1195.75</v>
      </c>
      <c r="C151" s="54">
        <f t="shared" si="8"/>
        <v>1191.9070634191173</v>
      </c>
      <c r="D151" s="54">
        <f t="shared" si="9"/>
        <v>2.2778326760663998</v>
      </c>
      <c r="E151" s="30">
        <f t="shared" si="10"/>
        <v>3.8429365808826788</v>
      </c>
      <c r="F151" s="13">
        <f t="shared" si="12"/>
        <v>1.6871022271570291</v>
      </c>
    </row>
    <row r="152" spans="1:6" x14ac:dyDescent="0.25">
      <c r="A152" s="37">
        <v>45100</v>
      </c>
      <c r="B152" s="50">
        <v>1195.165</v>
      </c>
      <c r="C152" s="54">
        <f t="shared" si="8"/>
        <v>1191.9070634191173</v>
      </c>
      <c r="D152" s="54">
        <f t="shared" si="9"/>
        <v>2.2778326760663998</v>
      </c>
      <c r="E152" s="30">
        <f t="shared" si="10"/>
        <v>3.2579365808826424</v>
      </c>
      <c r="F152" s="13">
        <f t="shared" si="12"/>
        <v>1.4302791487339575</v>
      </c>
    </row>
    <row r="153" spans="1:6" x14ac:dyDescent="0.25">
      <c r="A153" s="37">
        <v>45130</v>
      </c>
      <c r="B153" s="50">
        <v>1194.855</v>
      </c>
      <c r="C153" s="54">
        <f t="shared" si="8"/>
        <v>1191.9070634191173</v>
      </c>
      <c r="D153" s="54">
        <f t="shared" si="9"/>
        <v>2.2778326760663998</v>
      </c>
      <c r="E153" s="30">
        <f t="shared" si="10"/>
        <v>2.9479365808826969</v>
      </c>
      <c r="F153" s="13">
        <f t="shared" si="12"/>
        <v>1.2941848678602252</v>
      </c>
    </row>
    <row r="154" spans="1:6" x14ac:dyDescent="0.25">
      <c r="A154" s="37">
        <v>45161</v>
      </c>
      <c r="B154" s="50">
        <v>1194.76</v>
      </c>
      <c r="C154" s="54">
        <f t="shared" si="8"/>
        <v>1191.9070634191173</v>
      </c>
      <c r="D154" s="54">
        <f t="shared" si="9"/>
        <v>2.2778326760663998</v>
      </c>
      <c r="E154" s="30">
        <f t="shared" si="10"/>
        <v>2.8529365808826697</v>
      </c>
      <c r="F154" s="13">
        <f t="shared" si="12"/>
        <v>1.2524785559795462</v>
      </c>
    </row>
    <row r="155" spans="1:6" x14ac:dyDescent="0.25">
      <c r="A155" s="37">
        <v>45192</v>
      </c>
      <c r="B155" s="50">
        <v>1194.645</v>
      </c>
      <c r="C155" s="54">
        <f t="shared" si="8"/>
        <v>1191.9070634191173</v>
      </c>
      <c r="D155" s="54">
        <f t="shared" si="9"/>
        <v>2.2778326760663998</v>
      </c>
      <c r="E155" s="30">
        <f t="shared" si="10"/>
        <v>2.7379365808826606</v>
      </c>
      <c r="F155" s="13">
        <f t="shared" si="12"/>
        <v>1.2019919679134714</v>
      </c>
    </row>
    <row r="156" spans="1:6" x14ac:dyDescent="0.25">
      <c r="A156" s="37">
        <v>45222</v>
      </c>
      <c r="B156" s="50">
        <v>1194.6500000000001</v>
      </c>
      <c r="C156" s="54">
        <f t="shared" si="8"/>
        <v>1191.9070634191173</v>
      </c>
      <c r="D156" s="54">
        <f t="shared" si="9"/>
        <v>2.2778326760663998</v>
      </c>
      <c r="E156" s="30">
        <f t="shared" si="10"/>
        <v>2.7429365808827697</v>
      </c>
      <c r="F156" s="13">
        <f t="shared" si="12"/>
        <v>1.2041870369598702</v>
      </c>
    </row>
    <row r="157" spans="1:6" x14ac:dyDescent="0.25">
      <c r="A157" s="37">
        <v>45253</v>
      </c>
      <c r="B157" s="50">
        <v>1194.42</v>
      </c>
      <c r="C157" s="54">
        <f t="shared" si="8"/>
        <v>1191.9070634191173</v>
      </c>
      <c r="D157" s="54">
        <f t="shared" si="9"/>
        <v>2.2778326760663998</v>
      </c>
      <c r="E157" s="30">
        <f t="shared" si="10"/>
        <v>2.5129365808827515</v>
      </c>
      <c r="F157" s="13">
        <f t="shared" si="12"/>
        <v>1.1032138608277207</v>
      </c>
    </row>
    <row r="158" spans="1:6" x14ac:dyDescent="0.25">
      <c r="A158" s="37">
        <v>45283</v>
      </c>
      <c r="B158" s="50">
        <v>1194.56</v>
      </c>
      <c r="C158" s="54">
        <f t="shared" si="8"/>
        <v>1191.9070634191173</v>
      </c>
      <c r="D158" s="54">
        <f t="shared" si="9"/>
        <v>2.2778326760663998</v>
      </c>
      <c r="E158" s="30">
        <f t="shared" si="10"/>
        <v>2.6529365808826242</v>
      </c>
      <c r="F158" s="13">
        <f t="shared" si="12"/>
        <v>1.1646757941254899</v>
      </c>
    </row>
    <row r="159" spans="1:6" x14ac:dyDescent="0.25">
      <c r="A159" s="37">
        <v>45315</v>
      </c>
      <c r="B159" s="50">
        <v>1194.9450000000002</v>
      </c>
      <c r="C159" s="54">
        <f t="shared" si="8"/>
        <v>1191.9070634191173</v>
      </c>
      <c r="D159" s="54">
        <f t="shared" si="9"/>
        <v>2.2778326760663998</v>
      </c>
      <c r="E159" s="30">
        <f t="shared" si="10"/>
        <v>3.0379365808828425</v>
      </c>
      <c r="F159" s="13">
        <f t="shared" si="12"/>
        <v>1.3336961106946055</v>
      </c>
    </row>
    <row r="160" spans="1:6" x14ac:dyDescent="0.25">
      <c r="A160" s="37">
        <v>45346</v>
      </c>
      <c r="B160" s="50">
        <v>1194.9650000000001</v>
      </c>
      <c r="C160" s="30">
        <f t="shared" si="8"/>
        <v>1191.9070634191173</v>
      </c>
      <c r="D160" s="54">
        <f t="shared" si="9"/>
        <v>2.2778326760663998</v>
      </c>
      <c r="E160" s="30">
        <f t="shared" si="10"/>
        <v>3.0579365808828243</v>
      </c>
      <c r="F160" s="13">
        <f t="shared" si="12"/>
        <v>1.3424763868800011</v>
      </c>
    </row>
    <row r="161" spans="1:6" x14ac:dyDescent="0.25">
      <c r="A161" s="37">
        <v>45375</v>
      </c>
      <c r="B161" s="50">
        <v>1194.99</v>
      </c>
      <c r="C161" s="30">
        <f t="shared" si="8"/>
        <v>1191.9070634191173</v>
      </c>
      <c r="D161" s="54">
        <f t="shared" si="9"/>
        <v>2.2778326760663998</v>
      </c>
      <c r="E161" s="30">
        <f t="shared" si="10"/>
        <v>3.0829365808826878</v>
      </c>
      <c r="F161" s="13">
        <f t="shared" si="12"/>
        <v>1.3534517321116957</v>
      </c>
    </row>
    <row r="162" spans="1:6" x14ac:dyDescent="0.25">
      <c r="A162" s="37">
        <v>45406</v>
      </c>
      <c r="B162" s="50">
        <v>1194.575</v>
      </c>
      <c r="C162" s="30">
        <f t="shared" si="8"/>
        <v>1191.9070634191173</v>
      </c>
      <c r="D162" s="54">
        <f t="shared" si="9"/>
        <v>2.2778326760663998</v>
      </c>
      <c r="E162" s="30">
        <f t="shared" si="10"/>
        <v>2.6679365808827242</v>
      </c>
      <c r="F162" s="13">
        <f t="shared" si="12"/>
        <v>1.1712610012645865</v>
      </c>
    </row>
    <row r="163" spans="1:6" x14ac:dyDescent="0.25">
      <c r="A163" s="37">
        <v>45436</v>
      </c>
      <c r="B163" s="50">
        <v>1194.7649999999999</v>
      </c>
      <c r="C163" s="30">
        <f t="shared" si="8"/>
        <v>1191.9070634191173</v>
      </c>
      <c r="D163" s="54">
        <f t="shared" si="9"/>
        <v>2.2778326760663998</v>
      </c>
      <c r="E163" s="30">
        <f t="shared" si="10"/>
        <v>2.8579365808825514</v>
      </c>
      <c r="F163" s="13">
        <f t="shared" si="12"/>
        <v>1.254673625025845</v>
      </c>
    </row>
    <row r="164" spans="1:6" x14ac:dyDescent="0.25">
      <c r="A164" s="37">
        <v>45468</v>
      </c>
      <c r="B164" s="50">
        <v>1194.7</v>
      </c>
      <c r="C164" s="30">
        <f t="shared" si="8"/>
        <v>1191.9070634191173</v>
      </c>
      <c r="D164" s="54">
        <f t="shared" si="9"/>
        <v>2.2778326760663998</v>
      </c>
      <c r="E164" s="30">
        <f t="shared" si="10"/>
        <v>2.7929365808827242</v>
      </c>
      <c r="F164" s="13">
        <f t="shared" si="12"/>
        <v>1.2261377274233591</v>
      </c>
    </row>
    <row r="165" spans="1:6" x14ac:dyDescent="0.25">
      <c r="A165" s="37">
        <v>45500</v>
      </c>
      <c r="B165" s="15">
        <v>1194.7075</v>
      </c>
      <c r="C165" s="30">
        <f t="shared" si="8"/>
        <v>1191.9070634191173</v>
      </c>
      <c r="D165" s="54">
        <f t="shared" si="9"/>
        <v>2.2778326760663998</v>
      </c>
      <c r="E165" s="30">
        <f t="shared" si="10"/>
        <v>2.8004365808826606</v>
      </c>
      <c r="F165" s="13">
        <f t="shared" si="12"/>
        <v>1.2294303309928576</v>
      </c>
    </row>
    <row r="166" spans="1:6" x14ac:dyDescent="0.25">
      <c r="A166" s="38">
        <v>45514</v>
      </c>
      <c r="B166" s="15">
        <v>1194.3600000000001</v>
      </c>
      <c r="C166" s="30">
        <f t="shared" si="8"/>
        <v>1191.9070634191173</v>
      </c>
      <c r="D166" s="54">
        <f t="shared" si="9"/>
        <v>2.2778326760663998</v>
      </c>
      <c r="E166" s="30">
        <f t="shared" si="10"/>
        <v>2.4529365808828061</v>
      </c>
      <c r="F166" s="13">
        <f t="shared" si="12"/>
        <v>1.0768730322715336</v>
      </c>
    </row>
    <row r="167" spans="1:6" x14ac:dyDescent="0.25">
      <c r="A167" s="38">
        <v>45545</v>
      </c>
      <c r="B167" s="15">
        <v>1194.2649999999999</v>
      </c>
      <c r="C167" s="30">
        <f t="shared" si="8"/>
        <v>1191.9070634191173</v>
      </c>
      <c r="D167" s="54">
        <f t="shared" si="9"/>
        <v>2.2778326760663998</v>
      </c>
      <c r="E167" s="30">
        <f t="shared" si="10"/>
        <v>2.3579365808825514</v>
      </c>
      <c r="F167" s="13">
        <f t="shared" si="12"/>
        <v>1.0351667203907546</v>
      </c>
    </row>
    <row r="168" spans="1:6" x14ac:dyDescent="0.25">
      <c r="A168" s="38">
        <v>45575</v>
      </c>
      <c r="B168" s="15">
        <v>1194.0900000000001</v>
      </c>
      <c r="C168" s="30">
        <f t="shared" si="8"/>
        <v>1191.9070634191173</v>
      </c>
      <c r="D168" s="54">
        <f t="shared" si="9"/>
        <v>2.2778326760663998</v>
      </c>
      <c r="E168" s="30">
        <f t="shared" si="10"/>
        <v>2.1829365808828243</v>
      </c>
      <c r="F168" s="13">
        <f t="shared" si="12"/>
        <v>0.95833930376859289</v>
      </c>
    </row>
    <row r="169" spans="1:6" x14ac:dyDescent="0.25">
      <c r="A169" s="38">
        <v>45606</v>
      </c>
      <c r="B169" s="15">
        <v>1193.9000000000001</v>
      </c>
      <c r="C169" s="30">
        <f t="shared" si="8"/>
        <v>1191.9070634191173</v>
      </c>
      <c r="D169" s="54">
        <f t="shared" si="9"/>
        <v>2.2778326760663998</v>
      </c>
      <c r="E169" s="30">
        <f t="shared" si="10"/>
        <v>1.9929365808827697</v>
      </c>
      <c r="F169" s="13">
        <f t="shared" si="12"/>
        <v>0.8749266800072345</v>
      </c>
    </row>
    <row r="170" spans="1:6" x14ac:dyDescent="0.25">
      <c r="A170" s="38">
        <v>45636</v>
      </c>
      <c r="B170" s="15">
        <v>1193.8150000000001</v>
      </c>
      <c r="C170" s="30">
        <f t="shared" si="8"/>
        <v>1191.9070634191173</v>
      </c>
      <c r="D170" s="54">
        <f t="shared" si="9"/>
        <v>2.2778326760663998</v>
      </c>
      <c r="E170" s="30">
        <f t="shared" si="10"/>
        <v>1.9079365808827333</v>
      </c>
      <c r="F170" s="13">
        <f t="shared" si="12"/>
        <v>0.83761050621925315</v>
      </c>
    </row>
    <row r="171" spans="1:6" x14ac:dyDescent="0.25">
      <c r="A171" s="38">
        <v>45667</v>
      </c>
      <c r="B171" s="15">
        <v>1196.04</v>
      </c>
      <c r="C171" s="30">
        <f t="shared" si="8"/>
        <v>1191.9070634191173</v>
      </c>
      <c r="D171" s="54">
        <f t="shared" si="9"/>
        <v>2.2778326760663998</v>
      </c>
      <c r="E171" s="30">
        <f t="shared" si="10"/>
        <v>4.1329365808826424</v>
      </c>
      <c r="F171" s="13">
        <f t="shared" si="12"/>
        <v>1.8144162318453656</v>
      </c>
    </row>
    <row r="172" spans="1:6" x14ac:dyDescent="0.25">
      <c r="A172" s="38">
        <v>45698</v>
      </c>
      <c r="B172" s="15">
        <v>1196.21</v>
      </c>
      <c r="C172" s="30">
        <f t="shared" si="8"/>
        <v>1191.9070634191173</v>
      </c>
      <c r="D172" s="54">
        <f t="shared" si="9"/>
        <v>2.2778326760663998</v>
      </c>
      <c r="E172" s="30">
        <f t="shared" si="10"/>
        <v>4.3029365808827151</v>
      </c>
      <c r="F172" s="13">
        <f t="shared" si="12"/>
        <v>1.8890485794213283</v>
      </c>
    </row>
    <row r="173" spans="1:6" x14ac:dyDescent="0.25">
      <c r="A173" s="8">
        <v>45751</v>
      </c>
      <c r="B173" s="15">
        <v>1195.9299999999998</v>
      </c>
      <c r="C173" s="30">
        <f t="shared" si="8"/>
        <v>1191.9070634191173</v>
      </c>
      <c r="D173" s="54">
        <f t="shared" si="9"/>
        <v>2.2778326760663998</v>
      </c>
      <c r="E173" s="30">
        <f t="shared" si="10"/>
        <v>4.022936580882515</v>
      </c>
      <c r="F173" s="13">
        <f t="shared" si="12"/>
        <v>1.7661247128255897</v>
      </c>
    </row>
    <row r="174" spans="1:6" x14ac:dyDescent="0.25">
      <c r="A174" s="8">
        <v>45721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Crocodile workbook</vt:lpstr>
      <vt:lpstr>Sabie workbook</vt:lpstr>
      <vt:lpstr>Sand workbook</vt:lpstr>
      <vt:lpstr>Upper Komati</vt:lpstr>
      <vt:lpstr>Lower Komati </vt:lpstr>
      <vt:lpstr>Ngwempisi</vt:lpstr>
      <vt:lpstr>Assegai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Dr Teboho Shakhane</cp:lastModifiedBy>
  <cp:revision/>
  <dcterms:created xsi:type="dcterms:W3CDTF">2024-06-21T06:56:18Z</dcterms:created>
  <dcterms:modified xsi:type="dcterms:W3CDTF">2025-07-25T06:18:57Z</dcterms:modified>
  <cp:category/>
  <cp:contentStatus/>
</cp:coreProperties>
</file>